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7D332416-403E-47EA-9063-0AE082547E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HRF_Before Food" sheetId="2" r:id="rId1"/>
    <sheet name="AHRF_After Food" sheetId="1" r:id="rId2"/>
    <sheet name="Cross_Validation" sheetId="3" r:id="rId3"/>
    <sheet name="Independent_Validation_Prelim" sheetId="4" r:id="rId4"/>
    <sheet name="Clarke_Error_Grid_Analysis" sheetId="5" r:id="rId5"/>
    <sheet name="Five_flod_Before_Food_OOF" sheetId="6" r:id="rId6"/>
    <sheet name="Five_flod_After_Food_OOF" sheetId="7" r:id="rId7"/>
  </sheets>
  <definedNames>
    <definedName name="_xlnm._FilterDatabase" localSheetId="0" hidden="1">'AHRF_Before Food'!$A$2:$O$502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01" i="7" l="1"/>
  <c r="G501" i="7"/>
  <c r="H500" i="7"/>
  <c r="G500" i="7"/>
  <c r="H499" i="7"/>
  <c r="G499" i="7"/>
  <c r="H498" i="7"/>
  <c r="G498" i="7"/>
  <c r="H497" i="7"/>
  <c r="G497" i="7"/>
  <c r="H496" i="7"/>
  <c r="G496" i="7"/>
  <c r="H495" i="7"/>
  <c r="G495" i="7"/>
  <c r="H494" i="7"/>
  <c r="G494" i="7"/>
  <c r="H493" i="7"/>
  <c r="G493" i="7"/>
  <c r="H492" i="7"/>
  <c r="G492" i="7"/>
  <c r="H491" i="7"/>
  <c r="G491" i="7"/>
  <c r="H490" i="7"/>
  <c r="G490" i="7"/>
  <c r="H489" i="7"/>
  <c r="G489" i="7"/>
  <c r="H488" i="7"/>
  <c r="G488" i="7"/>
  <c r="H487" i="7"/>
  <c r="G487" i="7"/>
  <c r="H486" i="7"/>
  <c r="G486" i="7"/>
  <c r="H485" i="7"/>
  <c r="G485" i="7"/>
  <c r="H484" i="7"/>
  <c r="G484" i="7"/>
  <c r="H483" i="7"/>
  <c r="G483" i="7"/>
  <c r="H482" i="7"/>
  <c r="G482" i="7"/>
  <c r="H481" i="7"/>
  <c r="G481" i="7"/>
  <c r="H480" i="7"/>
  <c r="G480" i="7"/>
  <c r="H479" i="7"/>
  <c r="G479" i="7"/>
  <c r="H478" i="7"/>
  <c r="G478" i="7"/>
  <c r="H477" i="7"/>
  <c r="G477" i="7"/>
  <c r="H476" i="7"/>
  <c r="G476" i="7"/>
  <c r="H475" i="7"/>
  <c r="G475" i="7"/>
  <c r="H474" i="7"/>
  <c r="G474" i="7"/>
  <c r="H473" i="7"/>
  <c r="G473" i="7"/>
  <c r="H472" i="7"/>
  <c r="G472" i="7"/>
  <c r="H471" i="7"/>
  <c r="G471" i="7"/>
  <c r="H470" i="7"/>
  <c r="G470" i="7"/>
  <c r="H469" i="7"/>
  <c r="G469" i="7"/>
  <c r="H468" i="7"/>
  <c r="G468" i="7"/>
  <c r="H467" i="7"/>
  <c r="G467" i="7"/>
  <c r="H466" i="7"/>
  <c r="G466" i="7"/>
  <c r="H465" i="7"/>
  <c r="G465" i="7"/>
  <c r="H464" i="7"/>
  <c r="G464" i="7"/>
  <c r="H463" i="7"/>
  <c r="G463" i="7"/>
  <c r="H462" i="7"/>
  <c r="G462" i="7"/>
  <c r="H461" i="7"/>
  <c r="G461" i="7"/>
  <c r="H460" i="7"/>
  <c r="G460" i="7"/>
  <c r="H459" i="7"/>
  <c r="G459" i="7"/>
  <c r="H458" i="7"/>
  <c r="G458" i="7"/>
  <c r="H457" i="7"/>
  <c r="G457" i="7"/>
  <c r="H456" i="7"/>
  <c r="G456" i="7"/>
  <c r="H455" i="7"/>
  <c r="G455" i="7"/>
  <c r="H454" i="7"/>
  <c r="G454" i="7"/>
  <c r="H453" i="7"/>
  <c r="G453" i="7"/>
  <c r="H452" i="7"/>
  <c r="G452" i="7"/>
  <c r="H451" i="7"/>
  <c r="G451" i="7"/>
  <c r="H450" i="7"/>
  <c r="G450" i="7"/>
  <c r="H449" i="7"/>
  <c r="G449" i="7"/>
  <c r="H448" i="7"/>
  <c r="G448" i="7"/>
  <c r="H447" i="7"/>
  <c r="G447" i="7"/>
  <c r="H446" i="7"/>
  <c r="G446" i="7"/>
  <c r="H445" i="7"/>
  <c r="G445" i="7"/>
  <c r="H444" i="7"/>
  <c r="G444" i="7"/>
  <c r="H443" i="7"/>
  <c r="G443" i="7"/>
  <c r="H442" i="7"/>
  <c r="G442" i="7"/>
  <c r="H441" i="7"/>
  <c r="G441" i="7"/>
  <c r="H440" i="7"/>
  <c r="G440" i="7"/>
  <c r="H439" i="7"/>
  <c r="G439" i="7"/>
  <c r="H438" i="7"/>
  <c r="G438" i="7"/>
  <c r="H437" i="7"/>
  <c r="G437" i="7"/>
  <c r="H436" i="7"/>
  <c r="G436" i="7"/>
  <c r="H435" i="7"/>
  <c r="G435" i="7"/>
  <c r="H434" i="7"/>
  <c r="G434" i="7"/>
  <c r="H433" i="7"/>
  <c r="G433" i="7"/>
  <c r="H432" i="7"/>
  <c r="G432" i="7"/>
  <c r="H431" i="7"/>
  <c r="G431" i="7"/>
  <c r="H430" i="7"/>
  <c r="G430" i="7"/>
  <c r="H429" i="7"/>
  <c r="G429" i="7"/>
  <c r="H428" i="7"/>
  <c r="G428" i="7"/>
  <c r="H427" i="7"/>
  <c r="G427" i="7"/>
  <c r="H426" i="7"/>
  <c r="G426" i="7"/>
  <c r="H425" i="7"/>
  <c r="G425" i="7"/>
  <c r="H424" i="7"/>
  <c r="G424" i="7"/>
  <c r="H423" i="7"/>
  <c r="G423" i="7"/>
  <c r="H422" i="7"/>
  <c r="G422" i="7"/>
  <c r="H421" i="7"/>
  <c r="G421" i="7"/>
  <c r="H420" i="7"/>
  <c r="G420" i="7"/>
  <c r="H419" i="7"/>
  <c r="G419" i="7"/>
  <c r="H418" i="7"/>
  <c r="G418" i="7"/>
  <c r="H417" i="7"/>
  <c r="G417" i="7"/>
  <c r="H416" i="7"/>
  <c r="G416" i="7"/>
  <c r="H415" i="7"/>
  <c r="G415" i="7"/>
  <c r="H414" i="7"/>
  <c r="G414" i="7"/>
  <c r="H413" i="7"/>
  <c r="G413" i="7"/>
  <c r="H412" i="7"/>
  <c r="G412" i="7"/>
  <c r="H411" i="7"/>
  <c r="G411" i="7"/>
  <c r="H410" i="7"/>
  <c r="G410" i="7"/>
  <c r="H409" i="7"/>
  <c r="G409" i="7"/>
  <c r="H408" i="7"/>
  <c r="G408" i="7"/>
  <c r="H407" i="7"/>
  <c r="G407" i="7"/>
  <c r="H406" i="7"/>
  <c r="G406" i="7"/>
  <c r="H405" i="7"/>
  <c r="G405" i="7"/>
  <c r="H404" i="7"/>
  <c r="G404" i="7"/>
  <c r="H403" i="7"/>
  <c r="G403" i="7"/>
  <c r="H402" i="7"/>
  <c r="G402" i="7"/>
  <c r="H401" i="7"/>
  <c r="G401" i="7"/>
  <c r="H400" i="7"/>
  <c r="G400" i="7"/>
  <c r="H399" i="7"/>
  <c r="G399" i="7"/>
  <c r="H398" i="7"/>
  <c r="G398" i="7"/>
  <c r="H397" i="7"/>
  <c r="G397" i="7"/>
  <c r="H396" i="7"/>
  <c r="G396" i="7"/>
  <c r="H395" i="7"/>
  <c r="G395" i="7"/>
  <c r="H394" i="7"/>
  <c r="G394" i="7"/>
  <c r="H393" i="7"/>
  <c r="G393" i="7"/>
  <c r="H392" i="7"/>
  <c r="G392" i="7"/>
  <c r="H391" i="7"/>
  <c r="G391" i="7"/>
  <c r="H390" i="7"/>
  <c r="G390" i="7"/>
  <c r="H389" i="7"/>
  <c r="G389" i="7"/>
  <c r="H388" i="7"/>
  <c r="G388" i="7"/>
  <c r="H387" i="7"/>
  <c r="G387" i="7"/>
  <c r="H386" i="7"/>
  <c r="G386" i="7"/>
  <c r="H385" i="7"/>
  <c r="G385" i="7"/>
  <c r="H384" i="7"/>
  <c r="G384" i="7"/>
  <c r="H383" i="7"/>
  <c r="G383" i="7"/>
  <c r="H382" i="7"/>
  <c r="G382" i="7"/>
  <c r="H381" i="7"/>
  <c r="G381" i="7"/>
  <c r="H380" i="7"/>
  <c r="G380" i="7"/>
  <c r="H379" i="7"/>
  <c r="G379" i="7"/>
  <c r="H378" i="7"/>
  <c r="G378" i="7"/>
  <c r="H377" i="7"/>
  <c r="G377" i="7"/>
  <c r="H376" i="7"/>
  <c r="G376" i="7"/>
  <c r="H375" i="7"/>
  <c r="G375" i="7"/>
  <c r="H374" i="7"/>
  <c r="G374" i="7"/>
  <c r="H373" i="7"/>
  <c r="G373" i="7"/>
  <c r="H372" i="7"/>
  <c r="G372" i="7"/>
  <c r="H371" i="7"/>
  <c r="G371" i="7"/>
  <c r="H370" i="7"/>
  <c r="G370" i="7"/>
  <c r="H369" i="7"/>
  <c r="G369" i="7"/>
  <c r="H368" i="7"/>
  <c r="G368" i="7"/>
  <c r="H367" i="7"/>
  <c r="G367" i="7"/>
  <c r="H366" i="7"/>
  <c r="G366" i="7"/>
  <c r="H365" i="7"/>
  <c r="G365" i="7"/>
  <c r="H364" i="7"/>
  <c r="G364" i="7"/>
  <c r="H363" i="7"/>
  <c r="G363" i="7"/>
  <c r="H362" i="7"/>
  <c r="G362" i="7"/>
  <c r="H361" i="7"/>
  <c r="G361" i="7"/>
  <c r="H360" i="7"/>
  <c r="G360" i="7"/>
  <c r="H359" i="7"/>
  <c r="G359" i="7"/>
  <c r="H358" i="7"/>
  <c r="G358" i="7"/>
  <c r="H357" i="7"/>
  <c r="G357" i="7"/>
  <c r="H356" i="7"/>
  <c r="G356" i="7"/>
  <c r="H355" i="7"/>
  <c r="G355" i="7"/>
  <c r="H354" i="7"/>
  <c r="G354" i="7"/>
  <c r="H353" i="7"/>
  <c r="G353" i="7"/>
  <c r="H352" i="7"/>
  <c r="G352" i="7"/>
  <c r="H351" i="7"/>
  <c r="G351" i="7"/>
  <c r="H350" i="7"/>
  <c r="G350" i="7"/>
  <c r="H349" i="7"/>
  <c r="G349" i="7"/>
  <c r="H348" i="7"/>
  <c r="G348" i="7"/>
  <c r="H347" i="7"/>
  <c r="G347" i="7"/>
  <c r="H346" i="7"/>
  <c r="G346" i="7"/>
  <c r="H345" i="7"/>
  <c r="G345" i="7"/>
  <c r="H344" i="7"/>
  <c r="G344" i="7"/>
  <c r="H343" i="7"/>
  <c r="G343" i="7"/>
  <c r="H342" i="7"/>
  <c r="G342" i="7"/>
  <c r="H341" i="7"/>
  <c r="G341" i="7"/>
  <c r="H340" i="7"/>
  <c r="G340" i="7"/>
  <c r="H339" i="7"/>
  <c r="G339" i="7"/>
  <c r="H338" i="7"/>
  <c r="G338" i="7"/>
  <c r="H337" i="7"/>
  <c r="G337" i="7"/>
  <c r="H336" i="7"/>
  <c r="G336" i="7"/>
  <c r="H335" i="7"/>
  <c r="G335" i="7"/>
  <c r="H334" i="7"/>
  <c r="G334" i="7"/>
  <c r="H333" i="7"/>
  <c r="G333" i="7"/>
  <c r="H332" i="7"/>
  <c r="G332" i="7"/>
  <c r="H331" i="7"/>
  <c r="G331" i="7"/>
  <c r="H330" i="7"/>
  <c r="G330" i="7"/>
  <c r="H329" i="7"/>
  <c r="G329" i="7"/>
  <c r="H328" i="7"/>
  <c r="G328" i="7"/>
  <c r="H327" i="7"/>
  <c r="G327" i="7"/>
  <c r="H326" i="7"/>
  <c r="G326" i="7"/>
  <c r="H325" i="7"/>
  <c r="G325" i="7"/>
  <c r="H324" i="7"/>
  <c r="G324" i="7"/>
  <c r="H323" i="7"/>
  <c r="G323" i="7"/>
  <c r="H322" i="7"/>
  <c r="G322" i="7"/>
  <c r="H321" i="7"/>
  <c r="G321" i="7"/>
  <c r="H320" i="7"/>
  <c r="G320" i="7"/>
  <c r="H319" i="7"/>
  <c r="G319" i="7"/>
  <c r="H318" i="7"/>
  <c r="G318" i="7"/>
  <c r="H317" i="7"/>
  <c r="G317" i="7"/>
  <c r="H316" i="7"/>
  <c r="G316" i="7"/>
  <c r="H315" i="7"/>
  <c r="G315" i="7"/>
  <c r="H314" i="7"/>
  <c r="G314" i="7"/>
  <c r="H313" i="7"/>
  <c r="G313" i="7"/>
  <c r="H312" i="7"/>
  <c r="G312" i="7"/>
  <c r="H311" i="7"/>
  <c r="G311" i="7"/>
  <c r="H310" i="7"/>
  <c r="G310" i="7"/>
  <c r="H309" i="7"/>
  <c r="G309" i="7"/>
  <c r="H308" i="7"/>
  <c r="G308" i="7"/>
  <c r="H307" i="7"/>
  <c r="G307" i="7"/>
  <c r="H306" i="7"/>
  <c r="G306" i="7"/>
  <c r="H305" i="7"/>
  <c r="G305" i="7"/>
  <c r="H304" i="7"/>
  <c r="G304" i="7"/>
  <c r="H303" i="7"/>
  <c r="G303" i="7"/>
  <c r="H302" i="7"/>
  <c r="G302" i="7"/>
  <c r="H301" i="7"/>
  <c r="G301" i="7"/>
  <c r="H300" i="7"/>
  <c r="G300" i="7"/>
  <c r="H299" i="7"/>
  <c r="G299" i="7"/>
  <c r="H298" i="7"/>
  <c r="G298" i="7"/>
  <c r="H297" i="7"/>
  <c r="G297" i="7"/>
  <c r="H296" i="7"/>
  <c r="G296" i="7"/>
  <c r="H295" i="7"/>
  <c r="G295" i="7"/>
  <c r="H294" i="7"/>
  <c r="G294" i="7"/>
  <c r="H293" i="7"/>
  <c r="G293" i="7"/>
  <c r="H292" i="7"/>
  <c r="G292" i="7"/>
  <c r="H291" i="7"/>
  <c r="G291" i="7"/>
  <c r="H290" i="7"/>
  <c r="G290" i="7"/>
  <c r="H289" i="7"/>
  <c r="G289" i="7"/>
  <c r="H288" i="7"/>
  <c r="G288" i="7"/>
  <c r="H287" i="7"/>
  <c r="G287" i="7"/>
  <c r="H286" i="7"/>
  <c r="G286" i="7"/>
  <c r="H285" i="7"/>
  <c r="G285" i="7"/>
  <c r="H284" i="7"/>
  <c r="G284" i="7"/>
  <c r="H283" i="7"/>
  <c r="G283" i="7"/>
  <c r="H282" i="7"/>
  <c r="G282" i="7"/>
  <c r="H281" i="7"/>
  <c r="G281" i="7"/>
  <c r="H280" i="7"/>
  <c r="G280" i="7"/>
  <c r="H279" i="7"/>
  <c r="G279" i="7"/>
  <c r="H278" i="7"/>
  <c r="G278" i="7"/>
  <c r="H277" i="7"/>
  <c r="G277" i="7"/>
  <c r="H276" i="7"/>
  <c r="G276" i="7"/>
  <c r="H275" i="7"/>
  <c r="G275" i="7"/>
  <c r="H274" i="7"/>
  <c r="G274" i="7"/>
  <c r="H273" i="7"/>
  <c r="G273" i="7"/>
  <c r="H272" i="7"/>
  <c r="G272" i="7"/>
  <c r="H271" i="7"/>
  <c r="G271" i="7"/>
  <c r="H270" i="7"/>
  <c r="G270" i="7"/>
  <c r="H269" i="7"/>
  <c r="G269" i="7"/>
  <c r="H268" i="7"/>
  <c r="G268" i="7"/>
  <c r="H267" i="7"/>
  <c r="G267" i="7"/>
  <c r="H266" i="7"/>
  <c r="G266" i="7"/>
  <c r="H265" i="7"/>
  <c r="G265" i="7"/>
  <c r="H264" i="7"/>
  <c r="G264" i="7"/>
  <c r="H263" i="7"/>
  <c r="G263" i="7"/>
  <c r="H262" i="7"/>
  <c r="G262" i="7"/>
  <c r="H261" i="7"/>
  <c r="G261" i="7"/>
  <c r="H260" i="7"/>
  <c r="G260" i="7"/>
  <c r="H259" i="7"/>
  <c r="G259" i="7"/>
  <c r="H258" i="7"/>
  <c r="G258" i="7"/>
  <c r="H257" i="7"/>
  <c r="G257" i="7"/>
  <c r="H256" i="7"/>
  <c r="G256" i="7"/>
  <c r="H255" i="7"/>
  <c r="G255" i="7"/>
  <c r="H254" i="7"/>
  <c r="G254" i="7"/>
  <c r="H253" i="7"/>
  <c r="G253" i="7"/>
  <c r="H252" i="7"/>
  <c r="G252" i="7"/>
  <c r="H251" i="7"/>
  <c r="G251" i="7"/>
  <c r="H250" i="7"/>
  <c r="G250" i="7"/>
  <c r="H249" i="7"/>
  <c r="G249" i="7"/>
  <c r="H248" i="7"/>
  <c r="G248" i="7"/>
  <c r="H247" i="7"/>
  <c r="G247" i="7"/>
  <c r="H246" i="7"/>
  <c r="G246" i="7"/>
  <c r="H245" i="7"/>
  <c r="G245" i="7"/>
  <c r="H244" i="7"/>
  <c r="G244" i="7"/>
  <c r="H243" i="7"/>
  <c r="G243" i="7"/>
  <c r="H242" i="7"/>
  <c r="G242" i="7"/>
  <c r="H241" i="7"/>
  <c r="G241" i="7"/>
  <c r="H240" i="7"/>
  <c r="G240" i="7"/>
  <c r="H239" i="7"/>
  <c r="G239" i="7"/>
  <c r="H238" i="7"/>
  <c r="G238" i="7"/>
  <c r="H237" i="7"/>
  <c r="G237" i="7"/>
  <c r="H236" i="7"/>
  <c r="G236" i="7"/>
  <c r="H235" i="7"/>
  <c r="G235" i="7"/>
  <c r="H234" i="7"/>
  <c r="G234" i="7"/>
  <c r="H233" i="7"/>
  <c r="G233" i="7"/>
  <c r="H232" i="7"/>
  <c r="G232" i="7"/>
  <c r="H231" i="7"/>
  <c r="G231" i="7"/>
  <c r="H230" i="7"/>
  <c r="G230" i="7"/>
  <c r="H229" i="7"/>
  <c r="G229" i="7"/>
  <c r="H228" i="7"/>
  <c r="G228" i="7"/>
  <c r="H227" i="7"/>
  <c r="G227" i="7"/>
  <c r="H226" i="7"/>
  <c r="G226" i="7"/>
  <c r="H225" i="7"/>
  <c r="G225" i="7"/>
  <c r="H224" i="7"/>
  <c r="G224" i="7"/>
  <c r="H223" i="7"/>
  <c r="G223" i="7"/>
  <c r="H222" i="7"/>
  <c r="G222" i="7"/>
  <c r="H221" i="7"/>
  <c r="G221" i="7"/>
  <c r="H220" i="7"/>
  <c r="G220" i="7"/>
  <c r="H219" i="7"/>
  <c r="G219" i="7"/>
  <c r="H218" i="7"/>
  <c r="G218" i="7"/>
  <c r="H217" i="7"/>
  <c r="G217" i="7"/>
  <c r="H216" i="7"/>
  <c r="G216" i="7"/>
  <c r="H215" i="7"/>
  <c r="G215" i="7"/>
  <c r="H214" i="7"/>
  <c r="G214" i="7"/>
  <c r="H213" i="7"/>
  <c r="G213" i="7"/>
  <c r="H212" i="7"/>
  <c r="G212" i="7"/>
  <c r="H211" i="7"/>
  <c r="G211" i="7"/>
  <c r="H210" i="7"/>
  <c r="G210" i="7"/>
  <c r="H209" i="7"/>
  <c r="G209" i="7"/>
  <c r="H208" i="7"/>
  <c r="G208" i="7"/>
  <c r="H207" i="7"/>
  <c r="G207" i="7"/>
  <c r="H206" i="7"/>
  <c r="G206" i="7"/>
  <c r="H205" i="7"/>
  <c r="G205" i="7"/>
  <c r="H204" i="7"/>
  <c r="G204" i="7"/>
  <c r="H203" i="7"/>
  <c r="G203" i="7"/>
  <c r="H202" i="7"/>
  <c r="G202" i="7"/>
  <c r="H201" i="7"/>
  <c r="G201" i="7"/>
  <c r="H200" i="7"/>
  <c r="G200" i="7"/>
  <c r="H199" i="7"/>
  <c r="G199" i="7"/>
  <c r="H198" i="7"/>
  <c r="G198" i="7"/>
  <c r="H197" i="7"/>
  <c r="G197" i="7"/>
  <c r="H196" i="7"/>
  <c r="G196" i="7"/>
  <c r="H195" i="7"/>
  <c r="G195" i="7"/>
  <c r="H194" i="7"/>
  <c r="G194" i="7"/>
  <c r="H193" i="7"/>
  <c r="G193" i="7"/>
  <c r="H192" i="7"/>
  <c r="G192" i="7"/>
  <c r="H191" i="7"/>
  <c r="G191" i="7"/>
  <c r="H190" i="7"/>
  <c r="G190" i="7"/>
  <c r="H189" i="7"/>
  <c r="G189" i="7"/>
  <c r="H188" i="7"/>
  <c r="G188" i="7"/>
  <c r="H187" i="7"/>
  <c r="G187" i="7"/>
  <c r="H186" i="7"/>
  <c r="G186" i="7"/>
  <c r="H185" i="7"/>
  <c r="G185" i="7"/>
  <c r="H184" i="7"/>
  <c r="G184" i="7"/>
  <c r="H183" i="7"/>
  <c r="G183" i="7"/>
  <c r="H182" i="7"/>
  <c r="G182" i="7"/>
  <c r="H181" i="7"/>
  <c r="G181" i="7"/>
  <c r="H180" i="7"/>
  <c r="G180" i="7"/>
  <c r="H179" i="7"/>
  <c r="G179" i="7"/>
  <c r="H178" i="7"/>
  <c r="G178" i="7"/>
  <c r="H177" i="7"/>
  <c r="G177" i="7"/>
  <c r="H176" i="7"/>
  <c r="G176" i="7"/>
  <c r="H175" i="7"/>
  <c r="G175" i="7"/>
  <c r="H174" i="7"/>
  <c r="G174" i="7"/>
  <c r="H173" i="7"/>
  <c r="G173" i="7"/>
  <c r="H172" i="7"/>
  <c r="G172" i="7"/>
  <c r="H171" i="7"/>
  <c r="G171" i="7"/>
  <c r="H170" i="7"/>
  <c r="G170" i="7"/>
  <c r="H169" i="7"/>
  <c r="G169" i="7"/>
  <c r="H168" i="7"/>
  <c r="G168" i="7"/>
  <c r="H167" i="7"/>
  <c r="G167" i="7"/>
  <c r="H166" i="7"/>
  <c r="G166" i="7"/>
  <c r="H165" i="7"/>
  <c r="G165" i="7"/>
  <c r="H164" i="7"/>
  <c r="G164" i="7"/>
  <c r="H163" i="7"/>
  <c r="G163" i="7"/>
  <c r="H162" i="7"/>
  <c r="G162" i="7"/>
  <c r="H161" i="7"/>
  <c r="G161" i="7"/>
  <c r="H160" i="7"/>
  <c r="G160" i="7"/>
  <c r="H159" i="7"/>
  <c r="G159" i="7"/>
  <c r="H158" i="7"/>
  <c r="G158" i="7"/>
  <c r="H157" i="7"/>
  <c r="G157" i="7"/>
  <c r="H156" i="7"/>
  <c r="G156" i="7"/>
  <c r="H155" i="7"/>
  <c r="G155" i="7"/>
  <c r="H154" i="7"/>
  <c r="G154" i="7"/>
  <c r="H153" i="7"/>
  <c r="G153" i="7"/>
  <c r="H152" i="7"/>
  <c r="G152" i="7"/>
  <c r="H151" i="7"/>
  <c r="G151" i="7"/>
  <c r="H150" i="7"/>
  <c r="G150" i="7"/>
  <c r="H149" i="7"/>
  <c r="G149" i="7"/>
  <c r="H148" i="7"/>
  <c r="G148" i="7"/>
  <c r="H147" i="7"/>
  <c r="G147" i="7"/>
  <c r="H146" i="7"/>
  <c r="G146" i="7"/>
  <c r="H145" i="7"/>
  <c r="G145" i="7"/>
  <c r="H144" i="7"/>
  <c r="G144" i="7"/>
  <c r="H143" i="7"/>
  <c r="G143" i="7"/>
  <c r="H142" i="7"/>
  <c r="G142" i="7"/>
  <c r="H141" i="7"/>
  <c r="G141" i="7"/>
  <c r="H140" i="7"/>
  <c r="G140" i="7"/>
  <c r="H139" i="7"/>
  <c r="G139" i="7"/>
  <c r="H138" i="7"/>
  <c r="G138" i="7"/>
  <c r="H137" i="7"/>
  <c r="G137" i="7"/>
  <c r="H136" i="7"/>
  <c r="G136" i="7"/>
  <c r="H135" i="7"/>
  <c r="G135" i="7"/>
  <c r="H134" i="7"/>
  <c r="G134" i="7"/>
  <c r="H133" i="7"/>
  <c r="G133" i="7"/>
  <c r="H132" i="7"/>
  <c r="G132" i="7"/>
  <c r="H131" i="7"/>
  <c r="G131" i="7"/>
  <c r="H130" i="7"/>
  <c r="G130" i="7"/>
  <c r="H129" i="7"/>
  <c r="G129" i="7"/>
  <c r="H128" i="7"/>
  <c r="G128" i="7"/>
  <c r="H127" i="7"/>
  <c r="G127" i="7"/>
  <c r="H126" i="7"/>
  <c r="G126" i="7"/>
  <c r="H125" i="7"/>
  <c r="G125" i="7"/>
  <c r="H124" i="7"/>
  <c r="G124" i="7"/>
  <c r="H123" i="7"/>
  <c r="G123" i="7"/>
  <c r="H122" i="7"/>
  <c r="G122" i="7"/>
  <c r="H121" i="7"/>
  <c r="G121" i="7"/>
  <c r="H120" i="7"/>
  <c r="G120" i="7"/>
  <c r="H119" i="7"/>
  <c r="G119" i="7"/>
  <c r="H118" i="7"/>
  <c r="G118" i="7"/>
  <c r="H117" i="7"/>
  <c r="G117" i="7"/>
  <c r="H116" i="7"/>
  <c r="G116" i="7"/>
  <c r="H115" i="7"/>
  <c r="G115" i="7"/>
  <c r="H114" i="7"/>
  <c r="G114" i="7"/>
  <c r="H113" i="7"/>
  <c r="G113" i="7"/>
  <c r="H112" i="7"/>
  <c r="G112" i="7"/>
  <c r="H111" i="7"/>
  <c r="G111" i="7"/>
  <c r="H110" i="7"/>
  <c r="G110" i="7"/>
  <c r="H109" i="7"/>
  <c r="G109" i="7"/>
  <c r="H108" i="7"/>
  <c r="G108" i="7"/>
  <c r="H107" i="7"/>
  <c r="G107" i="7"/>
  <c r="H106" i="7"/>
  <c r="G106" i="7"/>
  <c r="H105" i="7"/>
  <c r="G105" i="7"/>
  <c r="H104" i="7"/>
  <c r="G104" i="7"/>
  <c r="H103" i="7"/>
  <c r="G103" i="7"/>
  <c r="H102" i="7"/>
  <c r="G102" i="7"/>
  <c r="H101" i="7"/>
  <c r="G101" i="7"/>
  <c r="H100" i="7"/>
  <c r="G100" i="7"/>
  <c r="H99" i="7"/>
  <c r="G99" i="7"/>
  <c r="H98" i="7"/>
  <c r="G98" i="7"/>
  <c r="H97" i="7"/>
  <c r="G97" i="7"/>
  <c r="H96" i="7"/>
  <c r="G96" i="7"/>
  <c r="H95" i="7"/>
  <c r="G95" i="7"/>
  <c r="H94" i="7"/>
  <c r="G94" i="7"/>
  <c r="H93" i="7"/>
  <c r="G93" i="7"/>
  <c r="H92" i="7"/>
  <c r="G92" i="7"/>
  <c r="H91" i="7"/>
  <c r="G91" i="7"/>
  <c r="H90" i="7"/>
  <c r="G90" i="7"/>
  <c r="H89" i="7"/>
  <c r="G89" i="7"/>
  <c r="H88" i="7"/>
  <c r="G88" i="7"/>
  <c r="H87" i="7"/>
  <c r="G87" i="7"/>
  <c r="H86" i="7"/>
  <c r="G86" i="7"/>
  <c r="H85" i="7"/>
  <c r="G85" i="7"/>
  <c r="H84" i="7"/>
  <c r="G84" i="7"/>
  <c r="H83" i="7"/>
  <c r="G83" i="7"/>
  <c r="H82" i="7"/>
  <c r="G82" i="7"/>
  <c r="H81" i="7"/>
  <c r="G81" i="7"/>
  <c r="H80" i="7"/>
  <c r="G80" i="7"/>
  <c r="H79" i="7"/>
  <c r="G79" i="7"/>
  <c r="H78" i="7"/>
  <c r="G78" i="7"/>
  <c r="H77" i="7"/>
  <c r="G77" i="7"/>
  <c r="H76" i="7"/>
  <c r="G76" i="7"/>
  <c r="H75" i="7"/>
  <c r="G75" i="7"/>
  <c r="H74" i="7"/>
  <c r="G74" i="7"/>
  <c r="H73" i="7"/>
  <c r="G73" i="7"/>
  <c r="H72" i="7"/>
  <c r="G72" i="7"/>
  <c r="H71" i="7"/>
  <c r="G71" i="7"/>
  <c r="H70" i="7"/>
  <c r="G70" i="7"/>
  <c r="H69" i="7"/>
  <c r="G69" i="7"/>
  <c r="H68" i="7"/>
  <c r="G68" i="7"/>
  <c r="H67" i="7"/>
  <c r="G67" i="7"/>
  <c r="H66" i="7"/>
  <c r="G66" i="7"/>
  <c r="H65" i="7"/>
  <c r="G65" i="7"/>
  <c r="H64" i="7"/>
  <c r="G64" i="7"/>
  <c r="H63" i="7"/>
  <c r="G63" i="7"/>
  <c r="H62" i="7"/>
  <c r="G62" i="7"/>
  <c r="H61" i="7"/>
  <c r="G61" i="7"/>
  <c r="H60" i="7"/>
  <c r="G60" i="7"/>
  <c r="H59" i="7"/>
  <c r="G59" i="7"/>
  <c r="H58" i="7"/>
  <c r="G58" i="7"/>
  <c r="H57" i="7"/>
  <c r="G57" i="7"/>
  <c r="H56" i="7"/>
  <c r="G56" i="7"/>
  <c r="H55" i="7"/>
  <c r="G55" i="7"/>
  <c r="H54" i="7"/>
  <c r="G54" i="7"/>
  <c r="H53" i="7"/>
  <c r="G53" i="7"/>
  <c r="H52" i="7"/>
  <c r="G52" i="7"/>
  <c r="H51" i="7"/>
  <c r="G51" i="7"/>
  <c r="H50" i="7"/>
  <c r="G50" i="7"/>
  <c r="H49" i="7"/>
  <c r="G49" i="7"/>
  <c r="H48" i="7"/>
  <c r="G48" i="7"/>
  <c r="H47" i="7"/>
  <c r="G47" i="7"/>
  <c r="H46" i="7"/>
  <c r="G46" i="7"/>
  <c r="H45" i="7"/>
  <c r="G45" i="7"/>
  <c r="H44" i="7"/>
  <c r="G44" i="7"/>
  <c r="H43" i="7"/>
  <c r="G43" i="7"/>
  <c r="H42" i="7"/>
  <c r="G42" i="7"/>
  <c r="H41" i="7"/>
  <c r="G41" i="7"/>
  <c r="H40" i="7"/>
  <c r="G40" i="7"/>
  <c r="H39" i="7"/>
  <c r="G39" i="7"/>
  <c r="H38" i="7"/>
  <c r="G38" i="7"/>
  <c r="H37" i="7"/>
  <c r="G37" i="7"/>
  <c r="H36" i="7"/>
  <c r="G36" i="7"/>
  <c r="H35" i="7"/>
  <c r="G35" i="7"/>
  <c r="H34" i="7"/>
  <c r="G34" i="7"/>
  <c r="H33" i="7"/>
  <c r="G33" i="7"/>
  <c r="H32" i="7"/>
  <c r="G32" i="7"/>
  <c r="H31" i="7"/>
  <c r="G31" i="7"/>
  <c r="H30" i="7"/>
  <c r="G30" i="7"/>
  <c r="H29" i="7"/>
  <c r="G29" i="7"/>
  <c r="H28" i="7"/>
  <c r="G28" i="7"/>
  <c r="H27" i="7"/>
  <c r="G27" i="7"/>
  <c r="H26" i="7"/>
  <c r="G26" i="7"/>
  <c r="H25" i="7"/>
  <c r="G25" i="7"/>
  <c r="H24" i="7"/>
  <c r="G24" i="7"/>
  <c r="H23" i="7"/>
  <c r="G23" i="7"/>
  <c r="H22" i="7"/>
  <c r="G22" i="7"/>
  <c r="H21" i="7"/>
  <c r="G21" i="7"/>
  <c r="H20" i="7"/>
  <c r="G20" i="7"/>
  <c r="H19" i="7"/>
  <c r="G19" i="7"/>
  <c r="H18" i="7"/>
  <c r="G18" i="7"/>
  <c r="H17" i="7"/>
  <c r="G17" i="7"/>
  <c r="H16" i="7"/>
  <c r="G16" i="7"/>
  <c r="H15" i="7"/>
  <c r="G15" i="7"/>
  <c r="H14" i="7"/>
  <c r="G14" i="7"/>
  <c r="H13" i="7"/>
  <c r="G13" i="7"/>
  <c r="H12" i="7"/>
  <c r="G12" i="7"/>
  <c r="H11" i="7"/>
  <c r="G11" i="7"/>
  <c r="H10" i="7"/>
  <c r="G10" i="7"/>
  <c r="H9" i="7"/>
  <c r="G9" i="7"/>
  <c r="H8" i="7"/>
  <c r="G8" i="7"/>
  <c r="H7" i="7"/>
  <c r="G7" i="7"/>
  <c r="H6" i="7"/>
  <c r="G6" i="7"/>
  <c r="H5" i="7"/>
  <c r="G5" i="7"/>
  <c r="H4" i="7"/>
  <c r="G4" i="7"/>
  <c r="H3" i="7"/>
  <c r="G3" i="7"/>
  <c r="H2" i="7"/>
  <c r="G2" i="7"/>
  <c r="H501" i="6"/>
  <c r="G501" i="6"/>
  <c r="H500" i="6"/>
  <c r="G500" i="6"/>
  <c r="H499" i="6"/>
  <c r="G499" i="6"/>
  <c r="H498" i="6"/>
  <c r="G498" i="6"/>
  <c r="H497" i="6"/>
  <c r="G497" i="6"/>
  <c r="H496" i="6"/>
  <c r="G496" i="6"/>
  <c r="H495" i="6"/>
  <c r="G495" i="6"/>
  <c r="H494" i="6"/>
  <c r="G494" i="6"/>
  <c r="H493" i="6"/>
  <c r="G493" i="6"/>
  <c r="H492" i="6"/>
  <c r="G492" i="6"/>
  <c r="H491" i="6"/>
  <c r="G491" i="6"/>
  <c r="H490" i="6"/>
  <c r="G490" i="6"/>
  <c r="H489" i="6"/>
  <c r="G489" i="6"/>
  <c r="H488" i="6"/>
  <c r="G488" i="6"/>
  <c r="H487" i="6"/>
  <c r="G487" i="6"/>
  <c r="H486" i="6"/>
  <c r="G486" i="6"/>
  <c r="H485" i="6"/>
  <c r="G485" i="6"/>
  <c r="H484" i="6"/>
  <c r="G484" i="6"/>
  <c r="H483" i="6"/>
  <c r="G483" i="6"/>
  <c r="H482" i="6"/>
  <c r="G482" i="6"/>
  <c r="H481" i="6"/>
  <c r="G481" i="6"/>
  <c r="H480" i="6"/>
  <c r="G480" i="6"/>
  <c r="H479" i="6"/>
  <c r="G479" i="6"/>
  <c r="H478" i="6"/>
  <c r="G478" i="6"/>
  <c r="H477" i="6"/>
  <c r="G477" i="6"/>
  <c r="H476" i="6"/>
  <c r="G476" i="6"/>
  <c r="H475" i="6"/>
  <c r="G475" i="6"/>
  <c r="H474" i="6"/>
  <c r="G474" i="6"/>
  <c r="H473" i="6"/>
  <c r="G473" i="6"/>
  <c r="H472" i="6"/>
  <c r="G472" i="6"/>
  <c r="H471" i="6"/>
  <c r="G471" i="6"/>
  <c r="H470" i="6"/>
  <c r="G470" i="6"/>
  <c r="H469" i="6"/>
  <c r="G469" i="6"/>
  <c r="H468" i="6"/>
  <c r="G468" i="6"/>
  <c r="H467" i="6"/>
  <c r="G467" i="6"/>
  <c r="H466" i="6"/>
  <c r="G466" i="6"/>
  <c r="H465" i="6"/>
  <c r="G465" i="6"/>
  <c r="H464" i="6"/>
  <c r="G464" i="6"/>
  <c r="H463" i="6"/>
  <c r="G463" i="6"/>
  <c r="H462" i="6"/>
  <c r="G462" i="6"/>
  <c r="H461" i="6"/>
  <c r="G461" i="6"/>
  <c r="H460" i="6"/>
  <c r="G460" i="6"/>
  <c r="H459" i="6"/>
  <c r="G459" i="6"/>
  <c r="H458" i="6"/>
  <c r="G458" i="6"/>
  <c r="H457" i="6"/>
  <c r="G457" i="6"/>
  <c r="H456" i="6"/>
  <c r="G456" i="6"/>
  <c r="H455" i="6"/>
  <c r="G455" i="6"/>
  <c r="H454" i="6"/>
  <c r="G454" i="6"/>
  <c r="H453" i="6"/>
  <c r="G453" i="6"/>
  <c r="H452" i="6"/>
  <c r="G452" i="6"/>
  <c r="H451" i="6"/>
  <c r="G451" i="6"/>
  <c r="H450" i="6"/>
  <c r="G450" i="6"/>
  <c r="H449" i="6"/>
  <c r="G449" i="6"/>
  <c r="H448" i="6"/>
  <c r="G448" i="6"/>
  <c r="H447" i="6"/>
  <c r="G447" i="6"/>
  <c r="H446" i="6"/>
  <c r="G446" i="6"/>
  <c r="H445" i="6"/>
  <c r="G445" i="6"/>
  <c r="H444" i="6"/>
  <c r="G444" i="6"/>
  <c r="H443" i="6"/>
  <c r="G443" i="6"/>
  <c r="H442" i="6"/>
  <c r="G442" i="6"/>
  <c r="H441" i="6"/>
  <c r="G441" i="6"/>
  <c r="H440" i="6"/>
  <c r="G440" i="6"/>
  <c r="H439" i="6"/>
  <c r="G439" i="6"/>
  <c r="H438" i="6"/>
  <c r="G438" i="6"/>
  <c r="H437" i="6"/>
  <c r="G437" i="6"/>
  <c r="H436" i="6"/>
  <c r="G436" i="6"/>
  <c r="H435" i="6"/>
  <c r="G435" i="6"/>
  <c r="H434" i="6"/>
  <c r="G434" i="6"/>
  <c r="H433" i="6"/>
  <c r="G433" i="6"/>
  <c r="H432" i="6"/>
  <c r="G432" i="6"/>
  <c r="H431" i="6"/>
  <c r="G431" i="6"/>
  <c r="H430" i="6"/>
  <c r="G430" i="6"/>
  <c r="H429" i="6"/>
  <c r="G429" i="6"/>
  <c r="H428" i="6"/>
  <c r="G428" i="6"/>
  <c r="H427" i="6"/>
  <c r="G427" i="6"/>
  <c r="H426" i="6"/>
  <c r="G426" i="6"/>
  <c r="H425" i="6"/>
  <c r="G425" i="6"/>
  <c r="H424" i="6"/>
  <c r="G424" i="6"/>
  <c r="H423" i="6"/>
  <c r="G423" i="6"/>
  <c r="H422" i="6"/>
  <c r="G422" i="6"/>
  <c r="H421" i="6"/>
  <c r="G421" i="6"/>
  <c r="H420" i="6"/>
  <c r="G420" i="6"/>
  <c r="H419" i="6"/>
  <c r="G419" i="6"/>
  <c r="H418" i="6"/>
  <c r="G418" i="6"/>
  <c r="H417" i="6"/>
  <c r="G417" i="6"/>
  <c r="H416" i="6"/>
  <c r="G416" i="6"/>
  <c r="H415" i="6"/>
  <c r="G415" i="6"/>
  <c r="H414" i="6"/>
  <c r="G414" i="6"/>
  <c r="H413" i="6"/>
  <c r="G413" i="6"/>
  <c r="H412" i="6"/>
  <c r="G412" i="6"/>
  <c r="H411" i="6"/>
  <c r="G411" i="6"/>
  <c r="H410" i="6"/>
  <c r="G410" i="6"/>
  <c r="H409" i="6"/>
  <c r="G409" i="6"/>
  <c r="H408" i="6"/>
  <c r="G408" i="6"/>
  <c r="H407" i="6"/>
  <c r="G407" i="6"/>
  <c r="H406" i="6"/>
  <c r="G406" i="6"/>
  <c r="H405" i="6"/>
  <c r="G405" i="6"/>
  <c r="H404" i="6"/>
  <c r="G404" i="6"/>
  <c r="H403" i="6"/>
  <c r="G403" i="6"/>
  <c r="H402" i="6"/>
  <c r="G402" i="6"/>
  <c r="H401" i="6"/>
  <c r="G401" i="6"/>
  <c r="H400" i="6"/>
  <c r="G400" i="6"/>
  <c r="H399" i="6"/>
  <c r="G399" i="6"/>
  <c r="H398" i="6"/>
  <c r="G398" i="6"/>
  <c r="H397" i="6"/>
  <c r="G397" i="6"/>
  <c r="H396" i="6"/>
  <c r="G396" i="6"/>
  <c r="H395" i="6"/>
  <c r="G395" i="6"/>
  <c r="H394" i="6"/>
  <c r="G394" i="6"/>
  <c r="H393" i="6"/>
  <c r="G393" i="6"/>
  <c r="H392" i="6"/>
  <c r="G392" i="6"/>
  <c r="H391" i="6"/>
  <c r="G391" i="6"/>
  <c r="H390" i="6"/>
  <c r="G390" i="6"/>
  <c r="H389" i="6"/>
  <c r="G389" i="6"/>
  <c r="H388" i="6"/>
  <c r="G388" i="6"/>
  <c r="H387" i="6"/>
  <c r="G387" i="6"/>
  <c r="H386" i="6"/>
  <c r="G386" i="6"/>
  <c r="H385" i="6"/>
  <c r="G385" i="6"/>
  <c r="H384" i="6"/>
  <c r="G384" i="6"/>
  <c r="H383" i="6"/>
  <c r="G383" i="6"/>
  <c r="H382" i="6"/>
  <c r="G382" i="6"/>
  <c r="H381" i="6"/>
  <c r="G381" i="6"/>
  <c r="H380" i="6"/>
  <c r="G380" i="6"/>
  <c r="H379" i="6"/>
  <c r="G379" i="6"/>
  <c r="H378" i="6"/>
  <c r="G378" i="6"/>
  <c r="H377" i="6"/>
  <c r="G377" i="6"/>
  <c r="H376" i="6"/>
  <c r="G376" i="6"/>
  <c r="H375" i="6"/>
  <c r="G375" i="6"/>
  <c r="H374" i="6"/>
  <c r="G374" i="6"/>
  <c r="H373" i="6"/>
  <c r="G373" i="6"/>
  <c r="H372" i="6"/>
  <c r="G372" i="6"/>
  <c r="H371" i="6"/>
  <c r="G371" i="6"/>
  <c r="H370" i="6"/>
  <c r="G370" i="6"/>
  <c r="H369" i="6"/>
  <c r="G369" i="6"/>
  <c r="H368" i="6"/>
  <c r="G368" i="6"/>
  <c r="H367" i="6"/>
  <c r="G367" i="6"/>
  <c r="H366" i="6"/>
  <c r="G366" i="6"/>
  <c r="H365" i="6"/>
  <c r="G365" i="6"/>
  <c r="H364" i="6"/>
  <c r="G364" i="6"/>
  <c r="H363" i="6"/>
  <c r="G363" i="6"/>
  <c r="H362" i="6"/>
  <c r="G362" i="6"/>
  <c r="H361" i="6"/>
  <c r="G361" i="6"/>
  <c r="H360" i="6"/>
  <c r="G360" i="6"/>
  <c r="H359" i="6"/>
  <c r="G359" i="6"/>
  <c r="H358" i="6"/>
  <c r="G358" i="6"/>
  <c r="H357" i="6"/>
  <c r="G357" i="6"/>
  <c r="H356" i="6"/>
  <c r="G356" i="6"/>
  <c r="H355" i="6"/>
  <c r="G355" i="6"/>
  <c r="H354" i="6"/>
  <c r="G354" i="6"/>
  <c r="H353" i="6"/>
  <c r="G353" i="6"/>
  <c r="H352" i="6"/>
  <c r="G352" i="6"/>
  <c r="H351" i="6"/>
  <c r="G351" i="6"/>
  <c r="H350" i="6"/>
  <c r="G350" i="6"/>
  <c r="H349" i="6"/>
  <c r="G349" i="6"/>
  <c r="H348" i="6"/>
  <c r="G348" i="6"/>
  <c r="H347" i="6"/>
  <c r="G347" i="6"/>
  <c r="H346" i="6"/>
  <c r="G346" i="6"/>
  <c r="H345" i="6"/>
  <c r="G345" i="6"/>
  <c r="H344" i="6"/>
  <c r="G344" i="6"/>
  <c r="H343" i="6"/>
  <c r="G343" i="6"/>
  <c r="H342" i="6"/>
  <c r="G342" i="6"/>
  <c r="H341" i="6"/>
  <c r="G341" i="6"/>
  <c r="H340" i="6"/>
  <c r="G340" i="6"/>
  <c r="H339" i="6"/>
  <c r="G339" i="6"/>
  <c r="H338" i="6"/>
  <c r="G338" i="6"/>
  <c r="H337" i="6"/>
  <c r="G337" i="6"/>
  <c r="H336" i="6"/>
  <c r="G336" i="6"/>
  <c r="H335" i="6"/>
  <c r="G335" i="6"/>
  <c r="H334" i="6"/>
  <c r="G334" i="6"/>
  <c r="H333" i="6"/>
  <c r="G333" i="6"/>
  <c r="H332" i="6"/>
  <c r="G332" i="6"/>
  <c r="H331" i="6"/>
  <c r="G331" i="6"/>
  <c r="H330" i="6"/>
  <c r="G330" i="6"/>
  <c r="H329" i="6"/>
  <c r="G329" i="6"/>
  <c r="H328" i="6"/>
  <c r="G328" i="6"/>
  <c r="H327" i="6"/>
  <c r="G327" i="6"/>
  <c r="H326" i="6"/>
  <c r="G326" i="6"/>
  <c r="H325" i="6"/>
  <c r="G325" i="6"/>
  <c r="H324" i="6"/>
  <c r="G324" i="6"/>
  <c r="H323" i="6"/>
  <c r="G323" i="6"/>
  <c r="H322" i="6"/>
  <c r="G322" i="6"/>
  <c r="H321" i="6"/>
  <c r="G321" i="6"/>
  <c r="H320" i="6"/>
  <c r="G320" i="6"/>
  <c r="H319" i="6"/>
  <c r="G319" i="6"/>
  <c r="H318" i="6"/>
  <c r="G318" i="6"/>
  <c r="H317" i="6"/>
  <c r="G317" i="6"/>
  <c r="H316" i="6"/>
  <c r="G316" i="6"/>
  <c r="H315" i="6"/>
  <c r="G315" i="6"/>
  <c r="H314" i="6"/>
  <c r="G314" i="6"/>
  <c r="H313" i="6"/>
  <c r="G313" i="6"/>
  <c r="H312" i="6"/>
  <c r="G312" i="6"/>
  <c r="H311" i="6"/>
  <c r="G311" i="6"/>
  <c r="H310" i="6"/>
  <c r="G310" i="6"/>
  <c r="H309" i="6"/>
  <c r="G309" i="6"/>
  <c r="H308" i="6"/>
  <c r="G308" i="6"/>
  <c r="H307" i="6"/>
  <c r="G307" i="6"/>
  <c r="H306" i="6"/>
  <c r="G306" i="6"/>
  <c r="H305" i="6"/>
  <c r="G305" i="6"/>
  <c r="H304" i="6"/>
  <c r="G304" i="6"/>
  <c r="H303" i="6"/>
  <c r="G303" i="6"/>
  <c r="H302" i="6"/>
  <c r="G302" i="6"/>
  <c r="H301" i="6"/>
  <c r="G301" i="6"/>
  <c r="H300" i="6"/>
  <c r="G300" i="6"/>
  <c r="H299" i="6"/>
  <c r="G299" i="6"/>
  <c r="H298" i="6"/>
  <c r="G298" i="6"/>
  <c r="H297" i="6"/>
  <c r="G297" i="6"/>
  <c r="H296" i="6"/>
  <c r="G296" i="6"/>
  <c r="H295" i="6"/>
  <c r="G295" i="6"/>
  <c r="H294" i="6"/>
  <c r="G294" i="6"/>
  <c r="H293" i="6"/>
  <c r="G293" i="6"/>
  <c r="H292" i="6"/>
  <c r="G292" i="6"/>
  <c r="H291" i="6"/>
  <c r="G291" i="6"/>
  <c r="H290" i="6"/>
  <c r="G290" i="6"/>
  <c r="H289" i="6"/>
  <c r="G289" i="6"/>
  <c r="H288" i="6"/>
  <c r="G288" i="6"/>
  <c r="H287" i="6"/>
  <c r="G287" i="6"/>
  <c r="H286" i="6"/>
  <c r="G286" i="6"/>
  <c r="H285" i="6"/>
  <c r="G285" i="6"/>
  <c r="H284" i="6"/>
  <c r="G284" i="6"/>
  <c r="H283" i="6"/>
  <c r="G283" i="6"/>
  <c r="H282" i="6"/>
  <c r="G282" i="6"/>
  <c r="H281" i="6"/>
  <c r="G281" i="6"/>
  <c r="H280" i="6"/>
  <c r="G280" i="6"/>
  <c r="H279" i="6"/>
  <c r="G279" i="6"/>
  <c r="H278" i="6"/>
  <c r="G278" i="6"/>
  <c r="H277" i="6"/>
  <c r="G277" i="6"/>
  <c r="H276" i="6"/>
  <c r="G276" i="6"/>
  <c r="H275" i="6"/>
  <c r="G275" i="6"/>
  <c r="H274" i="6"/>
  <c r="G274" i="6"/>
  <c r="H273" i="6"/>
  <c r="G273" i="6"/>
  <c r="H272" i="6"/>
  <c r="G272" i="6"/>
  <c r="H271" i="6"/>
  <c r="G271" i="6"/>
  <c r="H270" i="6"/>
  <c r="G270" i="6"/>
  <c r="H269" i="6"/>
  <c r="G269" i="6"/>
  <c r="H268" i="6"/>
  <c r="G268" i="6"/>
  <c r="H267" i="6"/>
  <c r="G267" i="6"/>
  <c r="H266" i="6"/>
  <c r="G266" i="6"/>
  <c r="H265" i="6"/>
  <c r="G265" i="6"/>
  <c r="H264" i="6"/>
  <c r="G264" i="6"/>
  <c r="H263" i="6"/>
  <c r="G263" i="6"/>
  <c r="H262" i="6"/>
  <c r="G262" i="6"/>
  <c r="H261" i="6"/>
  <c r="G261" i="6"/>
  <c r="H260" i="6"/>
  <c r="G260" i="6"/>
  <c r="H259" i="6"/>
  <c r="G259" i="6"/>
  <c r="H258" i="6"/>
  <c r="G258" i="6"/>
  <c r="H257" i="6"/>
  <c r="G257" i="6"/>
  <c r="H256" i="6"/>
  <c r="G256" i="6"/>
  <c r="H255" i="6"/>
  <c r="G255" i="6"/>
  <c r="H254" i="6"/>
  <c r="G254" i="6"/>
  <c r="H253" i="6"/>
  <c r="G253" i="6"/>
  <c r="H252" i="6"/>
  <c r="G252" i="6"/>
  <c r="H251" i="6"/>
  <c r="G251" i="6"/>
  <c r="H250" i="6"/>
  <c r="G250" i="6"/>
  <c r="H249" i="6"/>
  <c r="G249" i="6"/>
  <c r="H248" i="6"/>
  <c r="G248" i="6"/>
  <c r="H247" i="6"/>
  <c r="G247" i="6"/>
  <c r="H246" i="6"/>
  <c r="G246" i="6"/>
  <c r="H245" i="6"/>
  <c r="G245" i="6"/>
  <c r="H244" i="6"/>
  <c r="G244" i="6"/>
  <c r="H243" i="6"/>
  <c r="G243" i="6"/>
  <c r="H242" i="6"/>
  <c r="G242" i="6"/>
  <c r="H241" i="6"/>
  <c r="G241" i="6"/>
  <c r="H240" i="6"/>
  <c r="G240" i="6"/>
  <c r="H239" i="6"/>
  <c r="G239" i="6"/>
  <c r="H238" i="6"/>
  <c r="G238" i="6"/>
  <c r="H237" i="6"/>
  <c r="G237" i="6"/>
  <c r="H236" i="6"/>
  <c r="G236" i="6"/>
  <c r="H235" i="6"/>
  <c r="G235" i="6"/>
  <c r="H234" i="6"/>
  <c r="G234" i="6"/>
  <c r="H233" i="6"/>
  <c r="G233" i="6"/>
  <c r="H232" i="6"/>
  <c r="G232" i="6"/>
  <c r="H231" i="6"/>
  <c r="G231" i="6"/>
  <c r="H230" i="6"/>
  <c r="G230" i="6"/>
  <c r="H229" i="6"/>
  <c r="G229" i="6"/>
  <c r="H228" i="6"/>
  <c r="G228" i="6"/>
  <c r="H227" i="6"/>
  <c r="G227" i="6"/>
  <c r="H226" i="6"/>
  <c r="G226" i="6"/>
  <c r="H225" i="6"/>
  <c r="G225" i="6"/>
  <c r="H224" i="6"/>
  <c r="G224" i="6"/>
  <c r="H223" i="6"/>
  <c r="G223" i="6"/>
  <c r="H222" i="6"/>
  <c r="G222" i="6"/>
  <c r="H221" i="6"/>
  <c r="G221" i="6"/>
  <c r="H220" i="6"/>
  <c r="G220" i="6"/>
  <c r="H219" i="6"/>
  <c r="G219" i="6"/>
  <c r="H218" i="6"/>
  <c r="G218" i="6"/>
  <c r="H217" i="6"/>
  <c r="G217" i="6"/>
  <c r="H216" i="6"/>
  <c r="G216" i="6"/>
  <c r="H215" i="6"/>
  <c r="G215" i="6"/>
  <c r="H214" i="6"/>
  <c r="G214" i="6"/>
  <c r="H213" i="6"/>
  <c r="G213" i="6"/>
  <c r="H212" i="6"/>
  <c r="G212" i="6"/>
  <c r="H211" i="6"/>
  <c r="G211" i="6"/>
  <c r="H210" i="6"/>
  <c r="G210" i="6"/>
  <c r="H209" i="6"/>
  <c r="G209" i="6"/>
  <c r="H208" i="6"/>
  <c r="G208" i="6"/>
  <c r="H207" i="6"/>
  <c r="G207" i="6"/>
  <c r="H206" i="6"/>
  <c r="G206" i="6"/>
  <c r="H205" i="6"/>
  <c r="G205" i="6"/>
  <c r="H204" i="6"/>
  <c r="G204" i="6"/>
  <c r="H203" i="6"/>
  <c r="G203" i="6"/>
  <c r="H202" i="6"/>
  <c r="G202" i="6"/>
  <c r="H201" i="6"/>
  <c r="G201" i="6"/>
  <c r="H200" i="6"/>
  <c r="G200" i="6"/>
  <c r="H199" i="6"/>
  <c r="G199" i="6"/>
  <c r="H198" i="6"/>
  <c r="G198" i="6"/>
  <c r="H197" i="6"/>
  <c r="G197" i="6"/>
  <c r="H196" i="6"/>
  <c r="G196" i="6"/>
  <c r="H195" i="6"/>
  <c r="G195" i="6"/>
  <c r="H194" i="6"/>
  <c r="G194" i="6"/>
  <c r="H193" i="6"/>
  <c r="G193" i="6"/>
  <c r="H192" i="6"/>
  <c r="G192" i="6"/>
  <c r="H191" i="6"/>
  <c r="G191" i="6"/>
  <c r="H190" i="6"/>
  <c r="G190" i="6"/>
  <c r="H189" i="6"/>
  <c r="G189" i="6"/>
  <c r="H188" i="6"/>
  <c r="G188" i="6"/>
  <c r="H187" i="6"/>
  <c r="G187" i="6"/>
  <c r="H186" i="6"/>
  <c r="G186" i="6"/>
  <c r="H185" i="6"/>
  <c r="G185" i="6"/>
  <c r="H184" i="6"/>
  <c r="G184" i="6"/>
  <c r="H183" i="6"/>
  <c r="G183" i="6"/>
  <c r="H182" i="6"/>
  <c r="G182" i="6"/>
  <c r="H181" i="6"/>
  <c r="G181" i="6"/>
  <c r="H180" i="6"/>
  <c r="G180" i="6"/>
  <c r="H179" i="6"/>
  <c r="G179" i="6"/>
  <c r="H178" i="6"/>
  <c r="G178" i="6"/>
  <c r="H177" i="6"/>
  <c r="G177" i="6"/>
  <c r="H176" i="6"/>
  <c r="G176" i="6"/>
  <c r="H175" i="6"/>
  <c r="G175" i="6"/>
  <c r="H174" i="6"/>
  <c r="G174" i="6"/>
  <c r="H173" i="6"/>
  <c r="G173" i="6"/>
  <c r="H172" i="6"/>
  <c r="G172" i="6"/>
  <c r="H171" i="6"/>
  <c r="G171" i="6"/>
  <c r="H170" i="6"/>
  <c r="G170" i="6"/>
  <c r="H169" i="6"/>
  <c r="G169" i="6"/>
  <c r="H168" i="6"/>
  <c r="G168" i="6"/>
  <c r="H167" i="6"/>
  <c r="G167" i="6"/>
  <c r="H166" i="6"/>
  <c r="G166" i="6"/>
  <c r="H165" i="6"/>
  <c r="G165" i="6"/>
  <c r="H164" i="6"/>
  <c r="G164" i="6"/>
  <c r="H163" i="6"/>
  <c r="G163" i="6"/>
  <c r="H162" i="6"/>
  <c r="G162" i="6"/>
  <c r="H161" i="6"/>
  <c r="G161" i="6"/>
  <c r="H160" i="6"/>
  <c r="G160" i="6"/>
  <c r="H159" i="6"/>
  <c r="G159" i="6"/>
  <c r="H158" i="6"/>
  <c r="G158" i="6"/>
  <c r="H157" i="6"/>
  <c r="G157" i="6"/>
  <c r="H156" i="6"/>
  <c r="G156" i="6"/>
  <c r="H155" i="6"/>
  <c r="G155" i="6"/>
  <c r="H154" i="6"/>
  <c r="G154" i="6"/>
  <c r="H153" i="6"/>
  <c r="G153" i="6"/>
  <c r="H152" i="6"/>
  <c r="G152" i="6"/>
  <c r="H151" i="6"/>
  <c r="G151" i="6"/>
  <c r="H150" i="6"/>
  <c r="G150" i="6"/>
  <c r="H149" i="6"/>
  <c r="G149" i="6"/>
  <c r="H148" i="6"/>
  <c r="G148" i="6"/>
  <c r="H147" i="6"/>
  <c r="G147" i="6"/>
  <c r="H146" i="6"/>
  <c r="G146" i="6"/>
  <c r="H145" i="6"/>
  <c r="G145" i="6"/>
  <c r="H144" i="6"/>
  <c r="G144" i="6"/>
  <c r="H143" i="6"/>
  <c r="G143" i="6"/>
  <c r="H142" i="6"/>
  <c r="G142" i="6"/>
  <c r="H141" i="6"/>
  <c r="G141" i="6"/>
  <c r="H140" i="6"/>
  <c r="G140" i="6"/>
  <c r="H139" i="6"/>
  <c r="G139" i="6"/>
  <c r="H138" i="6"/>
  <c r="G138" i="6"/>
  <c r="H137" i="6"/>
  <c r="G137" i="6"/>
  <c r="H136" i="6"/>
  <c r="G136" i="6"/>
  <c r="H135" i="6"/>
  <c r="G135" i="6"/>
  <c r="H134" i="6"/>
  <c r="G134" i="6"/>
  <c r="H133" i="6"/>
  <c r="G133" i="6"/>
  <c r="H132" i="6"/>
  <c r="G132" i="6"/>
  <c r="H131" i="6"/>
  <c r="G131" i="6"/>
  <c r="H130" i="6"/>
  <c r="G130" i="6"/>
  <c r="H129" i="6"/>
  <c r="G129" i="6"/>
  <c r="H128" i="6"/>
  <c r="G128" i="6"/>
  <c r="H127" i="6"/>
  <c r="G127" i="6"/>
  <c r="H126" i="6"/>
  <c r="G126" i="6"/>
  <c r="H125" i="6"/>
  <c r="G125" i="6"/>
  <c r="H124" i="6"/>
  <c r="G124" i="6"/>
  <c r="H123" i="6"/>
  <c r="G123" i="6"/>
  <c r="H122" i="6"/>
  <c r="G122" i="6"/>
  <c r="H121" i="6"/>
  <c r="G121" i="6"/>
  <c r="H120" i="6"/>
  <c r="G120" i="6"/>
  <c r="H119" i="6"/>
  <c r="G119" i="6"/>
  <c r="H118" i="6"/>
  <c r="G118" i="6"/>
  <c r="H117" i="6"/>
  <c r="G117" i="6"/>
  <c r="H116" i="6"/>
  <c r="G116" i="6"/>
  <c r="H115" i="6"/>
  <c r="G115" i="6"/>
  <c r="H114" i="6"/>
  <c r="G114" i="6"/>
  <c r="H113" i="6"/>
  <c r="G113" i="6"/>
  <c r="H112" i="6"/>
  <c r="G112" i="6"/>
  <c r="H111" i="6"/>
  <c r="G111" i="6"/>
  <c r="H110" i="6"/>
  <c r="G110" i="6"/>
  <c r="H109" i="6"/>
  <c r="G109" i="6"/>
  <c r="H108" i="6"/>
  <c r="G108" i="6"/>
  <c r="H107" i="6"/>
  <c r="G107" i="6"/>
  <c r="H106" i="6"/>
  <c r="G106" i="6"/>
  <c r="H105" i="6"/>
  <c r="G105" i="6"/>
  <c r="H104" i="6"/>
  <c r="G104" i="6"/>
  <c r="H103" i="6"/>
  <c r="G103" i="6"/>
  <c r="H102" i="6"/>
  <c r="G102" i="6"/>
  <c r="H101" i="6"/>
  <c r="G101" i="6"/>
  <c r="H100" i="6"/>
  <c r="G100" i="6"/>
  <c r="H99" i="6"/>
  <c r="G99" i="6"/>
  <c r="H98" i="6"/>
  <c r="G98" i="6"/>
  <c r="H97" i="6"/>
  <c r="G97" i="6"/>
  <c r="H96" i="6"/>
  <c r="G96" i="6"/>
  <c r="H95" i="6"/>
  <c r="G95" i="6"/>
  <c r="H94" i="6"/>
  <c r="G94" i="6"/>
  <c r="H93" i="6"/>
  <c r="G93" i="6"/>
  <c r="H92" i="6"/>
  <c r="G92" i="6"/>
  <c r="H91" i="6"/>
  <c r="G91" i="6"/>
  <c r="H90" i="6"/>
  <c r="G90" i="6"/>
  <c r="H89" i="6"/>
  <c r="G89" i="6"/>
  <c r="H88" i="6"/>
  <c r="G88" i="6"/>
  <c r="H87" i="6"/>
  <c r="G87" i="6"/>
  <c r="H86" i="6"/>
  <c r="G86" i="6"/>
  <c r="H85" i="6"/>
  <c r="G85" i="6"/>
  <c r="H84" i="6"/>
  <c r="G84" i="6"/>
  <c r="H83" i="6"/>
  <c r="G83" i="6"/>
  <c r="H82" i="6"/>
  <c r="G82" i="6"/>
  <c r="H81" i="6"/>
  <c r="G81" i="6"/>
  <c r="H80" i="6"/>
  <c r="G80" i="6"/>
  <c r="H79" i="6"/>
  <c r="G79" i="6"/>
  <c r="H78" i="6"/>
  <c r="G78" i="6"/>
  <c r="H77" i="6"/>
  <c r="G77" i="6"/>
  <c r="H76" i="6"/>
  <c r="G76" i="6"/>
  <c r="H75" i="6"/>
  <c r="G75" i="6"/>
  <c r="H74" i="6"/>
  <c r="G74" i="6"/>
  <c r="H73" i="6"/>
  <c r="G73" i="6"/>
  <c r="H72" i="6"/>
  <c r="G72" i="6"/>
  <c r="H71" i="6"/>
  <c r="G71" i="6"/>
  <c r="H70" i="6"/>
  <c r="G70" i="6"/>
  <c r="H69" i="6"/>
  <c r="G69" i="6"/>
  <c r="H68" i="6"/>
  <c r="G68" i="6"/>
  <c r="H67" i="6"/>
  <c r="G67" i="6"/>
  <c r="H66" i="6"/>
  <c r="G66" i="6"/>
  <c r="H65" i="6"/>
  <c r="G65" i="6"/>
  <c r="H64" i="6"/>
  <c r="G64" i="6"/>
  <c r="H63" i="6"/>
  <c r="G63" i="6"/>
  <c r="H62" i="6"/>
  <c r="G62" i="6"/>
  <c r="H61" i="6"/>
  <c r="G61" i="6"/>
  <c r="H60" i="6"/>
  <c r="G60" i="6"/>
  <c r="H59" i="6"/>
  <c r="G59" i="6"/>
  <c r="H58" i="6"/>
  <c r="G58" i="6"/>
  <c r="H57" i="6"/>
  <c r="G57" i="6"/>
  <c r="H56" i="6"/>
  <c r="G56" i="6"/>
  <c r="H55" i="6"/>
  <c r="G55" i="6"/>
  <c r="H54" i="6"/>
  <c r="G54" i="6"/>
  <c r="H53" i="6"/>
  <c r="G53" i="6"/>
  <c r="H52" i="6"/>
  <c r="G52" i="6"/>
  <c r="H51" i="6"/>
  <c r="G51" i="6"/>
  <c r="H50" i="6"/>
  <c r="G50" i="6"/>
  <c r="H49" i="6"/>
  <c r="G49" i="6"/>
  <c r="H48" i="6"/>
  <c r="G48" i="6"/>
  <c r="H47" i="6"/>
  <c r="G47" i="6"/>
  <c r="H46" i="6"/>
  <c r="G46" i="6"/>
  <c r="H45" i="6"/>
  <c r="G45" i="6"/>
  <c r="H44" i="6"/>
  <c r="G44" i="6"/>
  <c r="H43" i="6"/>
  <c r="G43" i="6"/>
  <c r="H42" i="6"/>
  <c r="G42" i="6"/>
  <c r="H41" i="6"/>
  <c r="G41" i="6"/>
  <c r="H40" i="6"/>
  <c r="G40" i="6"/>
  <c r="H39" i="6"/>
  <c r="G39" i="6"/>
  <c r="H38" i="6"/>
  <c r="G38" i="6"/>
  <c r="H37" i="6"/>
  <c r="G37" i="6"/>
  <c r="H36" i="6"/>
  <c r="G36" i="6"/>
  <c r="H35" i="6"/>
  <c r="G35" i="6"/>
  <c r="H34" i="6"/>
  <c r="G34" i="6"/>
  <c r="H33" i="6"/>
  <c r="G33" i="6"/>
  <c r="H32" i="6"/>
  <c r="G32" i="6"/>
  <c r="H31" i="6"/>
  <c r="G31" i="6"/>
  <c r="H30" i="6"/>
  <c r="G30" i="6"/>
  <c r="H29" i="6"/>
  <c r="G29" i="6"/>
  <c r="H28" i="6"/>
  <c r="G28" i="6"/>
  <c r="H27" i="6"/>
  <c r="G27" i="6"/>
  <c r="H26" i="6"/>
  <c r="G26" i="6"/>
  <c r="H25" i="6"/>
  <c r="G25" i="6"/>
  <c r="H24" i="6"/>
  <c r="G24" i="6"/>
  <c r="H23" i="6"/>
  <c r="G23" i="6"/>
  <c r="H22" i="6"/>
  <c r="G22" i="6"/>
  <c r="H21" i="6"/>
  <c r="G21" i="6"/>
  <c r="H20" i="6"/>
  <c r="G20" i="6"/>
  <c r="H19" i="6"/>
  <c r="G19" i="6"/>
  <c r="H18" i="6"/>
  <c r="G18" i="6"/>
  <c r="H17" i="6"/>
  <c r="G17" i="6"/>
  <c r="H16" i="6"/>
  <c r="G16" i="6"/>
  <c r="H15" i="6"/>
  <c r="G15" i="6"/>
  <c r="H14" i="6"/>
  <c r="G14" i="6"/>
  <c r="H13" i="6"/>
  <c r="G13" i="6"/>
  <c r="H12" i="6"/>
  <c r="G12" i="6"/>
  <c r="H11" i="6"/>
  <c r="G11" i="6"/>
  <c r="H10" i="6"/>
  <c r="G10" i="6"/>
  <c r="H9" i="6"/>
  <c r="G9" i="6"/>
  <c r="H8" i="6"/>
  <c r="G8" i="6"/>
  <c r="H7" i="6"/>
  <c r="G7" i="6"/>
  <c r="H6" i="6"/>
  <c r="G6" i="6"/>
  <c r="H5" i="6"/>
  <c r="G5" i="6"/>
  <c r="H4" i="6"/>
  <c r="G4" i="6"/>
  <c r="H3" i="6"/>
  <c r="G3" i="6"/>
  <c r="H2" i="6"/>
  <c r="G2" i="6"/>
  <c r="M1002" i="3"/>
  <c r="L1002" i="3"/>
  <c r="K1002" i="3"/>
  <c r="J1002" i="3"/>
  <c r="M1001" i="3"/>
  <c r="L1001" i="3"/>
  <c r="K1001" i="3"/>
  <c r="J1001" i="3"/>
  <c r="M1000" i="3"/>
  <c r="L1000" i="3"/>
  <c r="K1000" i="3"/>
  <c r="J1000" i="3"/>
  <c r="M999" i="3"/>
  <c r="L999" i="3"/>
  <c r="K999" i="3"/>
  <c r="J999" i="3"/>
  <c r="M998" i="3"/>
  <c r="L998" i="3"/>
  <c r="K998" i="3"/>
  <c r="J998" i="3"/>
  <c r="M997" i="3"/>
  <c r="L997" i="3"/>
  <c r="K997" i="3"/>
  <c r="J997" i="3"/>
  <c r="M996" i="3"/>
  <c r="L996" i="3"/>
  <c r="K996" i="3"/>
  <c r="J996" i="3"/>
  <c r="M995" i="3"/>
  <c r="L995" i="3"/>
  <c r="K995" i="3"/>
  <c r="J995" i="3"/>
  <c r="M994" i="3"/>
  <c r="L994" i="3"/>
  <c r="K994" i="3"/>
  <c r="J994" i="3"/>
  <c r="M993" i="3"/>
  <c r="L993" i="3"/>
  <c r="K993" i="3"/>
  <c r="J993" i="3"/>
  <c r="M992" i="3"/>
  <c r="L992" i="3"/>
  <c r="K992" i="3"/>
  <c r="J992" i="3"/>
  <c r="M991" i="3"/>
  <c r="L991" i="3"/>
  <c r="K991" i="3"/>
  <c r="J991" i="3"/>
  <c r="M990" i="3"/>
  <c r="L990" i="3"/>
  <c r="K990" i="3"/>
  <c r="J990" i="3"/>
  <c r="M989" i="3"/>
  <c r="L989" i="3"/>
  <c r="K989" i="3"/>
  <c r="J989" i="3"/>
  <c r="M988" i="3"/>
  <c r="L988" i="3"/>
  <c r="K988" i="3"/>
  <c r="J988" i="3"/>
  <c r="M987" i="3"/>
  <c r="L987" i="3"/>
  <c r="K987" i="3"/>
  <c r="J987" i="3"/>
  <c r="M986" i="3"/>
  <c r="L986" i="3"/>
  <c r="K986" i="3"/>
  <c r="J986" i="3"/>
  <c r="M985" i="3"/>
  <c r="L985" i="3"/>
  <c r="K985" i="3"/>
  <c r="J985" i="3"/>
  <c r="M984" i="3"/>
  <c r="L984" i="3"/>
  <c r="K984" i="3"/>
  <c r="J984" i="3"/>
  <c r="M983" i="3"/>
  <c r="L983" i="3"/>
  <c r="K983" i="3"/>
  <c r="J983" i="3"/>
  <c r="M982" i="3"/>
  <c r="L982" i="3"/>
  <c r="K982" i="3"/>
  <c r="J982" i="3"/>
  <c r="M981" i="3"/>
  <c r="L981" i="3"/>
  <c r="K981" i="3"/>
  <c r="J981" i="3"/>
  <c r="M980" i="3"/>
  <c r="L980" i="3"/>
  <c r="K980" i="3"/>
  <c r="J980" i="3"/>
  <c r="M979" i="3"/>
  <c r="L979" i="3"/>
  <c r="K979" i="3"/>
  <c r="J979" i="3"/>
  <c r="M978" i="3"/>
  <c r="L978" i="3"/>
  <c r="K978" i="3"/>
  <c r="J978" i="3"/>
  <c r="M977" i="3"/>
  <c r="L977" i="3"/>
  <c r="K977" i="3"/>
  <c r="J977" i="3"/>
  <c r="M976" i="3"/>
  <c r="L976" i="3"/>
  <c r="K976" i="3"/>
  <c r="J976" i="3"/>
  <c r="M975" i="3"/>
  <c r="L975" i="3"/>
  <c r="K975" i="3"/>
  <c r="J975" i="3"/>
  <c r="M974" i="3"/>
  <c r="L974" i="3"/>
  <c r="K974" i="3"/>
  <c r="J974" i="3"/>
  <c r="M973" i="3"/>
  <c r="L973" i="3"/>
  <c r="K973" i="3"/>
  <c r="J973" i="3"/>
  <c r="M972" i="3"/>
  <c r="L972" i="3"/>
  <c r="K972" i="3"/>
  <c r="J972" i="3"/>
  <c r="M971" i="3"/>
  <c r="L971" i="3"/>
  <c r="K971" i="3"/>
  <c r="J971" i="3"/>
  <c r="M970" i="3"/>
  <c r="L970" i="3"/>
  <c r="K970" i="3"/>
  <c r="J970" i="3"/>
  <c r="M969" i="3"/>
  <c r="L969" i="3"/>
  <c r="K969" i="3"/>
  <c r="J969" i="3"/>
  <c r="M968" i="3"/>
  <c r="L968" i="3"/>
  <c r="K968" i="3"/>
  <c r="J968" i="3"/>
  <c r="M967" i="3"/>
  <c r="L967" i="3"/>
  <c r="K967" i="3"/>
  <c r="J967" i="3"/>
  <c r="M966" i="3"/>
  <c r="L966" i="3"/>
  <c r="K966" i="3"/>
  <c r="J966" i="3"/>
  <c r="M965" i="3"/>
  <c r="L965" i="3"/>
  <c r="K965" i="3"/>
  <c r="J965" i="3"/>
  <c r="M964" i="3"/>
  <c r="L964" i="3"/>
  <c r="K964" i="3"/>
  <c r="J964" i="3"/>
  <c r="M963" i="3"/>
  <c r="L963" i="3"/>
  <c r="K963" i="3"/>
  <c r="J963" i="3"/>
  <c r="M962" i="3"/>
  <c r="L962" i="3"/>
  <c r="K962" i="3"/>
  <c r="J962" i="3"/>
  <c r="M961" i="3"/>
  <c r="L961" i="3"/>
  <c r="K961" i="3"/>
  <c r="J961" i="3"/>
  <c r="M960" i="3"/>
  <c r="L960" i="3"/>
  <c r="K960" i="3"/>
  <c r="J960" i="3"/>
  <c r="M959" i="3"/>
  <c r="L959" i="3"/>
  <c r="K959" i="3"/>
  <c r="J959" i="3"/>
  <c r="M958" i="3"/>
  <c r="L958" i="3"/>
  <c r="K958" i="3"/>
  <c r="J958" i="3"/>
  <c r="M957" i="3"/>
  <c r="L957" i="3"/>
  <c r="K957" i="3"/>
  <c r="J957" i="3"/>
  <c r="M956" i="3"/>
  <c r="L956" i="3"/>
  <c r="K956" i="3"/>
  <c r="J956" i="3"/>
  <c r="M955" i="3"/>
  <c r="L955" i="3"/>
  <c r="K955" i="3"/>
  <c r="J955" i="3"/>
  <c r="M954" i="3"/>
  <c r="L954" i="3"/>
  <c r="K954" i="3"/>
  <c r="J954" i="3"/>
  <c r="M953" i="3"/>
  <c r="L953" i="3"/>
  <c r="K953" i="3"/>
  <c r="J953" i="3"/>
  <c r="M952" i="3"/>
  <c r="L952" i="3"/>
  <c r="K952" i="3"/>
  <c r="J952" i="3"/>
  <c r="M951" i="3"/>
  <c r="L951" i="3"/>
  <c r="K951" i="3"/>
  <c r="J951" i="3"/>
  <c r="M950" i="3"/>
  <c r="L950" i="3"/>
  <c r="K950" i="3"/>
  <c r="J950" i="3"/>
  <c r="M949" i="3"/>
  <c r="L949" i="3"/>
  <c r="K949" i="3"/>
  <c r="J949" i="3"/>
  <c r="M948" i="3"/>
  <c r="L948" i="3"/>
  <c r="K948" i="3"/>
  <c r="J948" i="3"/>
  <c r="M947" i="3"/>
  <c r="L947" i="3"/>
  <c r="K947" i="3"/>
  <c r="J947" i="3"/>
  <c r="M946" i="3"/>
  <c r="L946" i="3"/>
  <c r="K946" i="3"/>
  <c r="J946" i="3"/>
  <c r="M945" i="3"/>
  <c r="L945" i="3"/>
  <c r="K945" i="3"/>
  <c r="J945" i="3"/>
  <c r="M944" i="3"/>
  <c r="L944" i="3"/>
  <c r="K944" i="3"/>
  <c r="J944" i="3"/>
  <c r="M943" i="3"/>
  <c r="L943" i="3"/>
  <c r="K943" i="3"/>
  <c r="J943" i="3"/>
  <c r="M942" i="3"/>
  <c r="L942" i="3"/>
  <c r="K942" i="3"/>
  <c r="J942" i="3"/>
  <c r="M941" i="3"/>
  <c r="L941" i="3"/>
  <c r="K941" i="3"/>
  <c r="J941" i="3"/>
  <c r="M940" i="3"/>
  <c r="L940" i="3"/>
  <c r="K940" i="3"/>
  <c r="J940" i="3"/>
  <c r="M939" i="3"/>
  <c r="L939" i="3"/>
  <c r="K939" i="3"/>
  <c r="J939" i="3"/>
  <c r="M938" i="3"/>
  <c r="L938" i="3"/>
  <c r="K938" i="3"/>
  <c r="J938" i="3"/>
  <c r="M937" i="3"/>
  <c r="L937" i="3"/>
  <c r="K937" i="3"/>
  <c r="J937" i="3"/>
  <c r="M936" i="3"/>
  <c r="L936" i="3"/>
  <c r="K936" i="3"/>
  <c r="J936" i="3"/>
  <c r="M935" i="3"/>
  <c r="L935" i="3"/>
  <c r="K935" i="3"/>
  <c r="J935" i="3"/>
  <c r="M934" i="3"/>
  <c r="L934" i="3"/>
  <c r="K934" i="3"/>
  <c r="J934" i="3"/>
  <c r="M933" i="3"/>
  <c r="L933" i="3"/>
  <c r="K933" i="3"/>
  <c r="J933" i="3"/>
  <c r="M932" i="3"/>
  <c r="L932" i="3"/>
  <c r="K932" i="3"/>
  <c r="J932" i="3"/>
  <c r="M931" i="3"/>
  <c r="L931" i="3"/>
  <c r="K931" i="3"/>
  <c r="J931" i="3"/>
  <c r="M930" i="3"/>
  <c r="L930" i="3"/>
  <c r="K930" i="3"/>
  <c r="J930" i="3"/>
  <c r="M929" i="3"/>
  <c r="L929" i="3"/>
  <c r="K929" i="3"/>
  <c r="J929" i="3"/>
  <c r="M928" i="3"/>
  <c r="L928" i="3"/>
  <c r="K928" i="3"/>
  <c r="J928" i="3"/>
  <c r="M927" i="3"/>
  <c r="L927" i="3"/>
  <c r="K927" i="3"/>
  <c r="J927" i="3"/>
  <c r="M926" i="3"/>
  <c r="L926" i="3"/>
  <c r="K926" i="3"/>
  <c r="J926" i="3"/>
  <c r="M925" i="3"/>
  <c r="L925" i="3"/>
  <c r="K925" i="3"/>
  <c r="J925" i="3"/>
  <c r="M924" i="3"/>
  <c r="L924" i="3"/>
  <c r="K924" i="3"/>
  <c r="J924" i="3"/>
  <c r="M923" i="3"/>
  <c r="L923" i="3"/>
  <c r="K923" i="3"/>
  <c r="J923" i="3"/>
  <c r="M922" i="3"/>
  <c r="L922" i="3"/>
  <c r="K922" i="3"/>
  <c r="J922" i="3"/>
  <c r="M921" i="3"/>
  <c r="L921" i="3"/>
  <c r="K921" i="3"/>
  <c r="J921" i="3"/>
  <c r="M920" i="3"/>
  <c r="L920" i="3"/>
  <c r="K920" i="3"/>
  <c r="J920" i="3"/>
  <c r="M919" i="3"/>
  <c r="L919" i="3"/>
  <c r="K919" i="3"/>
  <c r="J919" i="3"/>
  <c r="M918" i="3"/>
  <c r="L918" i="3"/>
  <c r="K918" i="3"/>
  <c r="J918" i="3"/>
  <c r="M917" i="3"/>
  <c r="L917" i="3"/>
  <c r="K917" i="3"/>
  <c r="J917" i="3"/>
  <c r="M916" i="3"/>
  <c r="L916" i="3"/>
  <c r="K916" i="3"/>
  <c r="J916" i="3"/>
  <c r="M915" i="3"/>
  <c r="L915" i="3"/>
  <c r="K915" i="3"/>
  <c r="J915" i="3"/>
  <c r="M914" i="3"/>
  <c r="L914" i="3"/>
  <c r="K914" i="3"/>
  <c r="J914" i="3"/>
  <c r="M913" i="3"/>
  <c r="L913" i="3"/>
  <c r="K913" i="3"/>
  <c r="J913" i="3"/>
  <c r="M912" i="3"/>
  <c r="L912" i="3"/>
  <c r="K912" i="3"/>
  <c r="J912" i="3"/>
  <c r="M911" i="3"/>
  <c r="L911" i="3"/>
  <c r="K911" i="3"/>
  <c r="J911" i="3"/>
  <c r="M910" i="3"/>
  <c r="L910" i="3"/>
  <c r="K910" i="3"/>
  <c r="J910" i="3"/>
  <c r="M909" i="3"/>
  <c r="L909" i="3"/>
  <c r="K909" i="3"/>
  <c r="J909" i="3"/>
  <c r="M908" i="3"/>
  <c r="L908" i="3"/>
  <c r="K908" i="3"/>
  <c r="J908" i="3"/>
  <c r="M907" i="3"/>
  <c r="L907" i="3"/>
  <c r="K907" i="3"/>
  <c r="J907" i="3"/>
  <c r="M906" i="3"/>
  <c r="L906" i="3"/>
  <c r="K906" i="3"/>
  <c r="J906" i="3"/>
  <c r="M905" i="3"/>
  <c r="L905" i="3"/>
  <c r="K905" i="3"/>
  <c r="J905" i="3"/>
  <c r="M904" i="3"/>
  <c r="L904" i="3"/>
  <c r="K904" i="3"/>
  <c r="J904" i="3"/>
  <c r="M903" i="3"/>
  <c r="L903" i="3"/>
  <c r="K903" i="3"/>
  <c r="J903" i="3"/>
  <c r="M902" i="3"/>
  <c r="L902" i="3"/>
  <c r="K902" i="3"/>
  <c r="J902" i="3"/>
  <c r="M901" i="3"/>
  <c r="L901" i="3"/>
  <c r="K901" i="3"/>
  <c r="J901" i="3"/>
  <c r="M900" i="3"/>
  <c r="L900" i="3"/>
  <c r="K900" i="3"/>
  <c r="J900" i="3"/>
  <c r="M899" i="3"/>
  <c r="L899" i="3"/>
  <c r="K899" i="3"/>
  <c r="J899" i="3"/>
  <c r="M898" i="3"/>
  <c r="L898" i="3"/>
  <c r="K898" i="3"/>
  <c r="J898" i="3"/>
  <c r="M897" i="3"/>
  <c r="L897" i="3"/>
  <c r="K897" i="3"/>
  <c r="J897" i="3"/>
  <c r="M896" i="3"/>
  <c r="L896" i="3"/>
  <c r="K896" i="3"/>
  <c r="J896" i="3"/>
  <c r="M895" i="3"/>
  <c r="L895" i="3"/>
  <c r="K895" i="3"/>
  <c r="J895" i="3"/>
  <c r="M894" i="3"/>
  <c r="L894" i="3"/>
  <c r="K894" i="3"/>
  <c r="J894" i="3"/>
  <c r="M893" i="3"/>
  <c r="L893" i="3"/>
  <c r="K893" i="3"/>
  <c r="J893" i="3"/>
  <c r="M892" i="3"/>
  <c r="L892" i="3"/>
  <c r="K892" i="3"/>
  <c r="J892" i="3"/>
  <c r="M891" i="3"/>
  <c r="L891" i="3"/>
  <c r="K891" i="3"/>
  <c r="J891" i="3"/>
  <c r="M890" i="3"/>
  <c r="L890" i="3"/>
  <c r="K890" i="3"/>
  <c r="J890" i="3"/>
  <c r="M889" i="3"/>
  <c r="L889" i="3"/>
  <c r="K889" i="3"/>
  <c r="J889" i="3"/>
  <c r="M888" i="3"/>
  <c r="L888" i="3"/>
  <c r="K888" i="3"/>
  <c r="J888" i="3"/>
  <c r="M887" i="3"/>
  <c r="L887" i="3"/>
  <c r="K887" i="3"/>
  <c r="J887" i="3"/>
  <c r="M886" i="3"/>
  <c r="L886" i="3"/>
  <c r="K886" i="3"/>
  <c r="J886" i="3"/>
  <c r="M885" i="3"/>
  <c r="L885" i="3"/>
  <c r="K885" i="3"/>
  <c r="J885" i="3"/>
  <c r="M884" i="3"/>
  <c r="L884" i="3"/>
  <c r="K884" i="3"/>
  <c r="J884" i="3"/>
  <c r="M883" i="3"/>
  <c r="L883" i="3"/>
  <c r="K883" i="3"/>
  <c r="J883" i="3"/>
  <c r="M882" i="3"/>
  <c r="L882" i="3"/>
  <c r="K882" i="3"/>
  <c r="J882" i="3"/>
  <c r="M881" i="3"/>
  <c r="L881" i="3"/>
  <c r="K881" i="3"/>
  <c r="J881" i="3"/>
  <c r="M880" i="3"/>
  <c r="L880" i="3"/>
  <c r="K880" i="3"/>
  <c r="J880" i="3"/>
  <c r="M879" i="3"/>
  <c r="L879" i="3"/>
  <c r="K879" i="3"/>
  <c r="J879" i="3"/>
  <c r="M878" i="3"/>
  <c r="L878" i="3"/>
  <c r="K878" i="3"/>
  <c r="J878" i="3"/>
  <c r="M877" i="3"/>
  <c r="L877" i="3"/>
  <c r="K877" i="3"/>
  <c r="J877" i="3"/>
  <c r="M876" i="3"/>
  <c r="L876" i="3"/>
  <c r="K876" i="3"/>
  <c r="J876" i="3"/>
  <c r="M875" i="3"/>
  <c r="L875" i="3"/>
  <c r="K875" i="3"/>
  <c r="J875" i="3"/>
  <c r="M874" i="3"/>
  <c r="L874" i="3"/>
  <c r="K874" i="3"/>
  <c r="J874" i="3"/>
  <c r="M873" i="3"/>
  <c r="L873" i="3"/>
  <c r="K873" i="3"/>
  <c r="J873" i="3"/>
  <c r="M872" i="3"/>
  <c r="L872" i="3"/>
  <c r="K872" i="3"/>
  <c r="J872" i="3"/>
  <c r="M871" i="3"/>
  <c r="L871" i="3"/>
  <c r="K871" i="3"/>
  <c r="J871" i="3"/>
  <c r="M870" i="3"/>
  <c r="L870" i="3"/>
  <c r="K870" i="3"/>
  <c r="J870" i="3"/>
  <c r="M869" i="3"/>
  <c r="L869" i="3"/>
  <c r="K869" i="3"/>
  <c r="J869" i="3"/>
  <c r="M868" i="3"/>
  <c r="L868" i="3"/>
  <c r="K868" i="3"/>
  <c r="J868" i="3"/>
  <c r="M867" i="3"/>
  <c r="L867" i="3"/>
  <c r="K867" i="3"/>
  <c r="J867" i="3"/>
  <c r="M866" i="3"/>
  <c r="L866" i="3"/>
  <c r="K866" i="3"/>
  <c r="J866" i="3"/>
  <c r="M865" i="3"/>
  <c r="L865" i="3"/>
  <c r="K865" i="3"/>
  <c r="J865" i="3"/>
  <c r="M864" i="3"/>
  <c r="L864" i="3"/>
  <c r="K864" i="3"/>
  <c r="J864" i="3"/>
  <c r="M863" i="3"/>
  <c r="L863" i="3"/>
  <c r="K863" i="3"/>
  <c r="J863" i="3"/>
  <c r="M862" i="3"/>
  <c r="L862" i="3"/>
  <c r="K862" i="3"/>
  <c r="J862" i="3"/>
  <c r="M861" i="3"/>
  <c r="L861" i="3"/>
  <c r="K861" i="3"/>
  <c r="J861" i="3"/>
  <c r="M860" i="3"/>
  <c r="L860" i="3"/>
  <c r="K860" i="3"/>
  <c r="J860" i="3"/>
  <c r="M859" i="3"/>
  <c r="L859" i="3"/>
  <c r="K859" i="3"/>
  <c r="J859" i="3"/>
  <c r="M858" i="3"/>
  <c r="L858" i="3"/>
  <c r="K858" i="3"/>
  <c r="J858" i="3"/>
  <c r="M857" i="3"/>
  <c r="L857" i="3"/>
  <c r="K857" i="3"/>
  <c r="J857" i="3"/>
  <c r="M856" i="3"/>
  <c r="L856" i="3"/>
  <c r="K856" i="3"/>
  <c r="J856" i="3"/>
  <c r="M855" i="3"/>
  <c r="L855" i="3"/>
  <c r="K855" i="3"/>
  <c r="J855" i="3"/>
  <c r="M854" i="3"/>
  <c r="L854" i="3"/>
  <c r="K854" i="3"/>
  <c r="J854" i="3"/>
  <c r="M853" i="3"/>
  <c r="L853" i="3"/>
  <c r="K853" i="3"/>
  <c r="J853" i="3"/>
  <c r="M852" i="3"/>
  <c r="L852" i="3"/>
  <c r="K852" i="3"/>
  <c r="J852" i="3"/>
  <c r="M851" i="3"/>
  <c r="L851" i="3"/>
  <c r="K851" i="3"/>
  <c r="J851" i="3"/>
  <c r="M850" i="3"/>
  <c r="L850" i="3"/>
  <c r="K850" i="3"/>
  <c r="J850" i="3"/>
  <c r="M849" i="3"/>
  <c r="L849" i="3"/>
  <c r="K849" i="3"/>
  <c r="J849" i="3"/>
  <c r="M848" i="3"/>
  <c r="L848" i="3"/>
  <c r="K848" i="3"/>
  <c r="J848" i="3"/>
  <c r="M847" i="3"/>
  <c r="L847" i="3"/>
  <c r="K847" i="3"/>
  <c r="J847" i="3"/>
  <c r="M846" i="3"/>
  <c r="L846" i="3"/>
  <c r="K846" i="3"/>
  <c r="J846" i="3"/>
  <c r="M845" i="3"/>
  <c r="L845" i="3"/>
  <c r="K845" i="3"/>
  <c r="J845" i="3"/>
  <c r="M844" i="3"/>
  <c r="L844" i="3"/>
  <c r="K844" i="3"/>
  <c r="J844" i="3"/>
  <c r="M843" i="3"/>
  <c r="L843" i="3"/>
  <c r="K843" i="3"/>
  <c r="J843" i="3"/>
  <c r="M842" i="3"/>
  <c r="L842" i="3"/>
  <c r="K842" i="3"/>
  <c r="J842" i="3"/>
  <c r="M841" i="3"/>
  <c r="L841" i="3"/>
  <c r="K841" i="3"/>
  <c r="J841" i="3"/>
  <c r="M840" i="3"/>
  <c r="L840" i="3"/>
  <c r="K840" i="3"/>
  <c r="J840" i="3"/>
  <c r="M839" i="3"/>
  <c r="L839" i="3"/>
  <c r="K839" i="3"/>
  <c r="J839" i="3"/>
  <c r="M838" i="3"/>
  <c r="L838" i="3"/>
  <c r="K838" i="3"/>
  <c r="J838" i="3"/>
  <c r="M837" i="3"/>
  <c r="L837" i="3"/>
  <c r="K837" i="3"/>
  <c r="J837" i="3"/>
  <c r="M836" i="3"/>
  <c r="L836" i="3"/>
  <c r="K836" i="3"/>
  <c r="J836" i="3"/>
  <c r="M835" i="3"/>
  <c r="L835" i="3"/>
  <c r="K835" i="3"/>
  <c r="J835" i="3"/>
  <c r="M834" i="3"/>
  <c r="L834" i="3"/>
  <c r="K834" i="3"/>
  <c r="J834" i="3"/>
  <c r="M833" i="3"/>
  <c r="L833" i="3"/>
  <c r="K833" i="3"/>
  <c r="J833" i="3"/>
  <c r="M832" i="3"/>
  <c r="L832" i="3"/>
  <c r="K832" i="3"/>
  <c r="J832" i="3"/>
  <c r="M831" i="3"/>
  <c r="L831" i="3"/>
  <c r="K831" i="3"/>
  <c r="J831" i="3"/>
  <c r="M830" i="3"/>
  <c r="L830" i="3"/>
  <c r="K830" i="3"/>
  <c r="J830" i="3"/>
  <c r="M829" i="3"/>
  <c r="L829" i="3"/>
  <c r="K829" i="3"/>
  <c r="J829" i="3"/>
  <c r="M828" i="3"/>
  <c r="L828" i="3"/>
  <c r="K828" i="3"/>
  <c r="J828" i="3"/>
  <c r="M827" i="3"/>
  <c r="L827" i="3"/>
  <c r="K827" i="3"/>
  <c r="J827" i="3"/>
  <c r="M826" i="3"/>
  <c r="L826" i="3"/>
  <c r="K826" i="3"/>
  <c r="J826" i="3"/>
  <c r="M825" i="3"/>
  <c r="L825" i="3"/>
  <c r="K825" i="3"/>
  <c r="J825" i="3"/>
  <c r="M824" i="3"/>
  <c r="L824" i="3"/>
  <c r="K824" i="3"/>
  <c r="J824" i="3"/>
  <c r="M823" i="3"/>
  <c r="L823" i="3"/>
  <c r="K823" i="3"/>
  <c r="J823" i="3"/>
  <c r="M822" i="3"/>
  <c r="L822" i="3"/>
  <c r="K822" i="3"/>
  <c r="J822" i="3"/>
  <c r="M821" i="3"/>
  <c r="L821" i="3"/>
  <c r="K821" i="3"/>
  <c r="J821" i="3"/>
  <c r="M820" i="3"/>
  <c r="L820" i="3"/>
  <c r="K820" i="3"/>
  <c r="J820" i="3"/>
  <c r="M819" i="3"/>
  <c r="L819" i="3"/>
  <c r="K819" i="3"/>
  <c r="J819" i="3"/>
  <c r="M818" i="3"/>
  <c r="L818" i="3"/>
  <c r="K818" i="3"/>
  <c r="J818" i="3"/>
  <c r="M817" i="3"/>
  <c r="L817" i="3"/>
  <c r="K817" i="3"/>
  <c r="J817" i="3"/>
  <c r="M816" i="3"/>
  <c r="L816" i="3"/>
  <c r="K816" i="3"/>
  <c r="J816" i="3"/>
  <c r="M815" i="3"/>
  <c r="L815" i="3"/>
  <c r="K815" i="3"/>
  <c r="J815" i="3"/>
  <c r="M814" i="3"/>
  <c r="L814" i="3"/>
  <c r="K814" i="3"/>
  <c r="J814" i="3"/>
  <c r="M813" i="3"/>
  <c r="L813" i="3"/>
  <c r="K813" i="3"/>
  <c r="J813" i="3"/>
  <c r="M812" i="3"/>
  <c r="L812" i="3"/>
  <c r="K812" i="3"/>
  <c r="J812" i="3"/>
  <c r="M811" i="3"/>
  <c r="L811" i="3"/>
  <c r="K811" i="3"/>
  <c r="J811" i="3"/>
  <c r="M810" i="3"/>
  <c r="L810" i="3"/>
  <c r="K810" i="3"/>
  <c r="J810" i="3"/>
  <c r="M809" i="3"/>
  <c r="L809" i="3"/>
  <c r="K809" i="3"/>
  <c r="J809" i="3"/>
  <c r="M808" i="3"/>
  <c r="L808" i="3"/>
  <c r="K808" i="3"/>
  <c r="J808" i="3"/>
  <c r="M807" i="3"/>
  <c r="L807" i="3"/>
  <c r="K807" i="3"/>
  <c r="J807" i="3"/>
  <c r="M806" i="3"/>
  <c r="L806" i="3"/>
  <c r="K806" i="3"/>
  <c r="J806" i="3"/>
  <c r="M805" i="3"/>
  <c r="L805" i="3"/>
  <c r="K805" i="3"/>
  <c r="J805" i="3"/>
  <c r="M804" i="3"/>
  <c r="L804" i="3"/>
  <c r="K804" i="3"/>
  <c r="J804" i="3"/>
  <c r="M803" i="3"/>
  <c r="L803" i="3"/>
  <c r="K803" i="3"/>
  <c r="J803" i="3"/>
  <c r="M802" i="3"/>
  <c r="L802" i="3"/>
  <c r="K802" i="3"/>
  <c r="J802" i="3"/>
  <c r="M801" i="3"/>
  <c r="L801" i="3"/>
  <c r="K801" i="3"/>
  <c r="J801" i="3"/>
  <c r="M800" i="3"/>
  <c r="L800" i="3"/>
  <c r="K800" i="3"/>
  <c r="J800" i="3"/>
  <c r="M799" i="3"/>
  <c r="L799" i="3"/>
  <c r="K799" i="3"/>
  <c r="J799" i="3"/>
  <c r="M798" i="3"/>
  <c r="L798" i="3"/>
  <c r="K798" i="3"/>
  <c r="J798" i="3"/>
  <c r="M797" i="3"/>
  <c r="L797" i="3"/>
  <c r="K797" i="3"/>
  <c r="J797" i="3"/>
  <c r="M796" i="3"/>
  <c r="L796" i="3"/>
  <c r="K796" i="3"/>
  <c r="J796" i="3"/>
  <c r="M795" i="3"/>
  <c r="L795" i="3"/>
  <c r="K795" i="3"/>
  <c r="J795" i="3"/>
  <c r="M794" i="3"/>
  <c r="L794" i="3"/>
  <c r="K794" i="3"/>
  <c r="J794" i="3"/>
  <c r="M793" i="3"/>
  <c r="L793" i="3"/>
  <c r="K793" i="3"/>
  <c r="J793" i="3"/>
  <c r="M792" i="3"/>
  <c r="L792" i="3"/>
  <c r="K792" i="3"/>
  <c r="J792" i="3"/>
  <c r="M791" i="3"/>
  <c r="L791" i="3"/>
  <c r="K791" i="3"/>
  <c r="J791" i="3"/>
  <c r="M790" i="3"/>
  <c r="L790" i="3"/>
  <c r="K790" i="3"/>
  <c r="J790" i="3"/>
  <c r="M789" i="3"/>
  <c r="L789" i="3"/>
  <c r="K789" i="3"/>
  <c r="J789" i="3"/>
  <c r="M788" i="3"/>
  <c r="L788" i="3"/>
  <c r="K788" i="3"/>
  <c r="J788" i="3"/>
  <c r="M787" i="3"/>
  <c r="L787" i="3"/>
  <c r="K787" i="3"/>
  <c r="J787" i="3"/>
  <c r="M786" i="3"/>
  <c r="L786" i="3"/>
  <c r="K786" i="3"/>
  <c r="J786" i="3"/>
  <c r="M785" i="3"/>
  <c r="L785" i="3"/>
  <c r="K785" i="3"/>
  <c r="J785" i="3"/>
  <c r="M784" i="3"/>
  <c r="L784" i="3"/>
  <c r="K784" i="3"/>
  <c r="J784" i="3"/>
  <c r="M783" i="3"/>
  <c r="L783" i="3"/>
  <c r="K783" i="3"/>
  <c r="J783" i="3"/>
  <c r="M782" i="3"/>
  <c r="L782" i="3"/>
  <c r="K782" i="3"/>
  <c r="J782" i="3"/>
  <c r="M781" i="3"/>
  <c r="L781" i="3"/>
  <c r="K781" i="3"/>
  <c r="J781" i="3"/>
  <c r="M780" i="3"/>
  <c r="L780" i="3"/>
  <c r="K780" i="3"/>
  <c r="J780" i="3"/>
  <c r="M779" i="3"/>
  <c r="L779" i="3"/>
  <c r="K779" i="3"/>
  <c r="J779" i="3"/>
  <c r="M778" i="3"/>
  <c r="L778" i="3"/>
  <c r="K778" i="3"/>
  <c r="J778" i="3"/>
  <c r="M777" i="3"/>
  <c r="L777" i="3"/>
  <c r="K777" i="3"/>
  <c r="J777" i="3"/>
  <c r="M776" i="3"/>
  <c r="L776" i="3"/>
  <c r="K776" i="3"/>
  <c r="J776" i="3"/>
  <c r="M775" i="3"/>
  <c r="L775" i="3"/>
  <c r="K775" i="3"/>
  <c r="J775" i="3"/>
  <c r="M774" i="3"/>
  <c r="L774" i="3"/>
  <c r="K774" i="3"/>
  <c r="J774" i="3"/>
  <c r="M773" i="3"/>
  <c r="L773" i="3"/>
  <c r="K773" i="3"/>
  <c r="J773" i="3"/>
  <c r="M772" i="3"/>
  <c r="L772" i="3"/>
  <c r="K772" i="3"/>
  <c r="J772" i="3"/>
  <c r="M771" i="3"/>
  <c r="L771" i="3"/>
  <c r="K771" i="3"/>
  <c r="J771" i="3"/>
  <c r="M770" i="3"/>
  <c r="L770" i="3"/>
  <c r="K770" i="3"/>
  <c r="J770" i="3"/>
  <c r="M769" i="3"/>
  <c r="L769" i="3"/>
  <c r="K769" i="3"/>
  <c r="J769" i="3"/>
  <c r="M768" i="3"/>
  <c r="L768" i="3"/>
  <c r="K768" i="3"/>
  <c r="J768" i="3"/>
  <c r="M767" i="3"/>
  <c r="L767" i="3"/>
  <c r="K767" i="3"/>
  <c r="J767" i="3"/>
  <c r="M766" i="3"/>
  <c r="L766" i="3"/>
  <c r="K766" i="3"/>
  <c r="J766" i="3"/>
  <c r="M765" i="3"/>
  <c r="L765" i="3"/>
  <c r="K765" i="3"/>
  <c r="J765" i="3"/>
  <c r="M764" i="3"/>
  <c r="L764" i="3"/>
  <c r="K764" i="3"/>
  <c r="J764" i="3"/>
  <c r="M763" i="3"/>
  <c r="L763" i="3"/>
  <c r="K763" i="3"/>
  <c r="J763" i="3"/>
  <c r="M762" i="3"/>
  <c r="L762" i="3"/>
  <c r="K762" i="3"/>
  <c r="J762" i="3"/>
  <c r="M761" i="3"/>
  <c r="L761" i="3"/>
  <c r="K761" i="3"/>
  <c r="J761" i="3"/>
  <c r="M760" i="3"/>
  <c r="L760" i="3"/>
  <c r="K760" i="3"/>
  <c r="J760" i="3"/>
  <c r="M759" i="3"/>
  <c r="L759" i="3"/>
  <c r="K759" i="3"/>
  <c r="J759" i="3"/>
  <c r="M758" i="3"/>
  <c r="L758" i="3"/>
  <c r="K758" i="3"/>
  <c r="J758" i="3"/>
  <c r="M757" i="3"/>
  <c r="L757" i="3"/>
  <c r="K757" i="3"/>
  <c r="J757" i="3"/>
  <c r="M756" i="3"/>
  <c r="L756" i="3"/>
  <c r="K756" i="3"/>
  <c r="J756" i="3"/>
  <c r="M755" i="3"/>
  <c r="L755" i="3"/>
  <c r="K755" i="3"/>
  <c r="J755" i="3"/>
  <c r="M754" i="3"/>
  <c r="L754" i="3"/>
  <c r="K754" i="3"/>
  <c r="J754" i="3"/>
  <c r="M753" i="3"/>
  <c r="L753" i="3"/>
  <c r="K753" i="3"/>
  <c r="J753" i="3"/>
  <c r="M752" i="3"/>
  <c r="L752" i="3"/>
  <c r="K752" i="3"/>
  <c r="J752" i="3"/>
  <c r="M751" i="3"/>
  <c r="L751" i="3"/>
  <c r="K751" i="3"/>
  <c r="J751" i="3"/>
  <c r="M750" i="3"/>
  <c r="L750" i="3"/>
  <c r="K750" i="3"/>
  <c r="J750" i="3"/>
  <c r="M749" i="3"/>
  <c r="L749" i="3"/>
  <c r="K749" i="3"/>
  <c r="J749" i="3"/>
  <c r="M748" i="3"/>
  <c r="L748" i="3"/>
  <c r="K748" i="3"/>
  <c r="J748" i="3"/>
  <c r="M747" i="3"/>
  <c r="L747" i="3"/>
  <c r="K747" i="3"/>
  <c r="J747" i="3"/>
  <c r="M746" i="3"/>
  <c r="L746" i="3"/>
  <c r="K746" i="3"/>
  <c r="J746" i="3"/>
  <c r="M745" i="3"/>
  <c r="L745" i="3"/>
  <c r="K745" i="3"/>
  <c r="J745" i="3"/>
  <c r="M744" i="3"/>
  <c r="L744" i="3"/>
  <c r="K744" i="3"/>
  <c r="J744" i="3"/>
  <c r="M743" i="3"/>
  <c r="L743" i="3"/>
  <c r="K743" i="3"/>
  <c r="J743" i="3"/>
  <c r="M742" i="3"/>
  <c r="L742" i="3"/>
  <c r="K742" i="3"/>
  <c r="J742" i="3"/>
  <c r="M741" i="3"/>
  <c r="L741" i="3"/>
  <c r="K741" i="3"/>
  <c r="J741" i="3"/>
  <c r="M740" i="3"/>
  <c r="L740" i="3"/>
  <c r="K740" i="3"/>
  <c r="J740" i="3"/>
  <c r="M739" i="3"/>
  <c r="L739" i="3"/>
  <c r="K739" i="3"/>
  <c r="J739" i="3"/>
  <c r="M738" i="3"/>
  <c r="L738" i="3"/>
  <c r="K738" i="3"/>
  <c r="J738" i="3"/>
  <c r="M737" i="3"/>
  <c r="L737" i="3"/>
  <c r="K737" i="3"/>
  <c r="J737" i="3"/>
  <c r="M736" i="3"/>
  <c r="L736" i="3"/>
  <c r="K736" i="3"/>
  <c r="J736" i="3"/>
  <c r="M735" i="3"/>
  <c r="L735" i="3"/>
  <c r="K735" i="3"/>
  <c r="J735" i="3"/>
  <c r="M734" i="3"/>
  <c r="L734" i="3"/>
  <c r="K734" i="3"/>
  <c r="J734" i="3"/>
  <c r="M733" i="3"/>
  <c r="L733" i="3"/>
  <c r="K733" i="3"/>
  <c r="J733" i="3"/>
  <c r="M732" i="3"/>
  <c r="L732" i="3"/>
  <c r="K732" i="3"/>
  <c r="J732" i="3"/>
  <c r="M731" i="3"/>
  <c r="L731" i="3"/>
  <c r="K731" i="3"/>
  <c r="J731" i="3"/>
  <c r="M730" i="3"/>
  <c r="L730" i="3"/>
  <c r="K730" i="3"/>
  <c r="J730" i="3"/>
  <c r="M729" i="3"/>
  <c r="L729" i="3"/>
  <c r="K729" i="3"/>
  <c r="J729" i="3"/>
  <c r="M728" i="3"/>
  <c r="L728" i="3"/>
  <c r="K728" i="3"/>
  <c r="J728" i="3"/>
  <c r="M727" i="3"/>
  <c r="L727" i="3"/>
  <c r="K727" i="3"/>
  <c r="J727" i="3"/>
  <c r="M726" i="3"/>
  <c r="L726" i="3"/>
  <c r="K726" i="3"/>
  <c r="J726" i="3"/>
  <c r="M725" i="3"/>
  <c r="L725" i="3"/>
  <c r="K725" i="3"/>
  <c r="J725" i="3"/>
  <c r="M724" i="3"/>
  <c r="L724" i="3"/>
  <c r="K724" i="3"/>
  <c r="J724" i="3"/>
  <c r="M723" i="3"/>
  <c r="L723" i="3"/>
  <c r="K723" i="3"/>
  <c r="J723" i="3"/>
  <c r="M722" i="3"/>
  <c r="L722" i="3"/>
  <c r="K722" i="3"/>
  <c r="J722" i="3"/>
  <c r="M721" i="3"/>
  <c r="L721" i="3"/>
  <c r="K721" i="3"/>
  <c r="J721" i="3"/>
  <c r="M720" i="3"/>
  <c r="L720" i="3"/>
  <c r="K720" i="3"/>
  <c r="J720" i="3"/>
  <c r="M719" i="3"/>
  <c r="L719" i="3"/>
  <c r="K719" i="3"/>
  <c r="J719" i="3"/>
  <c r="M718" i="3"/>
  <c r="L718" i="3"/>
  <c r="K718" i="3"/>
  <c r="J718" i="3"/>
  <c r="M717" i="3"/>
  <c r="L717" i="3"/>
  <c r="K717" i="3"/>
  <c r="J717" i="3"/>
  <c r="M716" i="3"/>
  <c r="L716" i="3"/>
  <c r="K716" i="3"/>
  <c r="J716" i="3"/>
  <c r="M715" i="3"/>
  <c r="L715" i="3"/>
  <c r="K715" i="3"/>
  <c r="J715" i="3"/>
  <c r="M714" i="3"/>
  <c r="L714" i="3"/>
  <c r="K714" i="3"/>
  <c r="J714" i="3"/>
  <c r="M713" i="3"/>
  <c r="L713" i="3"/>
  <c r="K713" i="3"/>
  <c r="J713" i="3"/>
  <c r="M712" i="3"/>
  <c r="L712" i="3"/>
  <c r="K712" i="3"/>
  <c r="J712" i="3"/>
  <c r="M711" i="3"/>
  <c r="L711" i="3"/>
  <c r="K711" i="3"/>
  <c r="J711" i="3"/>
  <c r="M710" i="3"/>
  <c r="L710" i="3"/>
  <c r="K710" i="3"/>
  <c r="J710" i="3"/>
  <c r="M709" i="3"/>
  <c r="L709" i="3"/>
  <c r="K709" i="3"/>
  <c r="J709" i="3"/>
  <c r="M708" i="3"/>
  <c r="L708" i="3"/>
  <c r="K708" i="3"/>
  <c r="J708" i="3"/>
  <c r="M707" i="3"/>
  <c r="L707" i="3"/>
  <c r="K707" i="3"/>
  <c r="J707" i="3"/>
  <c r="M706" i="3"/>
  <c r="L706" i="3"/>
  <c r="K706" i="3"/>
  <c r="J706" i="3"/>
  <c r="M705" i="3"/>
  <c r="L705" i="3"/>
  <c r="K705" i="3"/>
  <c r="J705" i="3"/>
  <c r="M704" i="3"/>
  <c r="L704" i="3"/>
  <c r="K704" i="3"/>
  <c r="J704" i="3"/>
  <c r="M703" i="3"/>
  <c r="L703" i="3"/>
  <c r="K703" i="3"/>
  <c r="J703" i="3"/>
  <c r="M702" i="3"/>
  <c r="L702" i="3"/>
  <c r="K702" i="3"/>
  <c r="J702" i="3"/>
  <c r="M701" i="3"/>
  <c r="L701" i="3"/>
  <c r="K701" i="3"/>
  <c r="J701" i="3"/>
  <c r="M700" i="3"/>
  <c r="L700" i="3"/>
  <c r="K700" i="3"/>
  <c r="J700" i="3"/>
  <c r="M699" i="3"/>
  <c r="L699" i="3"/>
  <c r="K699" i="3"/>
  <c r="J699" i="3"/>
  <c r="M698" i="3"/>
  <c r="L698" i="3"/>
  <c r="K698" i="3"/>
  <c r="J698" i="3"/>
  <c r="M697" i="3"/>
  <c r="L697" i="3"/>
  <c r="K697" i="3"/>
  <c r="J697" i="3"/>
  <c r="M696" i="3"/>
  <c r="L696" i="3"/>
  <c r="K696" i="3"/>
  <c r="J696" i="3"/>
  <c r="M695" i="3"/>
  <c r="L695" i="3"/>
  <c r="K695" i="3"/>
  <c r="J695" i="3"/>
  <c r="M694" i="3"/>
  <c r="L694" i="3"/>
  <c r="K694" i="3"/>
  <c r="J694" i="3"/>
  <c r="M693" i="3"/>
  <c r="L693" i="3"/>
  <c r="K693" i="3"/>
  <c r="J693" i="3"/>
  <c r="M692" i="3"/>
  <c r="L692" i="3"/>
  <c r="K692" i="3"/>
  <c r="J692" i="3"/>
  <c r="M691" i="3"/>
  <c r="L691" i="3"/>
  <c r="K691" i="3"/>
  <c r="J691" i="3"/>
  <c r="M690" i="3"/>
  <c r="L690" i="3"/>
  <c r="K690" i="3"/>
  <c r="J690" i="3"/>
  <c r="M689" i="3"/>
  <c r="L689" i="3"/>
  <c r="K689" i="3"/>
  <c r="J689" i="3"/>
  <c r="M688" i="3"/>
  <c r="L688" i="3"/>
  <c r="K688" i="3"/>
  <c r="J688" i="3"/>
  <c r="M687" i="3"/>
  <c r="L687" i="3"/>
  <c r="K687" i="3"/>
  <c r="J687" i="3"/>
  <c r="M686" i="3"/>
  <c r="L686" i="3"/>
  <c r="K686" i="3"/>
  <c r="J686" i="3"/>
  <c r="M685" i="3"/>
  <c r="L685" i="3"/>
  <c r="K685" i="3"/>
  <c r="J685" i="3"/>
  <c r="M684" i="3"/>
  <c r="L684" i="3"/>
  <c r="K684" i="3"/>
  <c r="J684" i="3"/>
  <c r="M683" i="3"/>
  <c r="L683" i="3"/>
  <c r="K683" i="3"/>
  <c r="J683" i="3"/>
  <c r="M682" i="3"/>
  <c r="L682" i="3"/>
  <c r="K682" i="3"/>
  <c r="J682" i="3"/>
  <c r="M681" i="3"/>
  <c r="L681" i="3"/>
  <c r="K681" i="3"/>
  <c r="J681" i="3"/>
  <c r="M680" i="3"/>
  <c r="L680" i="3"/>
  <c r="K680" i="3"/>
  <c r="J680" i="3"/>
  <c r="M679" i="3"/>
  <c r="L679" i="3"/>
  <c r="K679" i="3"/>
  <c r="J679" i="3"/>
  <c r="M678" i="3"/>
  <c r="L678" i="3"/>
  <c r="K678" i="3"/>
  <c r="J678" i="3"/>
  <c r="M677" i="3"/>
  <c r="L677" i="3"/>
  <c r="K677" i="3"/>
  <c r="J677" i="3"/>
  <c r="M676" i="3"/>
  <c r="L676" i="3"/>
  <c r="K676" i="3"/>
  <c r="J676" i="3"/>
  <c r="M675" i="3"/>
  <c r="L675" i="3"/>
  <c r="K675" i="3"/>
  <c r="J675" i="3"/>
  <c r="M674" i="3"/>
  <c r="L674" i="3"/>
  <c r="K674" i="3"/>
  <c r="J674" i="3"/>
  <c r="M673" i="3"/>
  <c r="L673" i="3"/>
  <c r="K673" i="3"/>
  <c r="J673" i="3"/>
  <c r="M672" i="3"/>
  <c r="L672" i="3"/>
  <c r="K672" i="3"/>
  <c r="J672" i="3"/>
  <c r="M671" i="3"/>
  <c r="L671" i="3"/>
  <c r="K671" i="3"/>
  <c r="J671" i="3"/>
  <c r="M670" i="3"/>
  <c r="L670" i="3"/>
  <c r="K670" i="3"/>
  <c r="J670" i="3"/>
  <c r="M669" i="3"/>
  <c r="L669" i="3"/>
  <c r="K669" i="3"/>
  <c r="J669" i="3"/>
  <c r="M668" i="3"/>
  <c r="L668" i="3"/>
  <c r="K668" i="3"/>
  <c r="J668" i="3"/>
  <c r="M667" i="3"/>
  <c r="L667" i="3"/>
  <c r="K667" i="3"/>
  <c r="J667" i="3"/>
  <c r="M666" i="3"/>
  <c r="L666" i="3"/>
  <c r="K666" i="3"/>
  <c r="J666" i="3"/>
  <c r="M665" i="3"/>
  <c r="L665" i="3"/>
  <c r="K665" i="3"/>
  <c r="J665" i="3"/>
  <c r="M664" i="3"/>
  <c r="L664" i="3"/>
  <c r="K664" i="3"/>
  <c r="J664" i="3"/>
  <c r="M663" i="3"/>
  <c r="L663" i="3"/>
  <c r="K663" i="3"/>
  <c r="J663" i="3"/>
  <c r="M662" i="3"/>
  <c r="L662" i="3"/>
  <c r="K662" i="3"/>
  <c r="J662" i="3"/>
  <c r="M661" i="3"/>
  <c r="L661" i="3"/>
  <c r="K661" i="3"/>
  <c r="J661" i="3"/>
  <c r="M660" i="3"/>
  <c r="L660" i="3"/>
  <c r="K660" i="3"/>
  <c r="J660" i="3"/>
  <c r="M659" i="3"/>
  <c r="L659" i="3"/>
  <c r="K659" i="3"/>
  <c r="J659" i="3"/>
  <c r="M658" i="3"/>
  <c r="L658" i="3"/>
  <c r="K658" i="3"/>
  <c r="J658" i="3"/>
  <c r="M657" i="3"/>
  <c r="L657" i="3"/>
  <c r="K657" i="3"/>
  <c r="J657" i="3"/>
  <c r="M656" i="3"/>
  <c r="L656" i="3"/>
  <c r="K656" i="3"/>
  <c r="J656" i="3"/>
  <c r="M655" i="3"/>
  <c r="L655" i="3"/>
  <c r="K655" i="3"/>
  <c r="J655" i="3"/>
  <c r="M654" i="3"/>
  <c r="L654" i="3"/>
  <c r="K654" i="3"/>
  <c r="J654" i="3"/>
  <c r="M653" i="3"/>
  <c r="L653" i="3"/>
  <c r="K653" i="3"/>
  <c r="J653" i="3"/>
  <c r="M652" i="3"/>
  <c r="L652" i="3"/>
  <c r="K652" i="3"/>
  <c r="J652" i="3"/>
  <c r="M651" i="3"/>
  <c r="L651" i="3"/>
  <c r="K651" i="3"/>
  <c r="J651" i="3"/>
  <c r="M650" i="3"/>
  <c r="L650" i="3"/>
  <c r="K650" i="3"/>
  <c r="J650" i="3"/>
  <c r="M649" i="3"/>
  <c r="L649" i="3"/>
  <c r="K649" i="3"/>
  <c r="J649" i="3"/>
  <c r="M648" i="3"/>
  <c r="L648" i="3"/>
  <c r="K648" i="3"/>
  <c r="J648" i="3"/>
  <c r="M647" i="3"/>
  <c r="L647" i="3"/>
  <c r="K647" i="3"/>
  <c r="J647" i="3"/>
  <c r="M646" i="3"/>
  <c r="L646" i="3"/>
  <c r="K646" i="3"/>
  <c r="J646" i="3"/>
  <c r="M645" i="3"/>
  <c r="L645" i="3"/>
  <c r="K645" i="3"/>
  <c r="J645" i="3"/>
  <c r="M644" i="3"/>
  <c r="L644" i="3"/>
  <c r="K644" i="3"/>
  <c r="J644" i="3"/>
  <c r="M643" i="3"/>
  <c r="L643" i="3"/>
  <c r="K643" i="3"/>
  <c r="J643" i="3"/>
  <c r="M642" i="3"/>
  <c r="L642" i="3"/>
  <c r="K642" i="3"/>
  <c r="J642" i="3"/>
  <c r="M641" i="3"/>
  <c r="L641" i="3"/>
  <c r="K641" i="3"/>
  <c r="J641" i="3"/>
  <c r="M640" i="3"/>
  <c r="L640" i="3"/>
  <c r="K640" i="3"/>
  <c r="J640" i="3"/>
  <c r="M639" i="3"/>
  <c r="L639" i="3"/>
  <c r="K639" i="3"/>
  <c r="J639" i="3"/>
  <c r="M638" i="3"/>
  <c r="L638" i="3"/>
  <c r="K638" i="3"/>
  <c r="J638" i="3"/>
  <c r="M637" i="3"/>
  <c r="L637" i="3"/>
  <c r="K637" i="3"/>
  <c r="J637" i="3"/>
  <c r="M636" i="3"/>
  <c r="L636" i="3"/>
  <c r="K636" i="3"/>
  <c r="J636" i="3"/>
  <c r="M635" i="3"/>
  <c r="L635" i="3"/>
  <c r="K635" i="3"/>
  <c r="J635" i="3"/>
  <c r="M634" i="3"/>
  <c r="L634" i="3"/>
  <c r="K634" i="3"/>
  <c r="J634" i="3"/>
  <c r="M633" i="3"/>
  <c r="L633" i="3"/>
  <c r="K633" i="3"/>
  <c r="J633" i="3"/>
  <c r="M632" i="3"/>
  <c r="L632" i="3"/>
  <c r="K632" i="3"/>
  <c r="J632" i="3"/>
  <c r="M631" i="3"/>
  <c r="L631" i="3"/>
  <c r="K631" i="3"/>
  <c r="J631" i="3"/>
  <c r="M630" i="3"/>
  <c r="L630" i="3"/>
  <c r="K630" i="3"/>
  <c r="J630" i="3"/>
  <c r="M629" i="3"/>
  <c r="L629" i="3"/>
  <c r="K629" i="3"/>
  <c r="J629" i="3"/>
  <c r="M628" i="3"/>
  <c r="L628" i="3"/>
  <c r="K628" i="3"/>
  <c r="J628" i="3"/>
  <c r="M627" i="3"/>
  <c r="L627" i="3"/>
  <c r="K627" i="3"/>
  <c r="J627" i="3"/>
  <c r="M626" i="3"/>
  <c r="L626" i="3"/>
  <c r="K626" i="3"/>
  <c r="J626" i="3"/>
  <c r="M625" i="3"/>
  <c r="L625" i="3"/>
  <c r="K625" i="3"/>
  <c r="J625" i="3"/>
  <c r="M624" i="3"/>
  <c r="L624" i="3"/>
  <c r="K624" i="3"/>
  <c r="J624" i="3"/>
  <c r="M623" i="3"/>
  <c r="L623" i="3"/>
  <c r="K623" i="3"/>
  <c r="J623" i="3"/>
  <c r="M622" i="3"/>
  <c r="L622" i="3"/>
  <c r="K622" i="3"/>
  <c r="J622" i="3"/>
  <c r="M621" i="3"/>
  <c r="L621" i="3"/>
  <c r="K621" i="3"/>
  <c r="J621" i="3"/>
  <c r="M620" i="3"/>
  <c r="L620" i="3"/>
  <c r="K620" i="3"/>
  <c r="J620" i="3"/>
  <c r="M619" i="3"/>
  <c r="L619" i="3"/>
  <c r="K619" i="3"/>
  <c r="J619" i="3"/>
  <c r="M618" i="3"/>
  <c r="L618" i="3"/>
  <c r="K618" i="3"/>
  <c r="J618" i="3"/>
  <c r="M617" i="3"/>
  <c r="L617" i="3"/>
  <c r="K617" i="3"/>
  <c r="J617" i="3"/>
  <c r="M616" i="3"/>
  <c r="L616" i="3"/>
  <c r="K616" i="3"/>
  <c r="J616" i="3"/>
  <c r="M615" i="3"/>
  <c r="L615" i="3"/>
  <c r="K615" i="3"/>
  <c r="J615" i="3"/>
  <c r="M614" i="3"/>
  <c r="L614" i="3"/>
  <c r="K614" i="3"/>
  <c r="J614" i="3"/>
  <c r="M613" i="3"/>
  <c r="L613" i="3"/>
  <c r="K613" i="3"/>
  <c r="J613" i="3"/>
  <c r="M612" i="3"/>
  <c r="L612" i="3"/>
  <c r="K612" i="3"/>
  <c r="J612" i="3"/>
  <c r="M611" i="3"/>
  <c r="L611" i="3"/>
  <c r="K611" i="3"/>
  <c r="J611" i="3"/>
  <c r="M610" i="3"/>
  <c r="L610" i="3"/>
  <c r="K610" i="3"/>
  <c r="J610" i="3"/>
  <c r="M609" i="3"/>
  <c r="L609" i="3"/>
  <c r="K609" i="3"/>
  <c r="J609" i="3"/>
  <c r="M608" i="3"/>
  <c r="L608" i="3"/>
  <c r="K608" i="3"/>
  <c r="J608" i="3"/>
  <c r="M607" i="3"/>
  <c r="L607" i="3"/>
  <c r="K607" i="3"/>
  <c r="J607" i="3"/>
  <c r="M606" i="3"/>
  <c r="L606" i="3"/>
  <c r="K606" i="3"/>
  <c r="J606" i="3"/>
  <c r="M605" i="3"/>
  <c r="L605" i="3"/>
  <c r="K605" i="3"/>
  <c r="J605" i="3"/>
  <c r="M604" i="3"/>
  <c r="L604" i="3"/>
  <c r="K604" i="3"/>
  <c r="J604" i="3"/>
  <c r="M603" i="3"/>
  <c r="L603" i="3"/>
  <c r="K603" i="3"/>
  <c r="J603" i="3"/>
  <c r="M602" i="3"/>
  <c r="L602" i="3"/>
  <c r="K602" i="3"/>
  <c r="J602" i="3"/>
  <c r="M601" i="3"/>
  <c r="L601" i="3"/>
  <c r="K601" i="3"/>
  <c r="J601" i="3"/>
  <c r="M600" i="3"/>
  <c r="L600" i="3"/>
  <c r="K600" i="3"/>
  <c r="J600" i="3"/>
  <c r="M599" i="3"/>
  <c r="L599" i="3"/>
  <c r="K599" i="3"/>
  <c r="J599" i="3"/>
  <c r="M598" i="3"/>
  <c r="L598" i="3"/>
  <c r="K598" i="3"/>
  <c r="J598" i="3"/>
  <c r="M597" i="3"/>
  <c r="L597" i="3"/>
  <c r="K597" i="3"/>
  <c r="J597" i="3"/>
  <c r="M596" i="3"/>
  <c r="L596" i="3"/>
  <c r="K596" i="3"/>
  <c r="J596" i="3"/>
  <c r="M595" i="3"/>
  <c r="L595" i="3"/>
  <c r="K595" i="3"/>
  <c r="J595" i="3"/>
  <c r="M594" i="3"/>
  <c r="L594" i="3"/>
  <c r="K594" i="3"/>
  <c r="J594" i="3"/>
  <c r="M593" i="3"/>
  <c r="L593" i="3"/>
  <c r="K593" i="3"/>
  <c r="J593" i="3"/>
  <c r="M592" i="3"/>
  <c r="L592" i="3"/>
  <c r="K592" i="3"/>
  <c r="J592" i="3"/>
  <c r="M591" i="3"/>
  <c r="L591" i="3"/>
  <c r="K591" i="3"/>
  <c r="J591" i="3"/>
  <c r="M590" i="3"/>
  <c r="L590" i="3"/>
  <c r="K590" i="3"/>
  <c r="J590" i="3"/>
  <c r="M589" i="3"/>
  <c r="L589" i="3"/>
  <c r="K589" i="3"/>
  <c r="J589" i="3"/>
  <c r="M588" i="3"/>
  <c r="L588" i="3"/>
  <c r="K588" i="3"/>
  <c r="J588" i="3"/>
  <c r="M587" i="3"/>
  <c r="L587" i="3"/>
  <c r="K587" i="3"/>
  <c r="J587" i="3"/>
  <c r="M586" i="3"/>
  <c r="L586" i="3"/>
  <c r="K586" i="3"/>
  <c r="J586" i="3"/>
  <c r="M585" i="3"/>
  <c r="L585" i="3"/>
  <c r="K585" i="3"/>
  <c r="J585" i="3"/>
  <c r="M584" i="3"/>
  <c r="L584" i="3"/>
  <c r="K584" i="3"/>
  <c r="J584" i="3"/>
  <c r="M583" i="3"/>
  <c r="L583" i="3"/>
  <c r="K583" i="3"/>
  <c r="J583" i="3"/>
  <c r="M582" i="3"/>
  <c r="L582" i="3"/>
  <c r="K582" i="3"/>
  <c r="J582" i="3"/>
  <c r="M581" i="3"/>
  <c r="L581" i="3"/>
  <c r="K581" i="3"/>
  <c r="J581" i="3"/>
  <c r="M580" i="3"/>
  <c r="L580" i="3"/>
  <c r="K580" i="3"/>
  <c r="J580" i="3"/>
  <c r="M579" i="3"/>
  <c r="L579" i="3"/>
  <c r="K579" i="3"/>
  <c r="J579" i="3"/>
  <c r="M578" i="3"/>
  <c r="L578" i="3"/>
  <c r="K578" i="3"/>
  <c r="J578" i="3"/>
  <c r="M577" i="3"/>
  <c r="L577" i="3"/>
  <c r="K577" i="3"/>
  <c r="J577" i="3"/>
  <c r="M576" i="3"/>
  <c r="L576" i="3"/>
  <c r="K576" i="3"/>
  <c r="J576" i="3"/>
  <c r="M575" i="3"/>
  <c r="L575" i="3"/>
  <c r="K575" i="3"/>
  <c r="J575" i="3"/>
  <c r="M574" i="3"/>
  <c r="L574" i="3"/>
  <c r="K574" i="3"/>
  <c r="J574" i="3"/>
  <c r="M573" i="3"/>
  <c r="L573" i="3"/>
  <c r="K573" i="3"/>
  <c r="J573" i="3"/>
  <c r="M572" i="3"/>
  <c r="L572" i="3"/>
  <c r="K572" i="3"/>
  <c r="J572" i="3"/>
  <c r="M571" i="3"/>
  <c r="L571" i="3"/>
  <c r="K571" i="3"/>
  <c r="J571" i="3"/>
  <c r="M570" i="3"/>
  <c r="L570" i="3"/>
  <c r="K570" i="3"/>
  <c r="J570" i="3"/>
  <c r="M569" i="3"/>
  <c r="L569" i="3"/>
  <c r="K569" i="3"/>
  <c r="J569" i="3"/>
  <c r="M568" i="3"/>
  <c r="L568" i="3"/>
  <c r="K568" i="3"/>
  <c r="J568" i="3"/>
  <c r="M567" i="3"/>
  <c r="L567" i="3"/>
  <c r="K567" i="3"/>
  <c r="J567" i="3"/>
  <c r="M566" i="3"/>
  <c r="L566" i="3"/>
  <c r="K566" i="3"/>
  <c r="J566" i="3"/>
  <c r="M565" i="3"/>
  <c r="L565" i="3"/>
  <c r="K565" i="3"/>
  <c r="J565" i="3"/>
  <c r="M564" i="3"/>
  <c r="L564" i="3"/>
  <c r="K564" i="3"/>
  <c r="J564" i="3"/>
  <c r="M563" i="3"/>
  <c r="L563" i="3"/>
  <c r="K563" i="3"/>
  <c r="J563" i="3"/>
  <c r="M562" i="3"/>
  <c r="L562" i="3"/>
  <c r="K562" i="3"/>
  <c r="J562" i="3"/>
  <c r="M561" i="3"/>
  <c r="L561" i="3"/>
  <c r="K561" i="3"/>
  <c r="J561" i="3"/>
  <c r="M560" i="3"/>
  <c r="L560" i="3"/>
  <c r="K560" i="3"/>
  <c r="J560" i="3"/>
  <c r="M559" i="3"/>
  <c r="L559" i="3"/>
  <c r="K559" i="3"/>
  <c r="J559" i="3"/>
  <c r="M558" i="3"/>
  <c r="L558" i="3"/>
  <c r="K558" i="3"/>
  <c r="J558" i="3"/>
  <c r="M557" i="3"/>
  <c r="L557" i="3"/>
  <c r="K557" i="3"/>
  <c r="J557" i="3"/>
  <c r="M556" i="3"/>
  <c r="L556" i="3"/>
  <c r="K556" i="3"/>
  <c r="J556" i="3"/>
  <c r="M555" i="3"/>
  <c r="L555" i="3"/>
  <c r="K555" i="3"/>
  <c r="J555" i="3"/>
  <c r="M554" i="3"/>
  <c r="L554" i="3"/>
  <c r="K554" i="3"/>
  <c r="J554" i="3"/>
  <c r="M553" i="3"/>
  <c r="L553" i="3"/>
  <c r="K553" i="3"/>
  <c r="J553" i="3"/>
  <c r="M552" i="3"/>
  <c r="L552" i="3"/>
  <c r="K552" i="3"/>
  <c r="J552" i="3"/>
  <c r="M551" i="3"/>
  <c r="L551" i="3"/>
  <c r="K551" i="3"/>
  <c r="J551" i="3"/>
  <c r="M550" i="3"/>
  <c r="L550" i="3"/>
  <c r="K550" i="3"/>
  <c r="J550" i="3"/>
  <c r="M549" i="3"/>
  <c r="L549" i="3"/>
  <c r="K549" i="3"/>
  <c r="J549" i="3"/>
  <c r="M548" i="3"/>
  <c r="L548" i="3"/>
  <c r="K548" i="3"/>
  <c r="J548" i="3"/>
  <c r="M547" i="3"/>
  <c r="L547" i="3"/>
  <c r="K547" i="3"/>
  <c r="J547" i="3"/>
  <c r="M546" i="3"/>
  <c r="L546" i="3"/>
  <c r="K546" i="3"/>
  <c r="J546" i="3"/>
  <c r="M545" i="3"/>
  <c r="L545" i="3"/>
  <c r="K545" i="3"/>
  <c r="J545" i="3"/>
  <c r="M544" i="3"/>
  <c r="L544" i="3"/>
  <c r="K544" i="3"/>
  <c r="J544" i="3"/>
  <c r="M543" i="3"/>
  <c r="L543" i="3"/>
  <c r="K543" i="3"/>
  <c r="J543" i="3"/>
  <c r="M542" i="3"/>
  <c r="L542" i="3"/>
  <c r="K542" i="3"/>
  <c r="J542" i="3"/>
  <c r="M541" i="3"/>
  <c r="L541" i="3"/>
  <c r="K541" i="3"/>
  <c r="J541" i="3"/>
  <c r="M540" i="3"/>
  <c r="L540" i="3"/>
  <c r="K540" i="3"/>
  <c r="J540" i="3"/>
  <c r="M539" i="3"/>
  <c r="L539" i="3"/>
  <c r="K539" i="3"/>
  <c r="J539" i="3"/>
  <c r="M538" i="3"/>
  <c r="L538" i="3"/>
  <c r="K538" i="3"/>
  <c r="J538" i="3"/>
  <c r="M537" i="3"/>
  <c r="L537" i="3"/>
  <c r="K537" i="3"/>
  <c r="J537" i="3"/>
  <c r="M536" i="3"/>
  <c r="L536" i="3"/>
  <c r="K536" i="3"/>
  <c r="J536" i="3"/>
  <c r="M535" i="3"/>
  <c r="L535" i="3"/>
  <c r="K535" i="3"/>
  <c r="J535" i="3"/>
  <c r="M534" i="3"/>
  <c r="L534" i="3"/>
  <c r="K534" i="3"/>
  <c r="J534" i="3"/>
  <c r="M533" i="3"/>
  <c r="L533" i="3"/>
  <c r="K533" i="3"/>
  <c r="J533" i="3"/>
  <c r="M532" i="3"/>
  <c r="L532" i="3"/>
  <c r="K532" i="3"/>
  <c r="J532" i="3"/>
  <c r="M531" i="3"/>
  <c r="L531" i="3"/>
  <c r="K531" i="3"/>
  <c r="J531" i="3"/>
  <c r="M530" i="3"/>
  <c r="L530" i="3"/>
  <c r="K530" i="3"/>
  <c r="J530" i="3"/>
  <c r="M529" i="3"/>
  <c r="L529" i="3"/>
  <c r="K529" i="3"/>
  <c r="J529" i="3"/>
  <c r="M528" i="3"/>
  <c r="L528" i="3"/>
  <c r="K528" i="3"/>
  <c r="J528" i="3"/>
  <c r="M527" i="3"/>
  <c r="L527" i="3"/>
  <c r="K527" i="3"/>
  <c r="J527" i="3"/>
  <c r="M526" i="3"/>
  <c r="L526" i="3"/>
  <c r="K526" i="3"/>
  <c r="J526" i="3"/>
  <c r="M525" i="3"/>
  <c r="L525" i="3"/>
  <c r="K525" i="3"/>
  <c r="J525" i="3"/>
  <c r="M524" i="3"/>
  <c r="L524" i="3"/>
  <c r="K524" i="3"/>
  <c r="J524" i="3"/>
  <c r="M523" i="3"/>
  <c r="L523" i="3"/>
  <c r="K523" i="3"/>
  <c r="J523" i="3"/>
  <c r="M522" i="3"/>
  <c r="L522" i="3"/>
  <c r="K522" i="3"/>
  <c r="J522" i="3"/>
  <c r="M521" i="3"/>
  <c r="L521" i="3"/>
  <c r="K521" i="3"/>
  <c r="J521" i="3"/>
  <c r="M520" i="3"/>
  <c r="L520" i="3"/>
  <c r="K520" i="3"/>
  <c r="J520" i="3"/>
  <c r="M519" i="3"/>
  <c r="L519" i="3"/>
  <c r="K519" i="3"/>
  <c r="J519" i="3"/>
  <c r="M518" i="3"/>
  <c r="L518" i="3"/>
  <c r="K518" i="3"/>
  <c r="J518" i="3"/>
  <c r="M517" i="3"/>
  <c r="L517" i="3"/>
  <c r="K517" i="3"/>
  <c r="J517" i="3"/>
  <c r="M516" i="3"/>
  <c r="L516" i="3"/>
  <c r="K516" i="3"/>
  <c r="J516" i="3"/>
  <c r="M515" i="3"/>
  <c r="L515" i="3"/>
  <c r="K515" i="3"/>
  <c r="J515" i="3"/>
  <c r="M514" i="3"/>
  <c r="L514" i="3"/>
  <c r="K514" i="3"/>
  <c r="J514" i="3"/>
  <c r="M513" i="3"/>
  <c r="L513" i="3"/>
  <c r="K513" i="3"/>
  <c r="J513" i="3"/>
  <c r="M512" i="3"/>
  <c r="L512" i="3"/>
  <c r="K512" i="3"/>
  <c r="J512" i="3"/>
  <c r="M511" i="3"/>
  <c r="L511" i="3"/>
  <c r="K511" i="3"/>
  <c r="J511" i="3"/>
  <c r="M510" i="3"/>
  <c r="L510" i="3"/>
  <c r="K510" i="3"/>
  <c r="J510" i="3"/>
  <c r="M509" i="3"/>
  <c r="L509" i="3"/>
  <c r="K509" i="3"/>
  <c r="J509" i="3"/>
  <c r="M508" i="3"/>
  <c r="L508" i="3"/>
  <c r="K508" i="3"/>
  <c r="J508" i="3"/>
  <c r="M507" i="3"/>
  <c r="L507" i="3"/>
  <c r="K507" i="3"/>
  <c r="J507" i="3"/>
  <c r="M506" i="3"/>
  <c r="L506" i="3"/>
  <c r="K506" i="3"/>
  <c r="J506" i="3"/>
  <c r="M505" i="3"/>
  <c r="L505" i="3"/>
  <c r="K505" i="3"/>
  <c r="J505" i="3"/>
  <c r="M504" i="3"/>
  <c r="L504" i="3"/>
  <c r="K504" i="3"/>
  <c r="J504" i="3"/>
  <c r="M503" i="3"/>
  <c r="L503" i="3"/>
  <c r="K503" i="3"/>
  <c r="J503" i="3"/>
  <c r="M502" i="3"/>
  <c r="L502" i="3"/>
  <c r="K502" i="3"/>
  <c r="J502" i="3"/>
  <c r="M501" i="3"/>
  <c r="L501" i="3"/>
  <c r="K501" i="3"/>
  <c r="J501" i="3"/>
  <c r="M500" i="3"/>
  <c r="L500" i="3"/>
  <c r="K500" i="3"/>
  <c r="J500" i="3"/>
  <c r="M499" i="3"/>
  <c r="L499" i="3"/>
  <c r="K499" i="3"/>
  <c r="J499" i="3"/>
  <c r="M498" i="3"/>
  <c r="L498" i="3"/>
  <c r="K498" i="3"/>
  <c r="J498" i="3"/>
  <c r="M497" i="3"/>
  <c r="L497" i="3"/>
  <c r="K497" i="3"/>
  <c r="J497" i="3"/>
  <c r="M496" i="3"/>
  <c r="L496" i="3"/>
  <c r="K496" i="3"/>
  <c r="J496" i="3"/>
  <c r="M495" i="3"/>
  <c r="L495" i="3"/>
  <c r="K495" i="3"/>
  <c r="J495" i="3"/>
  <c r="M494" i="3"/>
  <c r="L494" i="3"/>
  <c r="K494" i="3"/>
  <c r="J494" i="3"/>
  <c r="M493" i="3"/>
  <c r="L493" i="3"/>
  <c r="K493" i="3"/>
  <c r="J493" i="3"/>
  <c r="M492" i="3"/>
  <c r="L492" i="3"/>
  <c r="K492" i="3"/>
  <c r="J492" i="3"/>
  <c r="M491" i="3"/>
  <c r="L491" i="3"/>
  <c r="K491" i="3"/>
  <c r="J491" i="3"/>
  <c r="M490" i="3"/>
  <c r="L490" i="3"/>
  <c r="K490" i="3"/>
  <c r="J490" i="3"/>
  <c r="M489" i="3"/>
  <c r="L489" i="3"/>
  <c r="K489" i="3"/>
  <c r="J489" i="3"/>
  <c r="M488" i="3"/>
  <c r="L488" i="3"/>
  <c r="K488" i="3"/>
  <c r="J488" i="3"/>
  <c r="M487" i="3"/>
  <c r="L487" i="3"/>
  <c r="K487" i="3"/>
  <c r="J487" i="3"/>
  <c r="M486" i="3"/>
  <c r="L486" i="3"/>
  <c r="K486" i="3"/>
  <c r="J486" i="3"/>
  <c r="M485" i="3"/>
  <c r="L485" i="3"/>
  <c r="K485" i="3"/>
  <c r="J485" i="3"/>
  <c r="M484" i="3"/>
  <c r="L484" i="3"/>
  <c r="K484" i="3"/>
  <c r="J484" i="3"/>
  <c r="M483" i="3"/>
  <c r="L483" i="3"/>
  <c r="K483" i="3"/>
  <c r="J483" i="3"/>
  <c r="M482" i="3"/>
  <c r="L482" i="3"/>
  <c r="K482" i="3"/>
  <c r="J482" i="3"/>
  <c r="M481" i="3"/>
  <c r="L481" i="3"/>
  <c r="K481" i="3"/>
  <c r="J481" i="3"/>
  <c r="M480" i="3"/>
  <c r="L480" i="3"/>
  <c r="K480" i="3"/>
  <c r="J480" i="3"/>
  <c r="M479" i="3"/>
  <c r="L479" i="3"/>
  <c r="K479" i="3"/>
  <c r="J479" i="3"/>
  <c r="M478" i="3"/>
  <c r="L478" i="3"/>
  <c r="K478" i="3"/>
  <c r="J478" i="3"/>
  <c r="M477" i="3"/>
  <c r="L477" i="3"/>
  <c r="K477" i="3"/>
  <c r="J477" i="3"/>
  <c r="M476" i="3"/>
  <c r="L476" i="3"/>
  <c r="K476" i="3"/>
  <c r="J476" i="3"/>
  <c r="M475" i="3"/>
  <c r="L475" i="3"/>
  <c r="K475" i="3"/>
  <c r="J475" i="3"/>
  <c r="M474" i="3"/>
  <c r="L474" i="3"/>
  <c r="K474" i="3"/>
  <c r="J474" i="3"/>
  <c r="M473" i="3"/>
  <c r="L473" i="3"/>
  <c r="K473" i="3"/>
  <c r="J473" i="3"/>
  <c r="M472" i="3"/>
  <c r="L472" i="3"/>
  <c r="K472" i="3"/>
  <c r="J472" i="3"/>
  <c r="M471" i="3"/>
  <c r="L471" i="3"/>
  <c r="K471" i="3"/>
  <c r="J471" i="3"/>
  <c r="M470" i="3"/>
  <c r="L470" i="3"/>
  <c r="K470" i="3"/>
  <c r="J470" i="3"/>
  <c r="M469" i="3"/>
  <c r="L469" i="3"/>
  <c r="K469" i="3"/>
  <c r="J469" i="3"/>
  <c r="M468" i="3"/>
  <c r="L468" i="3"/>
  <c r="K468" i="3"/>
  <c r="J468" i="3"/>
  <c r="M467" i="3"/>
  <c r="L467" i="3"/>
  <c r="K467" i="3"/>
  <c r="J467" i="3"/>
  <c r="M466" i="3"/>
  <c r="L466" i="3"/>
  <c r="K466" i="3"/>
  <c r="J466" i="3"/>
  <c r="M465" i="3"/>
  <c r="L465" i="3"/>
  <c r="K465" i="3"/>
  <c r="J465" i="3"/>
  <c r="M464" i="3"/>
  <c r="L464" i="3"/>
  <c r="K464" i="3"/>
  <c r="J464" i="3"/>
  <c r="M463" i="3"/>
  <c r="L463" i="3"/>
  <c r="K463" i="3"/>
  <c r="J463" i="3"/>
  <c r="M462" i="3"/>
  <c r="L462" i="3"/>
  <c r="K462" i="3"/>
  <c r="J462" i="3"/>
  <c r="M461" i="3"/>
  <c r="L461" i="3"/>
  <c r="K461" i="3"/>
  <c r="J461" i="3"/>
  <c r="M460" i="3"/>
  <c r="L460" i="3"/>
  <c r="K460" i="3"/>
  <c r="J460" i="3"/>
  <c r="M459" i="3"/>
  <c r="L459" i="3"/>
  <c r="K459" i="3"/>
  <c r="J459" i="3"/>
  <c r="M458" i="3"/>
  <c r="L458" i="3"/>
  <c r="K458" i="3"/>
  <c r="J458" i="3"/>
  <c r="M457" i="3"/>
  <c r="L457" i="3"/>
  <c r="K457" i="3"/>
  <c r="J457" i="3"/>
  <c r="M456" i="3"/>
  <c r="L456" i="3"/>
  <c r="K456" i="3"/>
  <c r="J456" i="3"/>
  <c r="M455" i="3"/>
  <c r="L455" i="3"/>
  <c r="K455" i="3"/>
  <c r="J455" i="3"/>
  <c r="M454" i="3"/>
  <c r="L454" i="3"/>
  <c r="K454" i="3"/>
  <c r="J454" i="3"/>
  <c r="M453" i="3"/>
  <c r="L453" i="3"/>
  <c r="K453" i="3"/>
  <c r="J453" i="3"/>
  <c r="M452" i="3"/>
  <c r="L452" i="3"/>
  <c r="K452" i="3"/>
  <c r="J452" i="3"/>
  <c r="M451" i="3"/>
  <c r="L451" i="3"/>
  <c r="K451" i="3"/>
  <c r="J451" i="3"/>
  <c r="M450" i="3"/>
  <c r="L450" i="3"/>
  <c r="K450" i="3"/>
  <c r="J450" i="3"/>
  <c r="M449" i="3"/>
  <c r="L449" i="3"/>
  <c r="K449" i="3"/>
  <c r="J449" i="3"/>
  <c r="M448" i="3"/>
  <c r="L448" i="3"/>
  <c r="K448" i="3"/>
  <c r="J448" i="3"/>
  <c r="M447" i="3"/>
  <c r="L447" i="3"/>
  <c r="K447" i="3"/>
  <c r="J447" i="3"/>
  <c r="M446" i="3"/>
  <c r="L446" i="3"/>
  <c r="K446" i="3"/>
  <c r="J446" i="3"/>
  <c r="M445" i="3"/>
  <c r="L445" i="3"/>
  <c r="K445" i="3"/>
  <c r="J445" i="3"/>
  <c r="M444" i="3"/>
  <c r="L444" i="3"/>
  <c r="K444" i="3"/>
  <c r="J444" i="3"/>
  <c r="M443" i="3"/>
  <c r="L443" i="3"/>
  <c r="K443" i="3"/>
  <c r="J443" i="3"/>
  <c r="M442" i="3"/>
  <c r="L442" i="3"/>
  <c r="K442" i="3"/>
  <c r="J442" i="3"/>
  <c r="M441" i="3"/>
  <c r="L441" i="3"/>
  <c r="K441" i="3"/>
  <c r="J441" i="3"/>
  <c r="M440" i="3"/>
  <c r="L440" i="3"/>
  <c r="K440" i="3"/>
  <c r="J440" i="3"/>
  <c r="M439" i="3"/>
  <c r="L439" i="3"/>
  <c r="K439" i="3"/>
  <c r="J439" i="3"/>
  <c r="M438" i="3"/>
  <c r="L438" i="3"/>
  <c r="K438" i="3"/>
  <c r="J438" i="3"/>
  <c r="M437" i="3"/>
  <c r="L437" i="3"/>
  <c r="K437" i="3"/>
  <c r="J437" i="3"/>
  <c r="M436" i="3"/>
  <c r="L436" i="3"/>
  <c r="K436" i="3"/>
  <c r="J436" i="3"/>
  <c r="M435" i="3"/>
  <c r="L435" i="3"/>
  <c r="K435" i="3"/>
  <c r="J435" i="3"/>
  <c r="M434" i="3"/>
  <c r="L434" i="3"/>
  <c r="K434" i="3"/>
  <c r="J434" i="3"/>
  <c r="M433" i="3"/>
  <c r="L433" i="3"/>
  <c r="K433" i="3"/>
  <c r="J433" i="3"/>
  <c r="M432" i="3"/>
  <c r="L432" i="3"/>
  <c r="K432" i="3"/>
  <c r="J432" i="3"/>
  <c r="M431" i="3"/>
  <c r="L431" i="3"/>
  <c r="K431" i="3"/>
  <c r="J431" i="3"/>
  <c r="M430" i="3"/>
  <c r="L430" i="3"/>
  <c r="K430" i="3"/>
  <c r="J430" i="3"/>
  <c r="M429" i="3"/>
  <c r="L429" i="3"/>
  <c r="K429" i="3"/>
  <c r="J429" i="3"/>
  <c r="M428" i="3"/>
  <c r="L428" i="3"/>
  <c r="K428" i="3"/>
  <c r="J428" i="3"/>
  <c r="M427" i="3"/>
  <c r="L427" i="3"/>
  <c r="K427" i="3"/>
  <c r="J427" i="3"/>
  <c r="M426" i="3"/>
  <c r="L426" i="3"/>
  <c r="K426" i="3"/>
  <c r="J426" i="3"/>
  <c r="M425" i="3"/>
  <c r="L425" i="3"/>
  <c r="K425" i="3"/>
  <c r="J425" i="3"/>
  <c r="M424" i="3"/>
  <c r="L424" i="3"/>
  <c r="K424" i="3"/>
  <c r="J424" i="3"/>
  <c r="M423" i="3"/>
  <c r="L423" i="3"/>
  <c r="K423" i="3"/>
  <c r="J423" i="3"/>
  <c r="M422" i="3"/>
  <c r="L422" i="3"/>
  <c r="K422" i="3"/>
  <c r="J422" i="3"/>
  <c r="M421" i="3"/>
  <c r="L421" i="3"/>
  <c r="K421" i="3"/>
  <c r="J421" i="3"/>
  <c r="M420" i="3"/>
  <c r="L420" i="3"/>
  <c r="K420" i="3"/>
  <c r="J420" i="3"/>
  <c r="M419" i="3"/>
  <c r="L419" i="3"/>
  <c r="K419" i="3"/>
  <c r="J419" i="3"/>
  <c r="M418" i="3"/>
  <c r="L418" i="3"/>
  <c r="K418" i="3"/>
  <c r="J418" i="3"/>
  <c r="M417" i="3"/>
  <c r="L417" i="3"/>
  <c r="K417" i="3"/>
  <c r="J417" i="3"/>
  <c r="M416" i="3"/>
  <c r="L416" i="3"/>
  <c r="K416" i="3"/>
  <c r="J416" i="3"/>
  <c r="M415" i="3"/>
  <c r="L415" i="3"/>
  <c r="K415" i="3"/>
  <c r="J415" i="3"/>
  <c r="M414" i="3"/>
  <c r="L414" i="3"/>
  <c r="K414" i="3"/>
  <c r="J414" i="3"/>
  <c r="M413" i="3"/>
  <c r="L413" i="3"/>
  <c r="K413" i="3"/>
  <c r="J413" i="3"/>
  <c r="M412" i="3"/>
  <c r="L412" i="3"/>
  <c r="K412" i="3"/>
  <c r="J412" i="3"/>
  <c r="M411" i="3"/>
  <c r="L411" i="3"/>
  <c r="K411" i="3"/>
  <c r="J411" i="3"/>
  <c r="M410" i="3"/>
  <c r="L410" i="3"/>
  <c r="K410" i="3"/>
  <c r="J410" i="3"/>
  <c r="M409" i="3"/>
  <c r="L409" i="3"/>
  <c r="K409" i="3"/>
  <c r="J409" i="3"/>
  <c r="M408" i="3"/>
  <c r="L408" i="3"/>
  <c r="K408" i="3"/>
  <c r="J408" i="3"/>
  <c r="M407" i="3"/>
  <c r="L407" i="3"/>
  <c r="K407" i="3"/>
  <c r="J407" i="3"/>
  <c r="M406" i="3"/>
  <c r="L406" i="3"/>
  <c r="K406" i="3"/>
  <c r="J406" i="3"/>
  <c r="M405" i="3"/>
  <c r="L405" i="3"/>
  <c r="K405" i="3"/>
  <c r="J405" i="3"/>
  <c r="M404" i="3"/>
  <c r="L404" i="3"/>
  <c r="K404" i="3"/>
  <c r="J404" i="3"/>
  <c r="M403" i="3"/>
  <c r="L403" i="3"/>
  <c r="K403" i="3"/>
  <c r="J403" i="3"/>
  <c r="M402" i="3"/>
  <c r="L402" i="3"/>
  <c r="K402" i="3"/>
  <c r="J402" i="3"/>
  <c r="M401" i="3"/>
  <c r="L401" i="3"/>
  <c r="K401" i="3"/>
  <c r="J401" i="3"/>
  <c r="M400" i="3"/>
  <c r="L400" i="3"/>
  <c r="K400" i="3"/>
  <c r="J400" i="3"/>
  <c r="M399" i="3"/>
  <c r="L399" i="3"/>
  <c r="K399" i="3"/>
  <c r="J399" i="3"/>
  <c r="M398" i="3"/>
  <c r="L398" i="3"/>
  <c r="K398" i="3"/>
  <c r="J398" i="3"/>
  <c r="M397" i="3"/>
  <c r="L397" i="3"/>
  <c r="K397" i="3"/>
  <c r="J397" i="3"/>
  <c r="M396" i="3"/>
  <c r="L396" i="3"/>
  <c r="K396" i="3"/>
  <c r="J396" i="3"/>
  <c r="M395" i="3"/>
  <c r="L395" i="3"/>
  <c r="K395" i="3"/>
  <c r="J395" i="3"/>
  <c r="M394" i="3"/>
  <c r="L394" i="3"/>
  <c r="K394" i="3"/>
  <c r="J394" i="3"/>
  <c r="M393" i="3"/>
  <c r="L393" i="3"/>
  <c r="K393" i="3"/>
  <c r="J393" i="3"/>
  <c r="M392" i="3"/>
  <c r="L392" i="3"/>
  <c r="K392" i="3"/>
  <c r="J392" i="3"/>
  <c r="M391" i="3"/>
  <c r="L391" i="3"/>
  <c r="K391" i="3"/>
  <c r="J391" i="3"/>
  <c r="M390" i="3"/>
  <c r="L390" i="3"/>
  <c r="K390" i="3"/>
  <c r="J390" i="3"/>
  <c r="M389" i="3"/>
  <c r="L389" i="3"/>
  <c r="K389" i="3"/>
  <c r="J389" i="3"/>
  <c r="M388" i="3"/>
  <c r="L388" i="3"/>
  <c r="K388" i="3"/>
  <c r="J388" i="3"/>
  <c r="M387" i="3"/>
  <c r="L387" i="3"/>
  <c r="K387" i="3"/>
  <c r="J387" i="3"/>
  <c r="M386" i="3"/>
  <c r="L386" i="3"/>
  <c r="K386" i="3"/>
  <c r="J386" i="3"/>
  <c r="M385" i="3"/>
  <c r="L385" i="3"/>
  <c r="K385" i="3"/>
  <c r="J385" i="3"/>
  <c r="M384" i="3"/>
  <c r="L384" i="3"/>
  <c r="K384" i="3"/>
  <c r="J384" i="3"/>
  <c r="M383" i="3"/>
  <c r="L383" i="3"/>
  <c r="K383" i="3"/>
  <c r="J383" i="3"/>
  <c r="M382" i="3"/>
  <c r="L382" i="3"/>
  <c r="K382" i="3"/>
  <c r="J382" i="3"/>
  <c r="M381" i="3"/>
  <c r="L381" i="3"/>
  <c r="K381" i="3"/>
  <c r="J381" i="3"/>
  <c r="M380" i="3"/>
  <c r="L380" i="3"/>
  <c r="K380" i="3"/>
  <c r="J380" i="3"/>
  <c r="M379" i="3"/>
  <c r="L379" i="3"/>
  <c r="K379" i="3"/>
  <c r="J379" i="3"/>
  <c r="M378" i="3"/>
  <c r="L378" i="3"/>
  <c r="K378" i="3"/>
  <c r="J378" i="3"/>
  <c r="M377" i="3"/>
  <c r="L377" i="3"/>
  <c r="K377" i="3"/>
  <c r="J377" i="3"/>
  <c r="M376" i="3"/>
  <c r="L376" i="3"/>
  <c r="K376" i="3"/>
  <c r="J376" i="3"/>
  <c r="M375" i="3"/>
  <c r="L375" i="3"/>
  <c r="K375" i="3"/>
  <c r="J375" i="3"/>
  <c r="M374" i="3"/>
  <c r="L374" i="3"/>
  <c r="K374" i="3"/>
  <c r="J374" i="3"/>
  <c r="M373" i="3"/>
  <c r="L373" i="3"/>
  <c r="K373" i="3"/>
  <c r="J373" i="3"/>
  <c r="M372" i="3"/>
  <c r="L372" i="3"/>
  <c r="K372" i="3"/>
  <c r="J372" i="3"/>
  <c r="M371" i="3"/>
  <c r="L371" i="3"/>
  <c r="K371" i="3"/>
  <c r="J371" i="3"/>
  <c r="M370" i="3"/>
  <c r="L370" i="3"/>
  <c r="K370" i="3"/>
  <c r="J370" i="3"/>
  <c r="M369" i="3"/>
  <c r="L369" i="3"/>
  <c r="K369" i="3"/>
  <c r="J369" i="3"/>
  <c r="M368" i="3"/>
  <c r="L368" i="3"/>
  <c r="K368" i="3"/>
  <c r="J368" i="3"/>
  <c r="M367" i="3"/>
  <c r="L367" i="3"/>
  <c r="K367" i="3"/>
  <c r="J367" i="3"/>
  <c r="M366" i="3"/>
  <c r="L366" i="3"/>
  <c r="K366" i="3"/>
  <c r="J366" i="3"/>
  <c r="M365" i="3"/>
  <c r="L365" i="3"/>
  <c r="K365" i="3"/>
  <c r="J365" i="3"/>
  <c r="M364" i="3"/>
  <c r="L364" i="3"/>
  <c r="K364" i="3"/>
  <c r="J364" i="3"/>
  <c r="M363" i="3"/>
  <c r="L363" i="3"/>
  <c r="K363" i="3"/>
  <c r="J363" i="3"/>
  <c r="M362" i="3"/>
  <c r="L362" i="3"/>
  <c r="K362" i="3"/>
  <c r="J362" i="3"/>
  <c r="M361" i="3"/>
  <c r="L361" i="3"/>
  <c r="K361" i="3"/>
  <c r="J361" i="3"/>
  <c r="M360" i="3"/>
  <c r="L360" i="3"/>
  <c r="K360" i="3"/>
  <c r="J360" i="3"/>
  <c r="M359" i="3"/>
  <c r="L359" i="3"/>
  <c r="K359" i="3"/>
  <c r="J359" i="3"/>
  <c r="M358" i="3"/>
  <c r="L358" i="3"/>
  <c r="K358" i="3"/>
  <c r="J358" i="3"/>
  <c r="M357" i="3"/>
  <c r="L357" i="3"/>
  <c r="K357" i="3"/>
  <c r="J357" i="3"/>
  <c r="M356" i="3"/>
  <c r="L356" i="3"/>
  <c r="K356" i="3"/>
  <c r="J356" i="3"/>
  <c r="M355" i="3"/>
  <c r="L355" i="3"/>
  <c r="K355" i="3"/>
  <c r="J355" i="3"/>
  <c r="M354" i="3"/>
  <c r="L354" i="3"/>
  <c r="K354" i="3"/>
  <c r="J354" i="3"/>
  <c r="M353" i="3"/>
  <c r="L353" i="3"/>
  <c r="K353" i="3"/>
  <c r="J353" i="3"/>
  <c r="M352" i="3"/>
  <c r="L352" i="3"/>
  <c r="K352" i="3"/>
  <c r="J352" i="3"/>
  <c r="M351" i="3"/>
  <c r="L351" i="3"/>
  <c r="K351" i="3"/>
  <c r="J351" i="3"/>
  <c r="M350" i="3"/>
  <c r="L350" i="3"/>
  <c r="K350" i="3"/>
  <c r="J350" i="3"/>
  <c r="M349" i="3"/>
  <c r="L349" i="3"/>
  <c r="K349" i="3"/>
  <c r="J349" i="3"/>
  <c r="M348" i="3"/>
  <c r="L348" i="3"/>
  <c r="K348" i="3"/>
  <c r="J348" i="3"/>
  <c r="M347" i="3"/>
  <c r="L347" i="3"/>
  <c r="K347" i="3"/>
  <c r="J347" i="3"/>
  <c r="M346" i="3"/>
  <c r="L346" i="3"/>
  <c r="K346" i="3"/>
  <c r="J346" i="3"/>
  <c r="M345" i="3"/>
  <c r="L345" i="3"/>
  <c r="K345" i="3"/>
  <c r="J345" i="3"/>
  <c r="M344" i="3"/>
  <c r="L344" i="3"/>
  <c r="K344" i="3"/>
  <c r="J344" i="3"/>
  <c r="M343" i="3"/>
  <c r="L343" i="3"/>
  <c r="K343" i="3"/>
  <c r="J343" i="3"/>
  <c r="M342" i="3"/>
  <c r="L342" i="3"/>
  <c r="K342" i="3"/>
  <c r="J342" i="3"/>
  <c r="M341" i="3"/>
  <c r="L341" i="3"/>
  <c r="K341" i="3"/>
  <c r="J341" i="3"/>
  <c r="M340" i="3"/>
  <c r="L340" i="3"/>
  <c r="K340" i="3"/>
  <c r="J340" i="3"/>
  <c r="M339" i="3"/>
  <c r="L339" i="3"/>
  <c r="K339" i="3"/>
  <c r="J339" i="3"/>
  <c r="M338" i="3"/>
  <c r="L338" i="3"/>
  <c r="K338" i="3"/>
  <c r="J338" i="3"/>
  <c r="M337" i="3"/>
  <c r="L337" i="3"/>
  <c r="K337" i="3"/>
  <c r="J337" i="3"/>
  <c r="M336" i="3"/>
  <c r="L336" i="3"/>
  <c r="K336" i="3"/>
  <c r="J336" i="3"/>
  <c r="M335" i="3"/>
  <c r="L335" i="3"/>
  <c r="K335" i="3"/>
  <c r="J335" i="3"/>
  <c r="M334" i="3"/>
  <c r="L334" i="3"/>
  <c r="K334" i="3"/>
  <c r="J334" i="3"/>
  <c r="M333" i="3"/>
  <c r="L333" i="3"/>
  <c r="K333" i="3"/>
  <c r="J333" i="3"/>
  <c r="M332" i="3"/>
  <c r="L332" i="3"/>
  <c r="K332" i="3"/>
  <c r="J332" i="3"/>
  <c r="M331" i="3"/>
  <c r="L331" i="3"/>
  <c r="K331" i="3"/>
  <c r="J331" i="3"/>
  <c r="M330" i="3"/>
  <c r="L330" i="3"/>
  <c r="K330" i="3"/>
  <c r="J330" i="3"/>
  <c r="M329" i="3"/>
  <c r="L329" i="3"/>
  <c r="K329" i="3"/>
  <c r="J329" i="3"/>
  <c r="M328" i="3"/>
  <c r="L328" i="3"/>
  <c r="K328" i="3"/>
  <c r="J328" i="3"/>
  <c r="M327" i="3"/>
  <c r="L327" i="3"/>
  <c r="K327" i="3"/>
  <c r="J327" i="3"/>
  <c r="M326" i="3"/>
  <c r="L326" i="3"/>
  <c r="K326" i="3"/>
  <c r="J326" i="3"/>
  <c r="M325" i="3"/>
  <c r="L325" i="3"/>
  <c r="K325" i="3"/>
  <c r="J325" i="3"/>
  <c r="M324" i="3"/>
  <c r="L324" i="3"/>
  <c r="K324" i="3"/>
  <c r="J324" i="3"/>
  <c r="M323" i="3"/>
  <c r="L323" i="3"/>
  <c r="K323" i="3"/>
  <c r="J323" i="3"/>
  <c r="M322" i="3"/>
  <c r="L322" i="3"/>
  <c r="K322" i="3"/>
  <c r="J322" i="3"/>
  <c r="M321" i="3"/>
  <c r="L321" i="3"/>
  <c r="K321" i="3"/>
  <c r="J321" i="3"/>
  <c r="M320" i="3"/>
  <c r="L320" i="3"/>
  <c r="K320" i="3"/>
  <c r="J320" i="3"/>
  <c r="M319" i="3"/>
  <c r="L319" i="3"/>
  <c r="K319" i="3"/>
  <c r="J319" i="3"/>
  <c r="M318" i="3"/>
  <c r="L318" i="3"/>
  <c r="K318" i="3"/>
  <c r="J318" i="3"/>
  <c r="M317" i="3"/>
  <c r="L317" i="3"/>
  <c r="K317" i="3"/>
  <c r="J317" i="3"/>
  <c r="M316" i="3"/>
  <c r="L316" i="3"/>
  <c r="K316" i="3"/>
  <c r="J316" i="3"/>
  <c r="M315" i="3"/>
  <c r="L315" i="3"/>
  <c r="K315" i="3"/>
  <c r="J315" i="3"/>
  <c r="M314" i="3"/>
  <c r="L314" i="3"/>
  <c r="K314" i="3"/>
  <c r="J314" i="3"/>
  <c r="M313" i="3"/>
  <c r="L313" i="3"/>
  <c r="K313" i="3"/>
  <c r="J313" i="3"/>
  <c r="M312" i="3"/>
  <c r="L312" i="3"/>
  <c r="K312" i="3"/>
  <c r="J312" i="3"/>
  <c r="M311" i="3"/>
  <c r="L311" i="3"/>
  <c r="K311" i="3"/>
  <c r="J311" i="3"/>
  <c r="M310" i="3"/>
  <c r="L310" i="3"/>
  <c r="K310" i="3"/>
  <c r="J310" i="3"/>
  <c r="M309" i="3"/>
  <c r="L309" i="3"/>
  <c r="K309" i="3"/>
  <c r="J309" i="3"/>
  <c r="M308" i="3"/>
  <c r="L308" i="3"/>
  <c r="K308" i="3"/>
  <c r="J308" i="3"/>
  <c r="M307" i="3"/>
  <c r="L307" i="3"/>
  <c r="K307" i="3"/>
  <c r="J307" i="3"/>
  <c r="M306" i="3"/>
  <c r="L306" i="3"/>
  <c r="K306" i="3"/>
  <c r="J306" i="3"/>
  <c r="M305" i="3"/>
  <c r="L305" i="3"/>
  <c r="K305" i="3"/>
  <c r="J305" i="3"/>
  <c r="M304" i="3"/>
  <c r="L304" i="3"/>
  <c r="K304" i="3"/>
  <c r="J304" i="3"/>
  <c r="M303" i="3"/>
  <c r="L303" i="3"/>
  <c r="K303" i="3"/>
  <c r="J303" i="3"/>
  <c r="M302" i="3"/>
  <c r="L302" i="3"/>
  <c r="K302" i="3"/>
  <c r="J302" i="3"/>
  <c r="M301" i="3"/>
  <c r="L301" i="3"/>
  <c r="K301" i="3"/>
  <c r="J301" i="3"/>
  <c r="M300" i="3"/>
  <c r="L300" i="3"/>
  <c r="K300" i="3"/>
  <c r="J300" i="3"/>
  <c r="M299" i="3"/>
  <c r="L299" i="3"/>
  <c r="K299" i="3"/>
  <c r="J299" i="3"/>
  <c r="M298" i="3"/>
  <c r="L298" i="3"/>
  <c r="K298" i="3"/>
  <c r="J298" i="3"/>
  <c r="M297" i="3"/>
  <c r="L297" i="3"/>
  <c r="K297" i="3"/>
  <c r="J297" i="3"/>
  <c r="M296" i="3"/>
  <c r="L296" i="3"/>
  <c r="K296" i="3"/>
  <c r="J296" i="3"/>
  <c r="M295" i="3"/>
  <c r="L295" i="3"/>
  <c r="K295" i="3"/>
  <c r="J295" i="3"/>
  <c r="M294" i="3"/>
  <c r="L294" i="3"/>
  <c r="K294" i="3"/>
  <c r="J294" i="3"/>
  <c r="M293" i="3"/>
  <c r="L293" i="3"/>
  <c r="K293" i="3"/>
  <c r="J293" i="3"/>
  <c r="M292" i="3"/>
  <c r="L292" i="3"/>
  <c r="K292" i="3"/>
  <c r="J292" i="3"/>
  <c r="M291" i="3"/>
  <c r="L291" i="3"/>
  <c r="K291" i="3"/>
  <c r="J291" i="3"/>
  <c r="M290" i="3"/>
  <c r="L290" i="3"/>
  <c r="K290" i="3"/>
  <c r="J290" i="3"/>
  <c r="M289" i="3"/>
  <c r="L289" i="3"/>
  <c r="K289" i="3"/>
  <c r="J289" i="3"/>
  <c r="M288" i="3"/>
  <c r="L288" i="3"/>
  <c r="K288" i="3"/>
  <c r="J288" i="3"/>
  <c r="M287" i="3"/>
  <c r="L287" i="3"/>
  <c r="K287" i="3"/>
  <c r="J287" i="3"/>
  <c r="M286" i="3"/>
  <c r="L286" i="3"/>
  <c r="K286" i="3"/>
  <c r="J286" i="3"/>
  <c r="M285" i="3"/>
  <c r="L285" i="3"/>
  <c r="K285" i="3"/>
  <c r="J285" i="3"/>
  <c r="M284" i="3"/>
  <c r="L284" i="3"/>
  <c r="K284" i="3"/>
  <c r="J284" i="3"/>
  <c r="M283" i="3"/>
  <c r="L283" i="3"/>
  <c r="K283" i="3"/>
  <c r="J283" i="3"/>
  <c r="M282" i="3"/>
  <c r="L282" i="3"/>
  <c r="K282" i="3"/>
  <c r="J282" i="3"/>
  <c r="M281" i="3"/>
  <c r="L281" i="3"/>
  <c r="K281" i="3"/>
  <c r="J281" i="3"/>
  <c r="M280" i="3"/>
  <c r="L280" i="3"/>
  <c r="K280" i="3"/>
  <c r="J280" i="3"/>
  <c r="M279" i="3"/>
  <c r="L279" i="3"/>
  <c r="K279" i="3"/>
  <c r="J279" i="3"/>
  <c r="M278" i="3"/>
  <c r="L278" i="3"/>
  <c r="K278" i="3"/>
  <c r="J278" i="3"/>
  <c r="M277" i="3"/>
  <c r="L277" i="3"/>
  <c r="K277" i="3"/>
  <c r="J277" i="3"/>
  <c r="M276" i="3"/>
  <c r="L276" i="3"/>
  <c r="K276" i="3"/>
  <c r="J276" i="3"/>
  <c r="M275" i="3"/>
  <c r="L275" i="3"/>
  <c r="K275" i="3"/>
  <c r="J275" i="3"/>
  <c r="M274" i="3"/>
  <c r="L274" i="3"/>
  <c r="K274" i="3"/>
  <c r="J274" i="3"/>
  <c r="M273" i="3"/>
  <c r="L273" i="3"/>
  <c r="K273" i="3"/>
  <c r="J273" i="3"/>
  <c r="M272" i="3"/>
  <c r="L272" i="3"/>
  <c r="K272" i="3"/>
  <c r="J272" i="3"/>
  <c r="M271" i="3"/>
  <c r="L271" i="3"/>
  <c r="K271" i="3"/>
  <c r="J271" i="3"/>
  <c r="M270" i="3"/>
  <c r="L270" i="3"/>
  <c r="K270" i="3"/>
  <c r="J270" i="3"/>
  <c r="M269" i="3"/>
  <c r="L269" i="3"/>
  <c r="K269" i="3"/>
  <c r="J269" i="3"/>
  <c r="M268" i="3"/>
  <c r="L268" i="3"/>
  <c r="K268" i="3"/>
  <c r="J268" i="3"/>
  <c r="M267" i="3"/>
  <c r="L267" i="3"/>
  <c r="K267" i="3"/>
  <c r="J267" i="3"/>
  <c r="M266" i="3"/>
  <c r="L266" i="3"/>
  <c r="K266" i="3"/>
  <c r="J266" i="3"/>
  <c r="M265" i="3"/>
  <c r="L265" i="3"/>
  <c r="K265" i="3"/>
  <c r="J265" i="3"/>
  <c r="M264" i="3"/>
  <c r="L264" i="3"/>
  <c r="K264" i="3"/>
  <c r="J264" i="3"/>
  <c r="M263" i="3"/>
  <c r="L263" i="3"/>
  <c r="K263" i="3"/>
  <c r="J263" i="3"/>
  <c r="M262" i="3"/>
  <c r="L262" i="3"/>
  <c r="K262" i="3"/>
  <c r="J262" i="3"/>
  <c r="M261" i="3"/>
  <c r="L261" i="3"/>
  <c r="K261" i="3"/>
  <c r="J261" i="3"/>
  <c r="M260" i="3"/>
  <c r="L260" i="3"/>
  <c r="K260" i="3"/>
  <c r="J260" i="3"/>
  <c r="M259" i="3"/>
  <c r="L259" i="3"/>
  <c r="K259" i="3"/>
  <c r="J259" i="3"/>
  <c r="M258" i="3"/>
  <c r="L258" i="3"/>
  <c r="K258" i="3"/>
  <c r="J258" i="3"/>
  <c r="M257" i="3"/>
  <c r="L257" i="3"/>
  <c r="K257" i="3"/>
  <c r="J257" i="3"/>
  <c r="M256" i="3"/>
  <c r="L256" i="3"/>
  <c r="K256" i="3"/>
  <c r="J256" i="3"/>
  <c r="M255" i="3"/>
  <c r="L255" i="3"/>
  <c r="K255" i="3"/>
  <c r="J255" i="3"/>
  <c r="M254" i="3"/>
  <c r="L254" i="3"/>
  <c r="K254" i="3"/>
  <c r="J254" i="3"/>
  <c r="M253" i="3"/>
  <c r="L253" i="3"/>
  <c r="K253" i="3"/>
  <c r="J253" i="3"/>
  <c r="M252" i="3"/>
  <c r="L252" i="3"/>
  <c r="K252" i="3"/>
  <c r="J252" i="3"/>
  <c r="M251" i="3"/>
  <c r="L251" i="3"/>
  <c r="K251" i="3"/>
  <c r="J251" i="3"/>
  <c r="M250" i="3"/>
  <c r="L250" i="3"/>
  <c r="K250" i="3"/>
  <c r="J250" i="3"/>
  <c r="M249" i="3"/>
  <c r="L249" i="3"/>
  <c r="K249" i="3"/>
  <c r="J249" i="3"/>
  <c r="M248" i="3"/>
  <c r="L248" i="3"/>
  <c r="K248" i="3"/>
  <c r="J248" i="3"/>
  <c r="M247" i="3"/>
  <c r="L247" i="3"/>
  <c r="K247" i="3"/>
  <c r="J247" i="3"/>
  <c r="M246" i="3"/>
  <c r="L246" i="3"/>
  <c r="K246" i="3"/>
  <c r="J246" i="3"/>
  <c r="M245" i="3"/>
  <c r="L245" i="3"/>
  <c r="K245" i="3"/>
  <c r="J245" i="3"/>
  <c r="M244" i="3"/>
  <c r="L244" i="3"/>
  <c r="K244" i="3"/>
  <c r="J244" i="3"/>
  <c r="M243" i="3"/>
  <c r="L243" i="3"/>
  <c r="K243" i="3"/>
  <c r="J243" i="3"/>
  <c r="M242" i="3"/>
  <c r="L242" i="3"/>
  <c r="K242" i="3"/>
  <c r="J242" i="3"/>
  <c r="M241" i="3"/>
  <c r="L241" i="3"/>
  <c r="K241" i="3"/>
  <c r="J241" i="3"/>
  <c r="M240" i="3"/>
  <c r="L240" i="3"/>
  <c r="K240" i="3"/>
  <c r="J240" i="3"/>
  <c r="M239" i="3"/>
  <c r="L239" i="3"/>
  <c r="K239" i="3"/>
  <c r="J239" i="3"/>
  <c r="M238" i="3"/>
  <c r="L238" i="3"/>
  <c r="K238" i="3"/>
  <c r="J238" i="3"/>
  <c r="M237" i="3"/>
  <c r="L237" i="3"/>
  <c r="K237" i="3"/>
  <c r="J237" i="3"/>
  <c r="M236" i="3"/>
  <c r="L236" i="3"/>
  <c r="K236" i="3"/>
  <c r="J236" i="3"/>
  <c r="M235" i="3"/>
  <c r="L235" i="3"/>
  <c r="K235" i="3"/>
  <c r="J235" i="3"/>
  <c r="M234" i="3"/>
  <c r="L234" i="3"/>
  <c r="K234" i="3"/>
  <c r="J234" i="3"/>
  <c r="M233" i="3"/>
  <c r="L233" i="3"/>
  <c r="K233" i="3"/>
  <c r="J233" i="3"/>
  <c r="M232" i="3"/>
  <c r="L232" i="3"/>
  <c r="K232" i="3"/>
  <c r="J232" i="3"/>
  <c r="M231" i="3"/>
  <c r="L231" i="3"/>
  <c r="K231" i="3"/>
  <c r="J231" i="3"/>
  <c r="M230" i="3"/>
  <c r="L230" i="3"/>
  <c r="K230" i="3"/>
  <c r="J230" i="3"/>
  <c r="M229" i="3"/>
  <c r="L229" i="3"/>
  <c r="K229" i="3"/>
  <c r="J229" i="3"/>
  <c r="M228" i="3"/>
  <c r="L228" i="3"/>
  <c r="K228" i="3"/>
  <c r="J228" i="3"/>
  <c r="M227" i="3"/>
  <c r="L227" i="3"/>
  <c r="K227" i="3"/>
  <c r="J227" i="3"/>
  <c r="M226" i="3"/>
  <c r="L226" i="3"/>
  <c r="K226" i="3"/>
  <c r="J226" i="3"/>
  <c r="M225" i="3"/>
  <c r="L225" i="3"/>
  <c r="K225" i="3"/>
  <c r="J225" i="3"/>
  <c r="M224" i="3"/>
  <c r="L224" i="3"/>
  <c r="K224" i="3"/>
  <c r="J224" i="3"/>
  <c r="M223" i="3"/>
  <c r="L223" i="3"/>
  <c r="K223" i="3"/>
  <c r="J223" i="3"/>
  <c r="M222" i="3"/>
  <c r="L222" i="3"/>
  <c r="K222" i="3"/>
  <c r="J222" i="3"/>
  <c r="M221" i="3"/>
  <c r="L221" i="3"/>
  <c r="K221" i="3"/>
  <c r="J221" i="3"/>
  <c r="M220" i="3"/>
  <c r="L220" i="3"/>
  <c r="K220" i="3"/>
  <c r="J220" i="3"/>
  <c r="M219" i="3"/>
  <c r="L219" i="3"/>
  <c r="K219" i="3"/>
  <c r="J219" i="3"/>
  <c r="M218" i="3"/>
  <c r="L218" i="3"/>
  <c r="K218" i="3"/>
  <c r="J218" i="3"/>
  <c r="M217" i="3"/>
  <c r="L217" i="3"/>
  <c r="K217" i="3"/>
  <c r="J217" i="3"/>
  <c r="M216" i="3"/>
  <c r="L216" i="3"/>
  <c r="K216" i="3"/>
  <c r="J216" i="3"/>
  <c r="M215" i="3"/>
  <c r="L215" i="3"/>
  <c r="K215" i="3"/>
  <c r="J215" i="3"/>
  <c r="M214" i="3"/>
  <c r="L214" i="3"/>
  <c r="K214" i="3"/>
  <c r="J214" i="3"/>
  <c r="M213" i="3"/>
  <c r="L213" i="3"/>
  <c r="K213" i="3"/>
  <c r="J213" i="3"/>
  <c r="M212" i="3"/>
  <c r="L212" i="3"/>
  <c r="K212" i="3"/>
  <c r="J212" i="3"/>
  <c r="M211" i="3"/>
  <c r="L211" i="3"/>
  <c r="K211" i="3"/>
  <c r="J211" i="3"/>
  <c r="M210" i="3"/>
  <c r="L210" i="3"/>
  <c r="K210" i="3"/>
  <c r="J210" i="3"/>
  <c r="M209" i="3"/>
  <c r="L209" i="3"/>
  <c r="K209" i="3"/>
  <c r="J209" i="3"/>
  <c r="M208" i="3"/>
  <c r="L208" i="3"/>
  <c r="K208" i="3"/>
  <c r="J208" i="3"/>
  <c r="M207" i="3"/>
  <c r="L207" i="3"/>
  <c r="K207" i="3"/>
  <c r="J207" i="3"/>
  <c r="M206" i="3"/>
  <c r="L206" i="3"/>
  <c r="K206" i="3"/>
  <c r="J206" i="3"/>
  <c r="M205" i="3"/>
  <c r="L205" i="3"/>
  <c r="K205" i="3"/>
  <c r="J205" i="3"/>
  <c r="M204" i="3"/>
  <c r="L204" i="3"/>
  <c r="K204" i="3"/>
  <c r="J204" i="3"/>
  <c r="M203" i="3"/>
  <c r="L203" i="3"/>
  <c r="K203" i="3"/>
  <c r="J203" i="3"/>
  <c r="M202" i="3"/>
  <c r="L202" i="3"/>
  <c r="K202" i="3"/>
  <c r="J202" i="3"/>
  <c r="M201" i="3"/>
  <c r="L201" i="3"/>
  <c r="K201" i="3"/>
  <c r="J201" i="3"/>
  <c r="M200" i="3"/>
  <c r="L200" i="3"/>
  <c r="K200" i="3"/>
  <c r="J200" i="3"/>
  <c r="M199" i="3"/>
  <c r="L199" i="3"/>
  <c r="K199" i="3"/>
  <c r="J199" i="3"/>
  <c r="M198" i="3"/>
  <c r="L198" i="3"/>
  <c r="K198" i="3"/>
  <c r="J198" i="3"/>
  <c r="M197" i="3"/>
  <c r="L197" i="3"/>
  <c r="K197" i="3"/>
  <c r="J197" i="3"/>
  <c r="M196" i="3"/>
  <c r="L196" i="3"/>
  <c r="K196" i="3"/>
  <c r="J196" i="3"/>
  <c r="M195" i="3"/>
  <c r="L195" i="3"/>
  <c r="K195" i="3"/>
  <c r="J195" i="3"/>
  <c r="M194" i="3"/>
  <c r="L194" i="3"/>
  <c r="K194" i="3"/>
  <c r="J194" i="3"/>
  <c r="M193" i="3"/>
  <c r="L193" i="3"/>
  <c r="K193" i="3"/>
  <c r="J193" i="3"/>
  <c r="M192" i="3"/>
  <c r="L192" i="3"/>
  <c r="K192" i="3"/>
  <c r="J192" i="3"/>
  <c r="M191" i="3"/>
  <c r="L191" i="3"/>
  <c r="K191" i="3"/>
  <c r="J191" i="3"/>
  <c r="M190" i="3"/>
  <c r="L190" i="3"/>
  <c r="K190" i="3"/>
  <c r="J190" i="3"/>
  <c r="M189" i="3"/>
  <c r="L189" i="3"/>
  <c r="K189" i="3"/>
  <c r="J189" i="3"/>
  <c r="M188" i="3"/>
  <c r="L188" i="3"/>
  <c r="K188" i="3"/>
  <c r="J188" i="3"/>
  <c r="M187" i="3"/>
  <c r="L187" i="3"/>
  <c r="K187" i="3"/>
  <c r="J187" i="3"/>
  <c r="M186" i="3"/>
  <c r="L186" i="3"/>
  <c r="K186" i="3"/>
  <c r="J186" i="3"/>
  <c r="M185" i="3"/>
  <c r="L185" i="3"/>
  <c r="K185" i="3"/>
  <c r="J185" i="3"/>
  <c r="M184" i="3"/>
  <c r="L184" i="3"/>
  <c r="K184" i="3"/>
  <c r="J184" i="3"/>
  <c r="M183" i="3"/>
  <c r="L183" i="3"/>
  <c r="K183" i="3"/>
  <c r="J183" i="3"/>
  <c r="M182" i="3"/>
  <c r="L182" i="3"/>
  <c r="K182" i="3"/>
  <c r="J182" i="3"/>
  <c r="M181" i="3"/>
  <c r="L181" i="3"/>
  <c r="K181" i="3"/>
  <c r="J181" i="3"/>
  <c r="M180" i="3"/>
  <c r="L180" i="3"/>
  <c r="K180" i="3"/>
  <c r="J180" i="3"/>
  <c r="M179" i="3"/>
  <c r="L179" i="3"/>
  <c r="K179" i="3"/>
  <c r="J179" i="3"/>
  <c r="M178" i="3"/>
  <c r="L178" i="3"/>
  <c r="K178" i="3"/>
  <c r="J178" i="3"/>
  <c r="M177" i="3"/>
  <c r="L177" i="3"/>
  <c r="K177" i="3"/>
  <c r="J177" i="3"/>
  <c r="M176" i="3"/>
  <c r="L176" i="3"/>
  <c r="K176" i="3"/>
  <c r="J176" i="3"/>
  <c r="M175" i="3"/>
  <c r="L175" i="3"/>
  <c r="K175" i="3"/>
  <c r="J175" i="3"/>
  <c r="M174" i="3"/>
  <c r="L174" i="3"/>
  <c r="K174" i="3"/>
  <c r="J174" i="3"/>
  <c r="M173" i="3"/>
  <c r="L173" i="3"/>
  <c r="K173" i="3"/>
  <c r="J173" i="3"/>
  <c r="M172" i="3"/>
  <c r="L172" i="3"/>
  <c r="K172" i="3"/>
  <c r="J172" i="3"/>
  <c r="M171" i="3"/>
  <c r="L171" i="3"/>
  <c r="K171" i="3"/>
  <c r="J171" i="3"/>
  <c r="M170" i="3"/>
  <c r="L170" i="3"/>
  <c r="K170" i="3"/>
  <c r="J170" i="3"/>
  <c r="M169" i="3"/>
  <c r="L169" i="3"/>
  <c r="K169" i="3"/>
  <c r="J169" i="3"/>
  <c r="M168" i="3"/>
  <c r="L168" i="3"/>
  <c r="K168" i="3"/>
  <c r="J168" i="3"/>
  <c r="M167" i="3"/>
  <c r="L167" i="3"/>
  <c r="K167" i="3"/>
  <c r="J167" i="3"/>
  <c r="M166" i="3"/>
  <c r="L166" i="3"/>
  <c r="K166" i="3"/>
  <c r="J166" i="3"/>
  <c r="M165" i="3"/>
  <c r="L165" i="3"/>
  <c r="K165" i="3"/>
  <c r="J165" i="3"/>
  <c r="M164" i="3"/>
  <c r="L164" i="3"/>
  <c r="K164" i="3"/>
  <c r="J164" i="3"/>
  <c r="M163" i="3"/>
  <c r="L163" i="3"/>
  <c r="K163" i="3"/>
  <c r="J163" i="3"/>
  <c r="M162" i="3"/>
  <c r="L162" i="3"/>
  <c r="K162" i="3"/>
  <c r="J162" i="3"/>
  <c r="M161" i="3"/>
  <c r="L161" i="3"/>
  <c r="K161" i="3"/>
  <c r="J161" i="3"/>
  <c r="M160" i="3"/>
  <c r="L160" i="3"/>
  <c r="K160" i="3"/>
  <c r="J160" i="3"/>
  <c r="M159" i="3"/>
  <c r="L159" i="3"/>
  <c r="K159" i="3"/>
  <c r="J159" i="3"/>
  <c r="M158" i="3"/>
  <c r="L158" i="3"/>
  <c r="K158" i="3"/>
  <c r="J158" i="3"/>
  <c r="M157" i="3"/>
  <c r="L157" i="3"/>
  <c r="K157" i="3"/>
  <c r="J157" i="3"/>
  <c r="M156" i="3"/>
  <c r="L156" i="3"/>
  <c r="K156" i="3"/>
  <c r="J156" i="3"/>
  <c r="M155" i="3"/>
  <c r="L155" i="3"/>
  <c r="K155" i="3"/>
  <c r="J155" i="3"/>
  <c r="M154" i="3"/>
  <c r="L154" i="3"/>
  <c r="K154" i="3"/>
  <c r="J154" i="3"/>
  <c r="M153" i="3"/>
  <c r="L153" i="3"/>
  <c r="K153" i="3"/>
  <c r="J153" i="3"/>
  <c r="M152" i="3"/>
  <c r="L152" i="3"/>
  <c r="K152" i="3"/>
  <c r="J152" i="3"/>
  <c r="M151" i="3"/>
  <c r="L151" i="3"/>
  <c r="K151" i="3"/>
  <c r="J151" i="3"/>
  <c r="M150" i="3"/>
  <c r="L150" i="3"/>
  <c r="K150" i="3"/>
  <c r="J150" i="3"/>
  <c r="M149" i="3"/>
  <c r="L149" i="3"/>
  <c r="K149" i="3"/>
  <c r="J149" i="3"/>
  <c r="M148" i="3"/>
  <c r="L148" i="3"/>
  <c r="K148" i="3"/>
  <c r="J148" i="3"/>
  <c r="M147" i="3"/>
  <c r="L147" i="3"/>
  <c r="K147" i="3"/>
  <c r="J147" i="3"/>
  <c r="M146" i="3"/>
  <c r="L146" i="3"/>
  <c r="K146" i="3"/>
  <c r="J146" i="3"/>
  <c r="M145" i="3"/>
  <c r="L145" i="3"/>
  <c r="K145" i="3"/>
  <c r="J145" i="3"/>
  <c r="M144" i="3"/>
  <c r="L144" i="3"/>
  <c r="K144" i="3"/>
  <c r="J144" i="3"/>
  <c r="M143" i="3"/>
  <c r="L143" i="3"/>
  <c r="K143" i="3"/>
  <c r="J143" i="3"/>
  <c r="M142" i="3"/>
  <c r="L142" i="3"/>
  <c r="K142" i="3"/>
  <c r="J142" i="3"/>
  <c r="M141" i="3"/>
  <c r="L141" i="3"/>
  <c r="K141" i="3"/>
  <c r="J141" i="3"/>
  <c r="M140" i="3"/>
  <c r="L140" i="3"/>
  <c r="K140" i="3"/>
  <c r="J140" i="3"/>
  <c r="M139" i="3"/>
  <c r="L139" i="3"/>
  <c r="K139" i="3"/>
  <c r="J139" i="3"/>
  <c r="M138" i="3"/>
  <c r="L138" i="3"/>
  <c r="K138" i="3"/>
  <c r="J138" i="3"/>
  <c r="M137" i="3"/>
  <c r="L137" i="3"/>
  <c r="K137" i="3"/>
  <c r="J137" i="3"/>
  <c r="M136" i="3"/>
  <c r="L136" i="3"/>
  <c r="K136" i="3"/>
  <c r="J136" i="3"/>
  <c r="M135" i="3"/>
  <c r="L135" i="3"/>
  <c r="K135" i="3"/>
  <c r="J135" i="3"/>
  <c r="M134" i="3"/>
  <c r="L134" i="3"/>
  <c r="K134" i="3"/>
  <c r="J134" i="3"/>
  <c r="M133" i="3"/>
  <c r="L133" i="3"/>
  <c r="K133" i="3"/>
  <c r="J133" i="3"/>
  <c r="M132" i="3"/>
  <c r="L132" i="3"/>
  <c r="K132" i="3"/>
  <c r="J132" i="3"/>
  <c r="M131" i="3"/>
  <c r="L131" i="3"/>
  <c r="K131" i="3"/>
  <c r="J131" i="3"/>
  <c r="M130" i="3"/>
  <c r="L130" i="3"/>
  <c r="K130" i="3"/>
  <c r="J130" i="3"/>
  <c r="M129" i="3"/>
  <c r="L129" i="3"/>
  <c r="K129" i="3"/>
  <c r="J129" i="3"/>
  <c r="M128" i="3"/>
  <c r="L128" i="3"/>
  <c r="K128" i="3"/>
  <c r="J128" i="3"/>
  <c r="M127" i="3"/>
  <c r="L127" i="3"/>
  <c r="K127" i="3"/>
  <c r="J127" i="3"/>
  <c r="M126" i="3"/>
  <c r="L126" i="3"/>
  <c r="K126" i="3"/>
  <c r="J126" i="3"/>
  <c r="M125" i="3"/>
  <c r="L125" i="3"/>
  <c r="K125" i="3"/>
  <c r="J125" i="3"/>
  <c r="M124" i="3"/>
  <c r="L124" i="3"/>
  <c r="K124" i="3"/>
  <c r="J124" i="3"/>
  <c r="M123" i="3"/>
  <c r="L123" i="3"/>
  <c r="K123" i="3"/>
  <c r="J123" i="3"/>
  <c r="M122" i="3"/>
  <c r="L122" i="3"/>
  <c r="K122" i="3"/>
  <c r="J122" i="3"/>
  <c r="M121" i="3"/>
  <c r="L121" i="3"/>
  <c r="K121" i="3"/>
  <c r="J121" i="3"/>
  <c r="M120" i="3"/>
  <c r="L120" i="3"/>
  <c r="K120" i="3"/>
  <c r="J120" i="3"/>
  <c r="M119" i="3"/>
  <c r="L119" i="3"/>
  <c r="K119" i="3"/>
  <c r="J119" i="3"/>
  <c r="M118" i="3"/>
  <c r="L118" i="3"/>
  <c r="K118" i="3"/>
  <c r="J118" i="3"/>
  <c r="M117" i="3"/>
  <c r="L117" i="3"/>
  <c r="K117" i="3"/>
  <c r="J117" i="3"/>
  <c r="M116" i="3"/>
  <c r="L116" i="3"/>
  <c r="K116" i="3"/>
  <c r="J116" i="3"/>
  <c r="M115" i="3"/>
  <c r="L115" i="3"/>
  <c r="K115" i="3"/>
  <c r="J115" i="3"/>
  <c r="M114" i="3"/>
  <c r="L114" i="3"/>
  <c r="K114" i="3"/>
  <c r="J114" i="3"/>
  <c r="M113" i="3"/>
  <c r="L113" i="3"/>
  <c r="K113" i="3"/>
  <c r="J113" i="3"/>
  <c r="M112" i="3"/>
  <c r="L112" i="3"/>
  <c r="K112" i="3"/>
  <c r="J112" i="3"/>
  <c r="M111" i="3"/>
  <c r="L111" i="3"/>
  <c r="K111" i="3"/>
  <c r="J111" i="3"/>
  <c r="M110" i="3"/>
  <c r="L110" i="3"/>
  <c r="K110" i="3"/>
  <c r="J110" i="3"/>
  <c r="M109" i="3"/>
  <c r="L109" i="3"/>
  <c r="K109" i="3"/>
  <c r="J109" i="3"/>
  <c r="M108" i="3"/>
  <c r="L108" i="3"/>
  <c r="K108" i="3"/>
  <c r="J108" i="3"/>
  <c r="M107" i="3"/>
  <c r="L107" i="3"/>
  <c r="K107" i="3"/>
  <c r="J107" i="3"/>
  <c r="M106" i="3"/>
  <c r="L106" i="3"/>
  <c r="K106" i="3"/>
  <c r="J106" i="3"/>
  <c r="M105" i="3"/>
  <c r="L105" i="3"/>
  <c r="K105" i="3"/>
  <c r="J105" i="3"/>
  <c r="M104" i="3"/>
  <c r="L104" i="3"/>
  <c r="K104" i="3"/>
  <c r="J104" i="3"/>
  <c r="M103" i="3"/>
  <c r="L103" i="3"/>
  <c r="K103" i="3"/>
  <c r="J103" i="3"/>
  <c r="M102" i="3"/>
  <c r="L102" i="3"/>
  <c r="K102" i="3"/>
  <c r="J102" i="3"/>
  <c r="M101" i="3"/>
  <c r="L101" i="3"/>
  <c r="K101" i="3"/>
  <c r="J101" i="3"/>
  <c r="M100" i="3"/>
  <c r="L100" i="3"/>
  <c r="K100" i="3"/>
  <c r="J100" i="3"/>
  <c r="M99" i="3"/>
  <c r="L99" i="3"/>
  <c r="K99" i="3"/>
  <c r="J99" i="3"/>
  <c r="M98" i="3"/>
  <c r="L98" i="3"/>
  <c r="K98" i="3"/>
  <c r="J98" i="3"/>
  <c r="M97" i="3"/>
  <c r="L97" i="3"/>
  <c r="K97" i="3"/>
  <c r="J97" i="3"/>
  <c r="M96" i="3"/>
  <c r="L96" i="3"/>
  <c r="K96" i="3"/>
  <c r="J96" i="3"/>
  <c r="M95" i="3"/>
  <c r="L95" i="3"/>
  <c r="K95" i="3"/>
  <c r="J95" i="3"/>
  <c r="M94" i="3"/>
  <c r="L94" i="3"/>
  <c r="K94" i="3"/>
  <c r="J94" i="3"/>
  <c r="M93" i="3"/>
  <c r="L93" i="3"/>
  <c r="K93" i="3"/>
  <c r="J93" i="3"/>
  <c r="M92" i="3"/>
  <c r="L92" i="3"/>
  <c r="K92" i="3"/>
  <c r="J92" i="3"/>
  <c r="M91" i="3"/>
  <c r="L91" i="3"/>
  <c r="K91" i="3"/>
  <c r="J91" i="3"/>
  <c r="M90" i="3"/>
  <c r="L90" i="3"/>
  <c r="K90" i="3"/>
  <c r="J90" i="3"/>
  <c r="M89" i="3"/>
  <c r="L89" i="3"/>
  <c r="K89" i="3"/>
  <c r="J89" i="3"/>
  <c r="M88" i="3"/>
  <c r="L88" i="3"/>
  <c r="K88" i="3"/>
  <c r="J88" i="3"/>
  <c r="M87" i="3"/>
  <c r="L87" i="3"/>
  <c r="K87" i="3"/>
  <c r="J87" i="3"/>
  <c r="M86" i="3"/>
  <c r="L86" i="3"/>
  <c r="K86" i="3"/>
  <c r="J86" i="3"/>
  <c r="M85" i="3"/>
  <c r="L85" i="3"/>
  <c r="K85" i="3"/>
  <c r="J85" i="3"/>
  <c r="M84" i="3"/>
  <c r="L84" i="3"/>
  <c r="K84" i="3"/>
  <c r="J84" i="3"/>
  <c r="M83" i="3"/>
  <c r="L83" i="3"/>
  <c r="K83" i="3"/>
  <c r="J83" i="3"/>
  <c r="M82" i="3"/>
  <c r="L82" i="3"/>
  <c r="K82" i="3"/>
  <c r="J82" i="3"/>
  <c r="M81" i="3"/>
  <c r="L81" i="3"/>
  <c r="K81" i="3"/>
  <c r="J81" i="3"/>
  <c r="M80" i="3"/>
  <c r="L80" i="3"/>
  <c r="K80" i="3"/>
  <c r="J80" i="3"/>
  <c r="M79" i="3"/>
  <c r="L79" i="3"/>
  <c r="K79" i="3"/>
  <c r="J79" i="3"/>
  <c r="M78" i="3"/>
  <c r="L78" i="3"/>
  <c r="K78" i="3"/>
  <c r="J78" i="3"/>
  <c r="M77" i="3"/>
  <c r="L77" i="3"/>
  <c r="K77" i="3"/>
  <c r="J77" i="3"/>
  <c r="M76" i="3"/>
  <c r="L76" i="3"/>
  <c r="K76" i="3"/>
  <c r="J76" i="3"/>
  <c r="M75" i="3"/>
  <c r="L75" i="3"/>
  <c r="K75" i="3"/>
  <c r="J75" i="3"/>
  <c r="M74" i="3"/>
  <c r="L74" i="3"/>
  <c r="K74" i="3"/>
  <c r="J74" i="3"/>
  <c r="M73" i="3"/>
  <c r="L73" i="3"/>
  <c r="K73" i="3"/>
  <c r="J73" i="3"/>
  <c r="M72" i="3"/>
  <c r="L72" i="3"/>
  <c r="K72" i="3"/>
  <c r="J72" i="3"/>
  <c r="M71" i="3"/>
  <c r="L71" i="3"/>
  <c r="K71" i="3"/>
  <c r="J71" i="3"/>
  <c r="M70" i="3"/>
  <c r="L70" i="3"/>
  <c r="K70" i="3"/>
  <c r="J70" i="3"/>
  <c r="M69" i="3"/>
  <c r="L69" i="3"/>
  <c r="K69" i="3"/>
  <c r="J69" i="3"/>
  <c r="M68" i="3"/>
  <c r="L68" i="3"/>
  <c r="K68" i="3"/>
  <c r="J68" i="3"/>
  <c r="M67" i="3"/>
  <c r="L67" i="3"/>
  <c r="K67" i="3"/>
  <c r="J67" i="3"/>
  <c r="M66" i="3"/>
  <c r="L66" i="3"/>
  <c r="K66" i="3"/>
  <c r="J66" i="3"/>
  <c r="M65" i="3"/>
  <c r="L65" i="3"/>
  <c r="K65" i="3"/>
  <c r="J65" i="3"/>
  <c r="M64" i="3"/>
  <c r="L64" i="3"/>
  <c r="K64" i="3"/>
  <c r="J64" i="3"/>
  <c r="M63" i="3"/>
  <c r="L63" i="3"/>
  <c r="K63" i="3"/>
  <c r="J63" i="3"/>
  <c r="M62" i="3"/>
  <c r="L62" i="3"/>
  <c r="K62" i="3"/>
  <c r="J62" i="3"/>
  <c r="M61" i="3"/>
  <c r="L61" i="3"/>
  <c r="K61" i="3"/>
  <c r="J61" i="3"/>
  <c r="M60" i="3"/>
  <c r="L60" i="3"/>
  <c r="K60" i="3"/>
  <c r="J60" i="3"/>
  <c r="M59" i="3"/>
  <c r="L59" i="3"/>
  <c r="K59" i="3"/>
  <c r="J59" i="3"/>
  <c r="M58" i="3"/>
  <c r="L58" i="3"/>
  <c r="K58" i="3"/>
  <c r="J58" i="3"/>
  <c r="M57" i="3"/>
  <c r="L57" i="3"/>
  <c r="K57" i="3"/>
  <c r="J57" i="3"/>
  <c r="M56" i="3"/>
  <c r="L56" i="3"/>
  <c r="K56" i="3"/>
  <c r="J56" i="3"/>
  <c r="M55" i="3"/>
  <c r="L55" i="3"/>
  <c r="K55" i="3"/>
  <c r="J55" i="3"/>
  <c r="M54" i="3"/>
  <c r="L54" i="3"/>
  <c r="K54" i="3"/>
  <c r="J54" i="3"/>
  <c r="M53" i="3"/>
  <c r="L53" i="3"/>
  <c r="K53" i="3"/>
  <c r="J53" i="3"/>
  <c r="M52" i="3"/>
  <c r="L52" i="3"/>
  <c r="K52" i="3"/>
  <c r="J52" i="3"/>
  <c r="M51" i="3"/>
  <c r="L51" i="3"/>
  <c r="K51" i="3"/>
  <c r="J51" i="3"/>
  <c r="M50" i="3"/>
  <c r="L50" i="3"/>
  <c r="K50" i="3"/>
  <c r="J50" i="3"/>
  <c r="M49" i="3"/>
  <c r="L49" i="3"/>
  <c r="K49" i="3"/>
  <c r="J49" i="3"/>
  <c r="M48" i="3"/>
  <c r="L48" i="3"/>
  <c r="K48" i="3"/>
  <c r="J48" i="3"/>
  <c r="M47" i="3"/>
  <c r="L47" i="3"/>
  <c r="K47" i="3"/>
  <c r="J47" i="3"/>
  <c r="M46" i="3"/>
  <c r="L46" i="3"/>
  <c r="K46" i="3"/>
  <c r="J46" i="3"/>
  <c r="M45" i="3"/>
  <c r="L45" i="3"/>
  <c r="K45" i="3"/>
  <c r="J45" i="3"/>
  <c r="M44" i="3"/>
  <c r="L44" i="3"/>
  <c r="K44" i="3"/>
  <c r="J44" i="3"/>
  <c r="M43" i="3"/>
  <c r="L43" i="3"/>
  <c r="K43" i="3"/>
  <c r="J43" i="3"/>
  <c r="M42" i="3"/>
  <c r="L42" i="3"/>
  <c r="K42" i="3"/>
  <c r="J42" i="3"/>
  <c r="M41" i="3"/>
  <c r="L41" i="3"/>
  <c r="K41" i="3"/>
  <c r="J41" i="3"/>
  <c r="M40" i="3"/>
  <c r="L40" i="3"/>
  <c r="K40" i="3"/>
  <c r="J40" i="3"/>
  <c r="M39" i="3"/>
  <c r="L39" i="3"/>
  <c r="K39" i="3"/>
  <c r="J39" i="3"/>
  <c r="M38" i="3"/>
  <c r="L38" i="3"/>
  <c r="K38" i="3"/>
  <c r="J38" i="3"/>
  <c r="M37" i="3"/>
  <c r="L37" i="3"/>
  <c r="K37" i="3"/>
  <c r="J37" i="3"/>
  <c r="M36" i="3"/>
  <c r="L36" i="3"/>
  <c r="K36" i="3"/>
  <c r="J36" i="3"/>
  <c r="M35" i="3"/>
  <c r="L35" i="3"/>
  <c r="K35" i="3"/>
  <c r="J35" i="3"/>
  <c r="M34" i="3"/>
  <c r="L34" i="3"/>
  <c r="K34" i="3"/>
  <c r="J34" i="3"/>
  <c r="M33" i="3"/>
  <c r="L33" i="3"/>
  <c r="K33" i="3"/>
  <c r="J33" i="3"/>
  <c r="M32" i="3"/>
  <c r="L32" i="3"/>
  <c r="K32" i="3"/>
  <c r="J32" i="3"/>
  <c r="M31" i="3"/>
  <c r="L31" i="3"/>
  <c r="K31" i="3"/>
  <c r="J31" i="3"/>
  <c r="M30" i="3"/>
  <c r="L30" i="3"/>
  <c r="K30" i="3"/>
  <c r="J30" i="3"/>
  <c r="M29" i="3"/>
  <c r="L29" i="3"/>
  <c r="K29" i="3"/>
  <c r="J29" i="3"/>
  <c r="M28" i="3"/>
  <c r="L28" i="3"/>
  <c r="K28" i="3"/>
  <c r="J28" i="3"/>
  <c r="M27" i="3"/>
  <c r="L27" i="3"/>
  <c r="K27" i="3"/>
  <c r="J27" i="3"/>
  <c r="M26" i="3"/>
  <c r="L26" i="3"/>
  <c r="K26" i="3"/>
  <c r="J26" i="3"/>
  <c r="M25" i="3"/>
  <c r="L25" i="3"/>
  <c r="K25" i="3"/>
  <c r="J25" i="3"/>
  <c r="M24" i="3"/>
  <c r="L24" i="3"/>
  <c r="K24" i="3"/>
  <c r="J24" i="3"/>
  <c r="M23" i="3"/>
  <c r="L23" i="3"/>
  <c r="K23" i="3"/>
  <c r="J23" i="3"/>
  <c r="M22" i="3"/>
  <c r="L22" i="3"/>
  <c r="K22" i="3"/>
  <c r="J22" i="3"/>
  <c r="M21" i="3"/>
  <c r="L21" i="3"/>
  <c r="K21" i="3"/>
  <c r="J21" i="3"/>
  <c r="M20" i="3"/>
  <c r="L20" i="3"/>
  <c r="K20" i="3"/>
  <c r="J20" i="3"/>
  <c r="M19" i="3"/>
  <c r="L19" i="3"/>
  <c r="K19" i="3"/>
  <c r="J19" i="3"/>
  <c r="M18" i="3"/>
  <c r="L18" i="3"/>
  <c r="K18" i="3"/>
  <c r="J18" i="3"/>
  <c r="M17" i="3"/>
  <c r="L17" i="3"/>
  <c r="K17" i="3"/>
  <c r="J17" i="3"/>
  <c r="M16" i="3"/>
  <c r="L16" i="3"/>
  <c r="K16" i="3"/>
  <c r="J16" i="3"/>
  <c r="M15" i="3"/>
  <c r="L15" i="3"/>
  <c r="K15" i="3"/>
  <c r="J15" i="3"/>
  <c r="M14" i="3"/>
  <c r="L14" i="3"/>
  <c r="K14" i="3"/>
  <c r="J14" i="3"/>
  <c r="M13" i="3"/>
  <c r="L13" i="3"/>
  <c r="K13" i="3"/>
  <c r="J13" i="3"/>
  <c r="M12" i="3"/>
  <c r="L12" i="3"/>
  <c r="K12" i="3"/>
  <c r="J12" i="3"/>
  <c r="M11" i="3"/>
  <c r="L11" i="3"/>
  <c r="K11" i="3"/>
  <c r="J11" i="3"/>
  <c r="M10" i="3"/>
  <c r="L10" i="3"/>
  <c r="K10" i="3"/>
  <c r="J10" i="3"/>
  <c r="M9" i="3"/>
  <c r="L9" i="3"/>
  <c r="K9" i="3"/>
  <c r="J9" i="3"/>
  <c r="M8" i="3"/>
  <c r="L8" i="3"/>
  <c r="K8" i="3"/>
  <c r="J8" i="3"/>
  <c r="M7" i="3"/>
  <c r="L7" i="3"/>
  <c r="K7" i="3"/>
  <c r="J7" i="3"/>
  <c r="M6" i="3"/>
  <c r="L6" i="3"/>
  <c r="K6" i="3"/>
  <c r="J6" i="3"/>
  <c r="M5" i="3"/>
  <c r="L5" i="3"/>
  <c r="K5" i="3"/>
  <c r="J5" i="3"/>
  <c r="M4" i="3"/>
  <c r="L4" i="3"/>
  <c r="K4" i="3"/>
  <c r="J4" i="3"/>
  <c r="M3" i="3"/>
  <c r="L3" i="3"/>
  <c r="K3" i="3"/>
  <c r="J3" i="3"/>
</calcChain>
</file>

<file path=xl/sharedStrings.xml><?xml version="1.0" encoding="utf-8"?>
<sst xmlns="http://schemas.openxmlformats.org/spreadsheetml/2006/main" count="12000" uniqueCount="1255">
  <si>
    <t>Age</t>
  </si>
  <si>
    <t>Gender</t>
  </si>
  <si>
    <t>Female</t>
  </si>
  <si>
    <t>Male</t>
  </si>
  <si>
    <t>Subband_1</t>
  </si>
  <si>
    <t>Subband_2</t>
  </si>
  <si>
    <t>Subband_3</t>
  </si>
  <si>
    <t>Subband_4</t>
  </si>
  <si>
    <t>Subband_5</t>
  </si>
  <si>
    <t>Subband_6</t>
  </si>
  <si>
    <t>Subband_7</t>
  </si>
  <si>
    <t>Subband_8</t>
  </si>
  <si>
    <t>Subband_9</t>
  </si>
  <si>
    <t>Subband_10</t>
  </si>
  <si>
    <t>Subband_11</t>
  </si>
  <si>
    <t>P 001</t>
  </si>
  <si>
    <t>P 002</t>
  </si>
  <si>
    <t>P 003</t>
  </si>
  <si>
    <t>P 004</t>
  </si>
  <si>
    <t>P 005</t>
  </si>
  <si>
    <t>P 006</t>
  </si>
  <si>
    <t>P 007</t>
  </si>
  <si>
    <t>P 008</t>
  </si>
  <si>
    <t>P 009</t>
  </si>
  <si>
    <t>P 010</t>
  </si>
  <si>
    <t>P 011</t>
  </si>
  <si>
    <t>P 012</t>
  </si>
  <si>
    <t>P 013</t>
  </si>
  <si>
    <t>P 014</t>
  </si>
  <si>
    <t>P 015</t>
  </si>
  <si>
    <t>P 016</t>
  </si>
  <si>
    <t>P 017</t>
  </si>
  <si>
    <t>P 018</t>
  </si>
  <si>
    <t>P 019</t>
  </si>
  <si>
    <t>P 020</t>
  </si>
  <si>
    <t>P 021</t>
  </si>
  <si>
    <t>P 022</t>
  </si>
  <si>
    <t>P 023</t>
  </si>
  <si>
    <t>P 024</t>
  </si>
  <si>
    <t>P 025</t>
  </si>
  <si>
    <t>P 026</t>
  </si>
  <si>
    <t>P 027</t>
  </si>
  <si>
    <t>P 028</t>
  </si>
  <si>
    <t>P 029</t>
  </si>
  <si>
    <t>P 030</t>
  </si>
  <si>
    <t>P 031</t>
  </si>
  <si>
    <t>P 032</t>
  </si>
  <si>
    <t>P 033</t>
  </si>
  <si>
    <t>P 034</t>
  </si>
  <si>
    <t>P 035</t>
  </si>
  <si>
    <t>P 036</t>
  </si>
  <si>
    <t>P 037</t>
  </si>
  <si>
    <t>P 038</t>
  </si>
  <si>
    <t>P 039</t>
  </si>
  <si>
    <t>P 040</t>
  </si>
  <si>
    <t>P 041</t>
  </si>
  <si>
    <t>P 042</t>
  </si>
  <si>
    <t>P 043</t>
  </si>
  <si>
    <t>P 044</t>
  </si>
  <si>
    <t>P 045</t>
  </si>
  <si>
    <t>P 046</t>
  </si>
  <si>
    <t>P 047</t>
  </si>
  <si>
    <t>P 048</t>
  </si>
  <si>
    <t>P 049</t>
  </si>
  <si>
    <t>P 050</t>
  </si>
  <si>
    <t>P 051</t>
  </si>
  <si>
    <t>P 052</t>
  </si>
  <si>
    <t>P 053</t>
  </si>
  <si>
    <t>P 054</t>
  </si>
  <si>
    <t>P 055</t>
  </si>
  <si>
    <t>P 056</t>
  </si>
  <si>
    <t>P 057</t>
  </si>
  <si>
    <t>P 058</t>
  </si>
  <si>
    <t>P 059</t>
  </si>
  <si>
    <t>P 060</t>
  </si>
  <si>
    <t>P 061</t>
  </si>
  <si>
    <t>P 062</t>
  </si>
  <si>
    <t>P 063</t>
  </si>
  <si>
    <t>P 064</t>
  </si>
  <si>
    <t>P 065</t>
  </si>
  <si>
    <t>P 066</t>
  </si>
  <si>
    <t>P 067</t>
  </si>
  <si>
    <t>P 068</t>
  </si>
  <si>
    <t>P 069</t>
  </si>
  <si>
    <t>P 070</t>
  </si>
  <si>
    <t>P 071</t>
  </si>
  <si>
    <t>P 072</t>
  </si>
  <si>
    <t>P 073</t>
  </si>
  <si>
    <t>P 074</t>
  </si>
  <si>
    <t>P 075</t>
  </si>
  <si>
    <t>P 076</t>
  </si>
  <si>
    <t>P 077</t>
  </si>
  <si>
    <t>P 078</t>
  </si>
  <si>
    <t>P 079</t>
  </si>
  <si>
    <t>P 080</t>
  </si>
  <si>
    <t>P 081</t>
  </si>
  <si>
    <t>P 082</t>
  </si>
  <si>
    <t>P 083</t>
  </si>
  <si>
    <t>P 084</t>
  </si>
  <si>
    <t>P 085</t>
  </si>
  <si>
    <t>P 086</t>
  </si>
  <si>
    <t>P 087</t>
  </si>
  <si>
    <t>P 088</t>
  </si>
  <si>
    <t>P 089</t>
  </si>
  <si>
    <t>P 090</t>
  </si>
  <si>
    <t>P 091</t>
  </si>
  <si>
    <t>P 092</t>
  </si>
  <si>
    <t>P 093</t>
  </si>
  <si>
    <t>P 094</t>
  </si>
  <si>
    <t>P 095</t>
  </si>
  <si>
    <t>P 096</t>
  </si>
  <si>
    <t>P 097</t>
  </si>
  <si>
    <t>P 098</t>
  </si>
  <si>
    <t>P 099</t>
  </si>
  <si>
    <t>P 100</t>
  </si>
  <si>
    <t>P 101</t>
  </si>
  <si>
    <t>P 102</t>
  </si>
  <si>
    <t>P 103</t>
  </si>
  <si>
    <t>P 104</t>
  </si>
  <si>
    <t>P 105</t>
  </si>
  <si>
    <t>P 106</t>
  </si>
  <si>
    <t>P 107</t>
  </si>
  <si>
    <t>P 108</t>
  </si>
  <si>
    <t>P 109</t>
  </si>
  <si>
    <t>P 110</t>
  </si>
  <si>
    <t>P 111</t>
  </si>
  <si>
    <t>P 112</t>
  </si>
  <si>
    <t>P 113</t>
  </si>
  <si>
    <t>P 114</t>
  </si>
  <si>
    <t>P 115</t>
  </si>
  <si>
    <t>P 116</t>
  </si>
  <si>
    <t>P 117</t>
  </si>
  <si>
    <t>P 118</t>
  </si>
  <si>
    <t>P 119</t>
  </si>
  <si>
    <t>P 120</t>
  </si>
  <si>
    <t>P 121</t>
  </si>
  <si>
    <t>P 122</t>
  </si>
  <si>
    <t>P 123</t>
  </si>
  <si>
    <t>P 124</t>
  </si>
  <si>
    <t>P 125</t>
  </si>
  <si>
    <t>P 126</t>
  </si>
  <si>
    <t>P 127</t>
  </si>
  <si>
    <t>P 128</t>
  </si>
  <si>
    <t>P 129</t>
  </si>
  <si>
    <t>P 130</t>
  </si>
  <si>
    <t>P 131</t>
  </si>
  <si>
    <t>P 132</t>
  </si>
  <si>
    <t>P 133</t>
  </si>
  <si>
    <t>P 134</t>
  </si>
  <si>
    <t>P 135</t>
  </si>
  <si>
    <t>P 136</t>
  </si>
  <si>
    <t>P 137</t>
  </si>
  <si>
    <t>P 138</t>
  </si>
  <si>
    <t>P 139</t>
  </si>
  <si>
    <t>P 140</t>
  </si>
  <si>
    <t>P 141</t>
  </si>
  <si>
    <t>P 142</t>
  </si>
  <si>
    <t>P 143</t>
  </si>
  <si>
    <t>P 144</t>
  </si>
  <si>
    <t>P 145</t>
  </si>
  <si>
    <t>P 146</t>
  </si>
  <si>
    <t>P 147</t>
  </si>
  <si>
    <t>P 148</t>
  </si>
  <si>
    <t>P 149</t>
  </si>
  <si>
    <t>P 150</t>
  </si>
  <si>
    <t>P 151</t>
  </si>
  <si>
    <t>P 152</t>
  </si>
  <si>
    <t>P 153</t>
  </si>
  <si>
    <t>P 154</t>
  </si>
  <si>
    <t>P 155</t>
  </si>
  <si>
    <t>P 156</t>
  </si>
  <si>
    <t>P 157</t>
  </si>
  <si>
    <t>P 158</t>
  </si>
  <si>
    <t>P 159</t>
  </si>
  <si>
    <t>P 160</t>
  </si>
  <si>
    <t>P 161</t>
  </si>
  <si>
    <t>P 162</t>
  </si>
  <si>
    <t>P 163</t>
  </si>
  <si>
    <t>P 164</t>
  </si>
  <si>
    <t>P 165</t>
  </si>
  <si>
    <t>P 166</t>
  </si>
  <si>
    <t>P 167</t>
  </si>
  <si>
    <t>P 168</t>
  </si>
  <si>
    <t>P 169</t>
  </si>
  <si>
    <t>P 170</t>
  </si>
  <si>
    <t>P 171</t>
  </si>
  <si>
    <t>P 172</t>
  </si>
  <si>
    <t>P 173</t>
  </si>
  <si>
    <t>P 174</t>
  </si>
  <si>
    <t>P 175</t>
  </si>
  <si>
    <t>P 176</t>
  </si>
  <si>
    <t>P 177</t>
  </si>
  <si>
    <t>P 178</t>
  </si>
  <si>
    <t>P 179</t>
  </si>
  <si>
    <t>P 180</t>
  </si>
  <si>
    <t>P 181</t>
  </si>
  <si>
    <t>P 182</t>
  </si>
  <si>
    <t>P 183</t>
  </si>
  <si>
    <t>P 184</t>
  </si>
  <si>
    <t>P 185</t>
  </si>
  <si>
    <t>P 186</t>
  </si>
  <si>
    <t>P 187</t>
  </si>
  <si>
    <t>P 188</t>
  </si>
  <si>
    <t>P 189</t>
  </si>
  <si>
    <t>P 190</t>
  </si>
  <si>
    <t>P 191</t>
  </si>
  <si>
    <t>P 192</t>
  </si>
  <si>
    <t>P 193</t>
  </si>
  <si>
    <t>P 194</t>
  </si>
  <si>
    <t>P 195</t>
  </si>
  <si>
    <t>P 196</t>
  </si>
  <si>
    <t>P 197</t>
  </si>
  <si>
    <t>P 198</t>
  </si>
  <si>
    <t>P 199</t>
  </si>
  <si>
    <t>P 200</t>
  </si>
  <si>
    <t>P 201</t>
  </si>
  <si>
    <t>P 202</t>
  </si>
  <si>
    <t>P 203</t>
  </si>
  <si>
    <t>P 204</t>
  </si>
  <si>
    <t>P 205</t>
  </si>
  <si>
    <t>P 206</t>
  </si>
  <si>
    <t>P 207</t>
  </si>
  <si>
    <t>P 208</t>
  </si>
  <si>
    <t>P 209</t>
  </si>
  <si>
    <t>P 210</t>
  </si>
  <si>
    <t>P 211</t>
  </si>
  <si>
    <t>P 212</t>
  </si>
  <si>
    <t>P 213</t>
  </si>
  <si>
    <t>P 214</t>
  </si>
  <si>
    <t>P 215</t>
  </si>
  <si>
    <t>P 216</t>
  </si>
  <si>
    <t>P 217</t>
  </si>
  <si>
    <t>P 218</t>
  </si>
  <si>
    <t>P 219</t>
  </si>
  <si>
    <t>P 220</t>
  </si>
  <si>
    <t>P 221</t>
  </si>
  <si>
    <t>P 222</t>
  </si>
  <si>
    <t>P 223</t>
  </si>
  <si>
    <t>P 224</t>
  </si>
  <si>
    <t>P 225</t>
  </si>
  <si>
    <t>P 226</t>
  </si>
  <si>
    <t>P 227</t>
  </si>
  <si>
    <t>P 228</t>
  </si>
  <si>
    <t>P 229</t>
  </si>
  <si>
    <t>P 230</t>
  </si>
  <si>
    <t>P 231</t>
  </si>
  <si>
    <t>P 232</t>
  </si>
  <si>
    <t>P 233</t>
  </si>
  <si>
    <t>P 234</t>
  </si>
  <si>
    <t>P 235</t>
  </si>
  <si>
    <t>P 236</t>
  </si>
  <si>
    <t>P 237</t>
  </si>
  <si>
    <t>P 238</t>
  </si>
  <si>
    <t>P 239</t>
  </si>
  <si>
    <t>P 240</t>
  </si>
  <si>
    <t>P 241</t>
  </si>
  <si>
    <t>P 242</t>
  </si>
  <si>
    <t>P 243</t>
  </si>
  <si>
    <t>P 244</t>
  </si>
  <si>
    <t>P 245</t>
  </si>
  <si>
    <t>P 246</t>
  </si>
  <si>
    <t>P 247</t>
  </si>
  <si>
    <t>P 248</t>
  </si>
  <si>
    <t>P 249</t>
  </si>
  <si>
    <t>P 250</t>
  </si>
  <si>
    <t>P 251</t>
  </si>
  <si>
    <t>P 252</t>
  </si>
  <si>
    <t>P 253</t>
  </si>
  <si>
    <t>P 254</t>
  </si>
  <si>
    <t>P 255</t>
  </si>
  <si>
    <t>P 256</t>
  </si>
  <si>
    <t>P 257</t>
  </si>
  <si>
    <t>P 258</t>
  </si>
  <si>
    <t>P 259</t>
  </si>
  <si>
    <t>P 260</t>
  </si>
  <si>
    <t>P 261</t>
  </si>
  <si>
    <t>P 262</t>
  </si>
  <si>
    <t>P 263</t>
  </si>
  <si>
    <t>P 264</t>
  </si>
  <si>
    <t>P 265</t>
  </si>
  <si>
    <t>P 266</t>
  </si>
  <si>
    <t>P 267</t>
  </si>
  <si>
    <t>P 268</t>
  </si>
  <si>
    <t>P 269</t>
  </si>
  <si>
    <t>P 270</t>
  </si>
  <si>
    <t>P 271</t>
  </si>
  <si>
    <t>P 272</t>
  </si>
  <si>
    <t>P 273</t>
  </si>
  <si>
    <t>P 274</t>
  </si>
  <si>
    <t>P 275</t>
  </si>
  <si>
    <t>P 276</t>
  </si>
  <si>
    <t>P 277</t>
  </si>
  <si>
    <t>P 278</t>
  </si>
  <si>
    <t>P 279</t>
  </si>
  <si>
    <t>P 280</t>
  </si>
  <si>
    <t>P 281</t>
  </si>
  <si>
    <t>P 282</t>
  </si>
  <si>
    <t>P 283</t>
  </si>
  <si>
    <t>P 284</t>
  </si>
  <si>
    <t>P 285</t>
  </si>
  <si>
    <t>P 286</t>
  </si>
  <si>
    <t>P 287</t>
  </si>
  <si>
    <t>P 288</t>
  </si>
  <si>
    <t>P 289</t>
  </si>
  <si>
    <t>P 290</t>
  </si>
  <si>
    <t>P 291</t>
  </si>
  <si>
    <t>P 292</t>
  </si>
  <si>
    <t>P 293</t>
  </si>
  <si>
    <t>P 294</t>
  </si>
  <si>
    <t>P 295</t>
  </si>
  <si>
    <t>P 296</t>
  </si>
  <si>
    <t>P 297</t>
  </si>
  <si>
    <t>P 298</t>
  </si>
  <si>
    <t>P 299</t>
  </si>
  <si>
    <t>P 300</t>
  </si>
  <si>
    <t>P 301</t>
  </si>
  <si>
    <t>P 302</t>
  </si>
  <si>
    <t>P 303</t>
  </si>
  <si>
    <t>P 304</t>
  </si>
  <si>
    <t>P 305</t>
  </si>
  <si>
    <t>P 306</t>
  </si>
  <si>
    <t>P 307</t>
  </si>
  <si>
    <t>P 308</t>
  </si>
  <si>
    <t>P 309</t>
  </si>
  <si>
    <t>P 310</t>
  </si>
  <si>
    <t>P 311</t>
  </si>
  <si>
    <t>P 312</t>
  </si>
  <si>
    <t>P 313</t>
  </si>
  <si>
    <t>P 314</t>
  </si>
  <si>
    <t>P 315</t>
  </si>
  <si>
    <t>P 316</t>
  </si>
  <si>
    <t>P 317</t>
  </si>
  <si>
    <t>P 318</t>
  </si>
  <si>
    <t>P 319</t>
  </si>
  <si>
    <t>P 320</t>
  </si>
  <si>
    <t>P 321</t>
  </si>
  <si>
    <t>P 322</t>
  </si>
  <si>
    <t>P 323</t>
  </si>
  <si>
    <t>P 324</t>
  </si>
  <si>
    <t>P 325</t>
  </si>
  <si>
    <t>P 326</t>
  </si>
  <si>
    <t>P 327</t>
  </si>
  <si>
    <t>P 328</t>
  </si>
  <si>
    <t>P 329</t>
  </si>
  <si>
    <t>P 330</t>
  </si>
  <si>
    <t>P 331</t>
  </si>
  <si>
    <t>P 332</t>
  </si>
  <si>
    <t>P 333</t>
  </si>
  <si>
    <t>P 334</t>
  </si>
  <si>
    <t>P 335</t>
  </si>
  <si>
    <t>P 336</t>
  </si>
  <si>
    <t>P 337</t>
  </si>
  <si>
    <t>P 338</t>
  </si>
  <si>
    <t>P 339</t>
  </si>
  <si>
    <t>P 340</t>
  </si>
  <si>
    <t>P 341</t>
  </si>
  <si>
    <t>P 342</t>
  </si>
  <si>
    <t>P 343</t>
  </si>
  <si>
    <t>P 344</t>
  </si>
  <si>
    <t>P 345</t>
  </si>
  <si>
    <t>P 346</t>
  </si>
  <si>
    <t>P 347</t>
  </si>
  <si>
    <t>P 348</t>
  </si>
  <si>
    <t>P 349</t>
  </si>
  <si>
    <t>P 350</t>
  </si>
  <si>
    <t>P 351</t>
  </si>
  <si>
    <t>P 352</t>
  </si>
  <si>
    <t>P 353</t>
  </si>
  <si>
    <t>P 354</t>
  </si>
  <si>
    <t>P 355</t>
  </si>
  <si>
    <t>P 356</t>
  </si>
  <si>
    <t>P 357</t>
  </si>
  <si>
    <t>P 358</t>
  </si>
  <si>
    <t>P 359</t>
  </si>
  <si>
    <t>P 360</t>
  </si>
  <si>
    <t>P 361</t>
  </si>
  <si>
    <t>P 362</t>
  </si>
  <si>
    <t>P 363</t>
  </si>
  <si>
    <t>P 364</t>
  </si>
  <si>
    <t>P 365</t>
  </si>
  <si>
    <t>P 366</t>
  </si>
  <si>
    <t>P 367</t>
  </si>
  <si>
    <t>P 368</t>
  </si>
  <si>
    <t>P 369</t>
  </si>
  <si>
    <t>P 370</t>
  </si>
  <si>
    <t>P 371</t>
  </si>
  <si>
    <t>P 372</t>
  </si>
  <si>
    <t>P 373</t>
  </si>
  <si>
    <t>P 374</t>
  </si>
  <si>
    <t>P 375</t>
  </si>
  <si>
    <t>P 376</t>
  </si>
  <si>
    <t>P 377</t>
  </si>
  <si>
    <t>P 378</t>
  </si>
  <si>
    <t>P 379</t>
  </si>
  <si>
    <t>P 380</t>
  </si>
  <si>
    <t>P 381</t>
  </si>
  <si>
    <t>P 382</t>
  </si>
  <si>
    <t>P 383</t>
  </si>
  <si>
    <t>P 384</t>
  </si>
  <si>
    <t>P 385</t>
  </si>
  <si>
    <t>P 386</t>
  </si>
  <si>
    <t>P 387</t>
  </si>
  <si>
    <t>P 388</t>
  </si>
  <si>
    <t>P 389</t>
  </si>
  <si>
    <t>P 390</t>
  </si>
  <si>
    <t>P 391</t>
  </si>
  <si>
    <t>P 392</t>
  </si>
  <si>
    <t>P 393</t>
  </si>
  <si>
    <t>P 394</t>
  </si>
  <si>
    <t>P 395</t>
  </si>
  <si>
    <t>P 396</t>
  </si>
  <si>
    <t>P 397</t>
  </si>
  <si>
    <t>P 398</t>
  </si>
  <si>
    <t>P 399</t>
  </si>
  <si>
    <t>P 400</t>
  </si>
  <si>
    <t>P 401</t>
  </si>
  <si>
    <t>P 402</t>
  </si>
  <si>
    <t>P 403</t>
  </si>
  <si>
    <t>P 404</t>
  </si>
  <si>
    <t>P 405</t>
  </si>
  <si>
    <t>P 406</t>
  </si>
  <si>
    <t>P 407</t>
  </si>
  <si>
    <t>P 408</t>
  </si>
  <si>
    <t>P 409</t>
  </si>
  <si>
    <t>P 410</t>
  </si>
  <si>
    <t>P 411</t>
  </si>
  <si>
    <t>P 412</t>
  </si>
  <si>
    <t>P 413</t>
  </si>
  <si>
    <t>P 414</t>
  </si>
  <si>
    <t>P 415</t>
  </si>
  <si>
    <t>P 416</t>
  </si>
  <si>
    <t>P 417</t>
  </si>
  <si>
    <t>P 418</t>
  </si>
  <si>
    <t>P 419</t>
  </si>
  <si>
    <t>P 420</t>
  </si>
  <si>
    <t>P 421</t>
  </si>
  <si>
    <t>P 422</t>
  </si>
  <si>
    <t>P 423</t>
  </si>
  <si>
    <t>P 424</t>
  </si>
  <si>
    <t>P 425</t>
  </si>
  <si>
    <t>P 426</t>
  </si>
  <si>
    <t>P 427</t>
  </si>
  <si>
    <t>P 428</t>
  </si>
  <si>
    <t>P 429</t>
  </si>
  <si>
    <t>P 430</t>
  </si>
  <si>
    <t>P 431</t>
  </si>
  <si>
    <t>P 432</t>
  </si>
  <si>
    <t>P 433</t>
  </si>
  <si>
    <t>P 434</t>
  </si>
  <si>
    <t>P 435</t>
  </si>
  <si>
    <t>P 436</t>
  </si>
  <si>
    <t>P 437</t>
  </si>
  <si>
    <t>P 438</t>
  </si>
  <si>
    <t>P 439</t>
  </si>
  <si>
    <t>P 440</t>
  </si>
  <si>
    <t>P 441</t>
  </si>
  <si>
    <t>P 442</t>
  </si>
  <si>
    <t>P 443</t>
  </si>
  <si>
    <t>P 444</t>
  </si>
  <si>
    <t>P 445</t>
  </si>
  <si>
    <t>P 446</t>
  </si>
  <si>
    <t>P 447</t>
  </si>
  <si>
    <t>P 448</t>
  </si>
  <si>
    <t>P 449</t>
  </si>
  <si>
    <t>P 450</t>
  </si>
  <si>
    <t>P 451</t>
  </si>
  <si>
    <t>P 452</t>
  </si>
  <si>
    <t>P 453</t>
  </si>
  <si>
    <t>P 454</t>
  </si>
  <si>
    <t>P 455</t>
  </si>
  <si>
    <t>P 456</t>
  </si>
  <si>
    <t>P 457</t>
  </si>
  <si>
    <t>P 458</t>
  </si>
  <si>
    <t>P 459</t>
  </si>
  <si>
    <t>P 460</t>
  </si>
  <si>
    <t>P 461</t>
  </si>
  <si>
    <t>P 462</t>
  </si>
  <si>
    <t>P 463</t>
  </si>
  <si>
    <t>P 464</t>
  </si>
  <si>
    <t>P 465</t>
  </si>
  <si>
    <t>P 466</t>
  </si>
  <si>
    <t>P 467</t>
  </si>
  <si>
    <t>P 468</t>
  </si>
  <si>
    <t>P 469</t>
  </si>
  <si>
    <t>P 470</t>
  </si>
  <si>
    <t>P 471</t>
  </si>
  <si>
    <t>P 472</t>
  </si>
  <si>
    <t>P 473</t>
  </si>
  <si>
    <t>P 474</t>
  </si>
  <si>
    <t>P 475</t>
  </si>
  <si>
    <t>P 476</t>
  </si>
  <si>
    <t>P 477</t>
  </si>
  <si>
    <t>P 478</t>
  </si>
  <si>
    <t>P 479</t>
  </si>
  <si>
    <t>P 480</t>
  </si>
  <si>
    <t>P 481</t>
  </si>
  <si>
    <t>P 482</t>
  </si>
  <si>
    <t>P 483</t>
  </si>
  <si>
    <t>P 484</t>
  </si>
  <si>
    <t>P 485</t>
  </si>
  <si>
    <t>P 486</t>
  </si>
  <si>
    <t>P 487</t>
  </si>
  <si>
    <t>P 488</t>
  </si>
  <si>
    <t>P 489</t>
  </si>
  <si>
    <t>P 490</t>
  </si>
  <si>
    <t>P 491</t>
  </si>
  <si>
    <t>P 492</t>
  </si>
  <si>
    <t>P 493</t>
  </si>
  <si>
    <t>P 494</t>
  </si>
  <si>
    <t>P 495</t>
  </si>
  <si>
    <t>P 496</t>
  </si>
  <si>
    <t>P 497</t>
  </si>
  <si>
    <t>P 498</t>
  </si>
  <si>
    <t>P 499</t>
  </si>
  <si>
    <t>P 500</t>
  </si>
  <si>
    <t>Patient_ID</t>
  </si>
  <si>
    <t>Lab Value (mg/dL)</t>
  </si>
  <si>
    <t xml:space="preserve">Microwave Filter for SAIH antenna Sensor in Insulin Delivery System to Prevent Pancreas Thermogenesis Noise Signal Using TQWT Transform </t>
  </si>
  <si>
    <t>Study_Day</t>
  </si>
  <si>
    <t>Measurement_Time</t>
  </si>
  <si>
    <t>Input_Sensor reading_1</t>
  </si>
  <si>
    <t>Input_Age_2</t>
  </si>
  <si>
    <t>Input_Wight_3</t>
  </si>
  <si>
    <t>Actual_Value</t>
  </si>
  <si>
    <t>Fold_ID</t>
  </si>
  <si>
    <t>P001</t>
  </si>
  <si>
    <t>Day 1</t>
  </si>
  <si>
    <t>Before Food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</si>
  <si>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</si>
  <si>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</si>
  <si>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</si>
  <si>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</si>
  <si>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</si>
  <si>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</si>
  <si>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</si>
  <si>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</si>
  <si>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</si>
  <si>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</si>
  <si>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Day 2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</si>
  <si>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</si>
  <si>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</si>
  <si>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</si>
  <si>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</si>
  <si>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</si>
  <si>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</si>
  <si>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</si>
  <si>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</si>
  <si>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</si>
  <si>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</si>
  <si>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Day 3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</si>
  <si>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</si>
  <si>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</si>
  <si>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</si>
  <si>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</si>
  <si>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</si>
  <si>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</si>
  <si>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</si>
  <si>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</si>
  <si>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</si>
  <si>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</si>
  <si>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Day 4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</si>
  <si>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</si>
  <si>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</si>
  <si>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</si>
  <si>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</si>
  <si>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</si>
  <si>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</si>
  <si>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</si>
  <si>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</si>
  <si>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</si>
  <si>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</si>
  <si>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Day 5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</si>
  <si>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</si>
  <si>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</si>
  <si>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</si>
  <si>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</si>
  <si>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</si>
  <si>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</si>
  <si>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</si>
  <si>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</si>
  <si>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</si>
  <si>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</si>
  <si>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Day 6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</si>
  <si>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</si>
  <si>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</si>
  <si>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</si>
  <si>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</si>
  <si>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</si>
  <si>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</si>
  <si>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</si>
  <si>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</si>
  <si>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</si>
  <si>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</si>
  <si>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Day 7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</si>
  <si>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</si>
  <si>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</si>
  <si>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</si>
  <si>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</si>
  <si>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</si>
  <si>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</si>
  <si>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</si>
  <si>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</si>
  <si>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</si>
  <si>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</si>
  <si>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Day 8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</si>
  <si>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</si>
  <si>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</si>
  <si>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</si>
  <si>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</si>
  <si>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</si>
  <si>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</si>
  <si>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</si>
  <si>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</si>
  <si>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</si>
  <si>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</si>
  <si>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Day 9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</si>
  <si>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</si>
  <si>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</si>
  <si>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</si>
  <si>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</si>
  <si>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</si>
  <si>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</si>
  <si>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</si>
  <si>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</si>
  <si>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</si>
  <si>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</si>
  <si>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Day 10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</si>
  <si>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</si>
  <si>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</si>
  <si>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</si>
  <si>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</si>
  <si>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</si>
  <si>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</si>
  <si>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</si>
  <si>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</si>
  <si>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</si>
  <si>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</si>
  <si>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Day 11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</si>
  <si>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</si>
  <si>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</si>
  <si>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</si>
  <si>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</si>
  <si>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</si>
  <si>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</si>
  <si>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</si>
  <si>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</si>
  <si>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</si>
  <si>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</si>
  <si>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Day 12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</si>
  <si>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</si>
  <si>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</si>
  <si>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</si>
  <si>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</si>
  <si>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</si>
  <si>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</si>
  <si>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</si>
  <si>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</si>
  <si>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</si>
  <si>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</si>
  <si>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Day 13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</si>
  <si>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</si>
  <si>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</si>
  <si>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</si>
  <si>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</si>
  <si>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</si>
  <si>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</si>
  <si>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</si>
  <si>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</si>
  <si>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</si>
  <si>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</si>
  <si>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Day 14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</si>
  <si>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</si>
  <si>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</si>
  <si>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</si>
  <si>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</si>
  <si>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</si>
  <si>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</si>
  <si>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</si>
  <si>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</si>
  <si>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</si>
  <si>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</si>
  <si>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Day 15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</si>
  <si>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</si>
  <si>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</si>
  <si>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</si>
  <si>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</si>
  <si>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</si>
  <si>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</si>
  <si>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</si>
  <si>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</si>
  <si>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</si>
  <si>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</si>
  <si>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Day 16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</si>
  <si>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</si>
  <si>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</si>
  <si>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</si>
  <si>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</si>
  <si>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</si>
  <si>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</si>
  <si>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</si>
  <si>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</si>
  <si>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</si>
  <si>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</si>
  <si>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Day 17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</si>
  <si>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</si>
  <si>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</si>
  <si>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</si>
  <si>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</si>
  <si>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</si>
  <si>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</si>
  <si>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</si>
  <si>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</si>
  <si>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</si>
  <si>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</si>
  <si>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Day 18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</si>
  <si>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</si>
  <si>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</si>
  <si>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</si>
  <si>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</si>
  <si>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</si>
  <si>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</si>
  <si>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</si>
  <si>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</si>
  <si>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</si>
  <si>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</si>
  <si>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Day 19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</si>
  <si>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</si>
  <si>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</si>
  <si>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</si>
  <si>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</si>
  <si>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</si>
  <si>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</si>
  <si>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</si>
  <si>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</si>
  <si>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</si>
  <si>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</si>
  <si>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Day 20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</si>
  <si>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</si>
  <si>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</si>
  <si>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</si>
  <si>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</si>
  <si>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</si>
  <si>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</si>
  <si>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</si>
  <si>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</si>
  <si>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</si>
  <si>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</si>
  <si>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Day 21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</si>
  <si>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</si>
  <si>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</si>
  <si>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</si>
  <si>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</si>
  <si>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</si>
  <si>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</si>
  <si>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</si>
  <si>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</si>
  <si>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</si>
  <si>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</si>
  <si>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Day 22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</si>
  <si>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</si>
  <si>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</si>
  <si>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</si>
  <si>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</si>
  <si>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</si>
  <si>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</si>
  <si>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</si>
  <si>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</si>
  <si>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</si>
  <si>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</si>
  <si>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Day 23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</si>
  <si>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</si>
  <si>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</si>
  <si>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</si>
  <si>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</si>
  <si>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</si>
  <si>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</si>
  <si>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</si>
  <si>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</si>
  <si>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</si>
  <si>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</si>
  <si>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Day 24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</si>
  <si>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</si>
  <si>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</si>
  <si>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</si>
  <si>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</si>
  <si>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</si>
  <si>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</si>
  <si>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</si>
  <si>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</si>
  <si>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</si>
  <si>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</si>
  <si>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Day 25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</si>
  <si>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</si>
  <si>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</si>
  <si>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</si>
  <si>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</si>
  <si>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</si>
  <si>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</si>
  <si>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</si>
  <si>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</si>
  <si>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</si>
  <si>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</si>
  <si>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Day 26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</si>
  <si>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</si>
  <si>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</si>
  <si>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</si>
  <si>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</si>
  <si>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</si>
  <si>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</si>
  <si>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</si>
  <si>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</si>
  <si>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</si>
  <si>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</si>
  <si>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Day 27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</si>
  <si>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</si>
  <si>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</si>
  <si>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</si>
  <si>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</si>
  <si>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</si>
  <si>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</si>
  <si>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</si>
  <si>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</si>
  <si>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</si>
  <si>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</si>
  <si>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Day 28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</si>
  <si>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</si>
  <si>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</si>
  <si>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</si>
  <si>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</si>
  <si>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</si>
  <si>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</si>
  <si>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</si>
  <si>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</si>
  <si>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</si>
  <si>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</si>
  <si>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Day 29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</si>
  <si>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</si>
  <si>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</si>
  <si>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</si>
  <si>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</si>
  <si>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</si>
  <si>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</si>
  <si>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</si>
  <si>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</si>
  <si>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</si>
  <si>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</si>
  <si>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Day 30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</si>
  <si>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</si>
  <si>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</si>
  <si>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</si>
  <si>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</si>
  <si>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</si>
  <si>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</si>
  <si>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</si>
  <si>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</si>
  <si>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</si>
  <si>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P301</t>
  </si>
  <si>
    <t>Day 31</t>
  </si>
  <si>
    <t>P302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</si>
  <si>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</si>
  <si>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</si>
  <si>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</si>
  <si>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</si>
  <si>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</si>
  <si>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</si>
  <si>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</si>
  <si>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</si>
  <si>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</si>
  <si>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Day 32</t>
  </si>
  <si>
    <t>P312</t>
  </si>
  <si>
    <t>P313</t>
  </si>
  <si>
    <t>P314</t>
  </si>
  <si>
    <t>P315</t>
  </si>
  <si>
    <t>P316</t>
  </si>
  <si>
    <t>P317</t>
  </si>
  <si>
    <t>P318</t>
  </si>
  <si>
    <t>P319</t>
  </si>
  <si>
    <t>P320</t>
  </si>
  <si>
    <t>P321</t>
  </si>
  <si>
    <t>Day 33</t>
  </si>
  <si>
    <t>P322</t>
  </si>
  <si>
    <t>P323</t>
  </si>
  <si>
    <t>P324</t>
  </si>
  <si>
    <t>P325</t>
  </si>
  <si>
    <t>P326</t>
  </si>
  <si>
    <t>P327</t>
  </si>
  <si>
    <t>P328</t>
  </si>
  <si>
    <t>P329</t>
  </si>
  <si>
    <t>P330</t>
  </si>
  <si>
    <t>P331</t>
  </si>
  <si>
    <t>Day 34</t>
  </si>
  <si>
    <t>P332</t>
  </si>
  <si>
    <t>P333</t>
  </si>
  <si>
    <t>P334</t>
  </si>
  <si>
    <t>P335</t>
  </si>
  <si>
    <t>P336</t>
  </si>
  <si>
    <t>P337</t>
  </si>
  <si>
    <t>P338</t>
  </si>
  <si>
    <t>P339</t>
  </si>
  <si>
    <t>P340</t>
  </si>
  <si>
    <t>P341</t>
  </si>
  <si>
    <t>Day 35</t>
  </si>
  <si>
    <t>P342</t>
  </si>
  <si>
    <t>P343</t>
  </si>
  <si>
    <t>P344</t>
  </si>
  <si>
    <t>P345</t>
  </si>
  <si>
    <t>P346</t>
  </si>
  <si>
    <t>P347</t>
  </si>
  <si>
    <t>P348</t>
  </si>
  <si>
    <t>P349</t>
  </si>
  <si>
    <t>P350</t>
  </si>
  <si>
    <t>P351</t>
  </si>
  <si>
    <t>Day 36</t>
  </si>
  <si>
    <t>P352</t>
  </si>
  <si>
    <t>P353</t>
  </si>
  <si>
    <t>P354</t>
  </si>
  <si>
    <t>P355</t>
  </si>
  <si>
    <t>P356</t>
  </si>
  <si>
    <t>P357</t>
  </si>
  <si>
    <t>P358</t>
  </si>
  <si>
    <t>P359</t>
  </si>
  <si>
    <t>P360</t>
  </si>
  <si>
    <t>P361</t>
  </si>
  <si>
    <t>Day 37</t>
  </si>
  <si>
    <t>P362</t>
  </si>
  <si>
    <t>P363</t>
  </si>
  <si>
    <t>P364</t>
  </si>
  <si>
    <t>P365</t>
  </si>
  <si>
    <t>P366</t>
  </si>
  <si>
    <t>P367</t>
  </si>
  <si>
    <t>P368</t>
  </si>
  <si>
    <t>P369</t>
  </si>
  <si>
    <t>P370</t>
  </si>
  <si>
    <t>P371</t>
  </si>
  <si>
    <t>Day 38</t>
  </si>
  <si>
    <t>P372</t>
  </si>
  <si>
    <t>P373</t>
  </si>
  <si>
    <t>P374</t>
  </si>
  <si>
    <t>P375</t>
  </si>
  <si>
    <t>P376</t>
  </si>
  <si>
    <t>P377</t>
  </si>
  <si>
    <t>P378</t>
  </si>
  <si>
    <t>P379</t>
  </si>
  <si>
    <t>P380</t>
  </si>
  <si>
    <t>P381</t>
  </si>
  <si>
    <t>Day 39</t>
  </si>
  <si>
    <t>P382</t>
  </si>
  <si>
    <t>P383</t>
  </si>
  <si>
    <t>P384</t>
  </si>
  <si>
    <t>P385</t>
  </si>
  <si>
    <t>P386</t>
  </si>
  <si>
    <t>P387</t>
  </si>
  <si>
    <t>P388</t>
  </si>
  <si>
    <t>P389</t>
  </si>
  <si>
    <t>P390</t>
  </si>
  <si>
    <t>P391</t>
  </si>
  <si>
    <t>Day 40</t>
  </si>
  <si>
    <t>P392</t>
  </si>
  <si>
    <t>P393</t>
  </si>
  <si>
    <t>P394</t>
  </si>
  <si>
    <t>P395</t>
  </si>
  <si>
    <t>P396</t>
  </si>
  <si>
    <t>P397</t>
  </si>
  <si>
    <t>P398</t>
  </si>
  <si>
    <t>P399</t>
  </si>
  <si>
    <t>P400</t>
  </si>
  <si>
    <t>P401</t>
  </si>
  <si>
    <t>Day 41</t>
  </si>
  <si>
    <t>P402</t>
  </si>
  <si>
    <t>P403</t>
  </si>
  <si>
    <t>P404</t>
  </si>
  <si>
    <t>P405</t>
  </si>
  <si>
    <t>P406</t>
  </si>
  <si>
    <t>P407</t>
  </si>
  <si>
    <t>P408</t>
  </si>
  <si>
    <t>P409</t>
  </si>
  <si>
    <t>P410</t>
  </si>
  <si>
    <t>P411</t>
  </si>
  <si>
    <t>Day 42</t>
  </si>
  <si>
    <t>P412</t>
  </si>
  <si>
    <t>P413</t>
  </si>
  <si>
    <t>P414</t>
  </si>
  <si>
    <t>P415</t>
  </si>
  <si>
    <t>P416</t>
  </si>
  <si>
    <t>P417</t>
  </si>
  <si>
    <t>P418</t>
  </si>
  <si>
    <t>P419</t>
  </si>
  <si>
    <t>P420</t>
  </si>
  <si>
    <t>P421</t>
  </si>
  <si>
    <t>Day 43</t>
  </si>
  <si>
    <t>P422</t>
  </si>
  <si>
    <t>P423</t>
  </si>
  <si>
    <t>P424</t>
  </si>
  <si>
    <t>P425</t>
  </si>
  <si>
    <t>P426</t>
  </si>
  <si>
    <t>P427</t>
  </si>
  <si>
    <t>P428</t>
  </si>
  <si>
    <t>P429</t>
  </si>
  <si>
    <t>P430</t>
  </si>
  <si>
    <t>P431</t>
  </si>
  <si>
    <t>Day 44</t>
  </si>
  <si>
    <t>P432</t>
  </si>
  <si>
    <t>P433</t>
  </si>
  <si>
    <t>P434</t>
  </si>
  <si>
    <t>P435</t>
  </si>
  <si>
    <t>P436</t>
  </si>
  <si>
    <t>P437</t>
  </si>
  <si>
    <t>P438</t>
  </si>
  <si>
    <t>P439</t>
  </si>
  <si>
    <t>P440</t>
  </si>
  <si>
    <t>P441</t>
  </si>
  <si>
    <t>Day 45</t>
  </si>
  <si>
    <t>P442</t>
  </si>
  <si>
    <t>P443</t>
  </si>
  <si>
    <t>P444</t>
  </si>
  <si>
    <t>P445</t>
  </si>
  <si>
    <t>P446</t>
  </si>
  <si>
    <t>P447</t>
  </si>
  <si>
    <t>P448</t>
  </si>
  <si>
    <t>P449</t>
  </si>
  <si>
    <t>P450</t>
  </si>
  <si>
    <t>P451</t>
  </si>
  <si>
    <t>Day 46</t>
  </si>
  <si>
    <t>P452</t>
  </si>
  <si>
    <t>P453</t>
  </si>
  <si>
    <t>P454</t>
  </si>
  <si>
    <t>P455</t>
  </si>
  <si>
    <t>P456</t>
  </si>
  <si>
    <t>P457</t>
  </si>
  <si>
    <t>P458</t>
  </si>
  <si>
    <t>P459</t>
  </si>
  <si>
    <t>P460</t>
  </si>
  <si>
    <t>P461</t>
  </si>
  <si>
    <t>Day 47</t>
  </si>
  <si>
    <t>P462</t>
  </si>
  <si>
    <t>P463</t>
  </si>
  <si>
    <t>P464</t>
  </si>
  <si>
    <t>P465</t>
  </si>
  <si>
    <t>P466</t>
  </si>
  <si>
    <t>P467</t>
  </si>
  <si>
    <t>P468</t>
  </si>
  <si>
    <t>P469</t>
  </si>
  <si>
    <t>P470</t>
  </si>
  <si>
    <t>P471</t>
  </si>
  <si>
    <t>Day 48</t>
  </si>
  <si>
    <t>P472</t>
  </si>
  <si>
    <t>P473</t>
  </si>
  <si>
    <t>P474</t>
  </si>
  <si>
    <t>P475</t>
  </si>
  <si>
    <t>P476</t>
  </si>
  <si>
    <t>P477</t>
  </si>
  <si>
    <t>P478</t>
  </si>
  <si>
    <t>P479</t>
  </si>
  <si>
    <t>P480</t>
  </si>
  <si>
    <t>P481</t>
  </si>
  <si>
    <t>Day 49</t>
  </si>
  <si>
    <t>P482</t>
  </si>
  <si>
    <t>P483</t>
  </si>
  <si>
    <t>P484</t>
  </si>
  <si>
    <t>P485</t>
  </si>
  <si>
    <t>P486</t>
  </si>
  <si>
    <t>P487</t>
  </si>
  <si>
    <t>P488</t>
  </si>
  <si>
    <t>P489</t>
  </si>
  <si>
    <t>P490</t>
  </si>
  <si>
    <t>P491</t>
  </si>
  <si>
    <t>Day 50</t>
  </si>
  <si>
    <t>P492</t>
  </si>
  <si>
    <t>P493</t>
  </si>
  <si>
    <t>P494</t>
  </si>
  <si>
    <t>P495</t>
  </si>
  <si>
    <t>P496</t>
  </si>
  <si>
    <t>P497</t>
  </si>
  <si>
    <t>P498</t>
  </si>
  <si>
    <t>P499</t>
  </si>
  <si>
    <t>P500</t>
  </si>
  <si>
    <t>After Food</t>
  </si>
  <si>
    <t>Measurement_ Condition</t>
  </si>
  <si>
    <t>Predicted_ Value</t>
  </si>
  <si>
    <t>Absolute_ Error</t>
  </si>
  <si>
    <t>Squared_ Error</t>
  </si>
  <si>
    <t>Relative_ Error_%</t>
  </si>
  <si>
    <t>Validation_ID</t>
  </si>
  <si>
    <t>Original_Cohort_Overlap (Yes/No/Unknown)</t>
  </si>
  <si>
    <t>Verified_New_Subject (Yes/No)</t>
  </si>
  <si>
    <t>Reference_Glucose_mg_dL</t>
  </si>
  <si>
    <t>Reference_Method (e.g., laboratory method)</t>
  </si>
  <si>
    <t>TQWT_Feature_1</t>
  </si>
  <si>
    <t>TQWT_Feature_2</t>
  </si>
  <si>
    <t>TQWT_Feature_3</t>
  </si>
  <si>
    <t>TQWT_Feature_4</t>
  </si>
  <si>
    <t>TQWT_Feature_5</t>
  </si>
  <si>
    <t>TQWT_Feature_6</t>
  </si>
  <si>
    <t>TQWT_Feature_7</t>
  </si>
  <si>
    <t>TQWT_Feature_8</t>
  </si>
  <si>
    <t>TQWT_Feature_9</t>
  </si>
  <si>
    <t>TQWT_Feature_10</t>
  </si>
  <si>
    <t>TQWT_Feature_11</t>
  </si>
  <si>
    <t>Frozen_Model_Prediction_mg_dL (preliminary; fixed equations)</t>
  </si>
  <si>
    <t>Activity_or_Notes (optional)</t>
  </si>
  <si>
    <t>Data_Source</t>
  </si>
  <si>
    <t>IV001</t>
  </si>
  <si>
    <t>No</t>
  </si>
  <si>
    <t>Yes</t>
  </si>
  <si>
    <t>Before_meal</t>
  </si>
  <si>
    <t>glucometer</t>
  </si>
  <si>
    <t>Walking</t>
  </si>
  <si>
    <t>instrument record</t>
  </si>
  <si>
    <t>IV002</t>
  </si>
  <si>
    <t>Random</t>
  </si>
  <si>
    <t>Jogging</t>
  </si>
  <si>
    <t>IV003</t>
  </si>
  <si>
    <t>TaiChi</t>
  </si>
  <si>
    <t>IV004</t>
  </si>
  <si>
    <t>Cycling</t>
  </si>
  <si>
    <t>IV005</t>
  </si>
  <si>
    <t>Meditation</t>
  </si>
  <si>
    <t>IV006</t>
  </si>
  <si>
    <t>Swimming</t>
  </si>
  <si>
    <t>IV007</t>
  </si>
  <si>
    <t>Yoga</t>
  </si>
  <si>
    <t>IV008</t>
  </si>
  <si>
    <t>Running</t>
  </si>
  <si>
    <t>IV009</t>
  </si>
  <si>
    <t>IV010</t>
  </si>
  <si>
    <t>IV011</t>
  </si>
  <si>
    <t>IV012</t>
  </si>
  <si>
    <t>IV013</t>
  </si>
  <si>
    <t>IV014</t>
  </si>
  <si>
    <t>IV015</t>
  </si>
  <si>
    <t>IV016</t>
  </si>
  <si>
    <t>IV017</t>
  </si>
  <si>
    <t>IV018</t>
  </si>
  <si>
    <t>IV019</t>
  </si>
  <si>
    <t>IV020</t>
  </si>
  <si>
    <t>IV021</t>
  </si>
  <si>
    <t>IV022</t>
  </si>
  <si>
    <t>IV023</t>
  </si>
  <si>
    <t>IV024</t>
  </si>
  <si>
    <t>IV025</t>
  </si>
  <si>
    <t>IV026</t>
  </si>
  <si>
    <t>IV027</t>
  </si>
  <si>
    <t>IV028</t>
  </si>
  <si>
    <t>IV029</t>
  </si>
  <si>
    <t>IV030</t>
  </si>
  <si>
    <t>IV031</t>
  </si>
  <si>
    <t>IV032</t>
  </si>
  <si>
    <t>IV033</t>
  </si>
  <si>
    <t>IV034</t>
  </si>
  <si>
    <t>IV035</t>
  </si>
  <si>
    <t>IV036</t>
  </si>
  <si>
    <t>IV037</t>
  </si>
  <si>
    <t>IV038</t>
  </si>
  <si>
    <t>IV039</t>
  </si>
  <si>
    <t>IV040</t>
  </si>
  <si>
    <t>IV041</t>
  </si>
  <si>
    <t>IV042</t>
  </si>
  <si>
    <t>IV043</t>
  </si>
  <si>
    <t>IV044</t>
  </si>
  <si>
    <t>IV045</t>
  </si>
  <si>
    <t>IV046</t>
  </si>
  <si>
    <t>IV047</t>
  </si>
  <si>
    <t>IV048</t>
  </si>
  <si>
    <t>IV049</t>
  </si>
  <si>
    <t>IV050</t>
  </si>
  <si>
    <t>IV051</t>
  </si>
  <si>
    <t>After_meal</t>
  </si>
  <si>
    <t>IV052</t>
  </si>
  <si>
    <t>IV053</t>
  </si>
  <si>
    <t>IV054</t>
  </si>
  <si>
    <t>IV055</t>
  </si>
  <si>
    <t>IV056</t>
  </si>
  <si>
    <t>IV057</t>
  </si>
  <si>
    <t>IV058</t>
  </si>
  <si>
    <t>IV059</t>
  </si>
  <si>
    <t>IV060</t>
  </si>
  <si>
    <t>IV061</t>
  </si>
  <si>
    <t>IV062</t>
  </si>
  <si>
    <t>IV063</t>
  </si>
  <si>
    <t>IV064</t>
  </si>
  <si>
    <t>IV065</t>
  </si>
  <si>
    <t>IV066</t>
  </si>
  <si>
    <t>IV067</t>
  </si>
  <si>
    <t>IV068</t>
  </si>
  <si>
    <t>IV069</t>
  </si>
  <si>
    <t>IV070</t>
  </si>
  <si>
    <t>IV071</t>
  </si>
  <si>
    <t>IV072</t>
  </si>
  <si>
    <t>IV073</t>
  </si>
  <si>
    <t>IV074</t>
  </si>
  <si>
    <t>IV075</t>
  </si>
  <si>
    <t>IV076</t>
  </si>
  <si>
    <t>IV077</t>
  </si>
  <si>
    <t>IV078</t>
  </si>
  <si>
    <t>IV079</t>
  </si>
  <si>
    <t>IV080</t>
  </si>
  <si>
    <t>IV081</t>
  </si>
  <si>
    <t>IV082</t>
  </si>
  <si>
    <t>IV083</t>
  </si>
  <si>
    <t>IV084</t>
  </si>
  <si>
    <t>IV085</t>
  </si>
  <si>
    <t>IV086</t>
  </si>
  <si>
    <t>IV087</t>
  </si>
  <si>
    <t>IV088</t>
  </si>
  <si>
    <t>IV089</t>
  </si>
  <si>
    <t>IV090</t>
  </si>
  <si>
    <t>IV091</t>
  </si>
  <si>
    <t>IV092</t>
  </si>
  <si>
    <t>IV093</t>
  </si>
  <si>
    <t>IV094</t>
  </si>
  <si>
    <t>IV095</t>
  </si>
  <si>
    <t>IV096</t>
  </si>
  <si>
    <t>IV097</t>
  </si>
  <si>
    <t>IV098</t>
  </si>
  <si>
    <t>IV099</t>
  </si>
  <si>
    <t>IV100</t>
  </si>
  <si>
    <t>Enrollment_Date</t>
  </si>
  <si>
    <t xml:space="preserve">Measurement_Date </t>
  </si>
  <si>
    <t xml:space="preserve">Age_Years </t>
  </si>
  <si>
    <t xml:space="preserve">Sex </t>
  </si>
  <si>
    <t>Measurement_Condition (Fasting/Before_Food/After_Food/Random/Other)</t>
  </si>
  <si>
    <t>Measurement_ Time</t>
  </si>
  <si>
    <t>Actual_Value (mg/dL)</t>
  </si>
  <si>
    <t>OOF_Predicted_Value (mg/dL)</t>
  </si>
  <si>
    <t>Bias_Pred_minus (mg/dL)</t>
  </si>
  <si>
    <t>Absolute_Error (mg/dL)</t>
  </si>
  <si>
    <t>Clarke_Zone</t>
  </si>
  <si>
    <t>Zone_Description</t>
  </si>
  <si>
    <t>Out_of_0_400_range</t>
  </si>
  <si>
    <t>05:30:00</t>
  </si>
  <si>
    <t>A</t>
  </si>
  <si>
    <t>Clinically accurate</t>
  </si>
  <si>
    <t>06:00:00</t>
  </si>
  <si>
    <t>06:30:00</t>
  </si>
  <si>
    <t>07:00:00</t>
  </si>
  <si>
    <t>07:30:00</t>
  </si>
  <si>
    <t>08:00:00</t>
  </si>
  <si>
    <t>08:30:00</t>
  </si>
  <si>
    <t>09:00:00</t>
  </si>
  <si>
    <t>09:30:00</t>
  </si>
  <si>
    <t>09:45:00</t>
  </si>
  <si>
    <t>09:20:00</t>
  </si>
  <si>
    <t>09:40:00</t>
  </si>
  <si>
    <t>10:00:00</t>
  </si>
  <si>
    <t>10:20:00</t>
  </si>
  <si>
    <t>10:40:00</t>
  </si>
  <si>
    <t>11:00:00</t>
  </si>
  <si>
    <t>11:20:00</t>
  </si>
  <si>
    <t>11:40:00</t>
  </si>
  <si>
    <t>12:00:00</t>
  </si>
  <si>
    <t>Observation_Row</t>
  </si>
  <si>
    <t>Fold</t>
  </si>
  <si>
    <t>Observed_ Lab_ Value (mg/dL)</t>
  </si>
  <si>
    <t>Prediction_Error_Predicted_minus_Observed (mg/dL)</t>
  </si>
  <si>
    <t>Cross_Validated_Prediction (mg/dL)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</si>
</sst>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9" formatCode="[$-14009]yyyy/mm/dd;@"/>
  </numFmts>
  <fonts count="11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sz val="11"/>
      <color rgb="FF000000"/>
      <name val="Cambria"/>
      <family val="1"/>
      <scheme val="major"/>
    </font>
    <font>
      <sz val="11"/>
      <color rgb="FF000000"/>
      <name val="Cambria"/>
      <family val="1"/>
      <scheme val="major"/>
    </font>
    <font>
      <b/>
      <sz val="13.5"/>
      <color theme="1"/>
      <name val="Cambria"/>
      <family val="1"/>
      <scheme val="major"/>
    </font>
    <font>
      <b/>
      <sz val="11"/>
      <color rgb="FFFFFFFF"/>
      <name val="Cambria"/>
      <family val="1"/>
      <scheme val="major"/>
    </font>
    <font>
      <sz val="12"/>
      <color theme="1"/>
      <name val="Cambria"/>
      <family val="1"/>
      <scheme val="major"/>
    </font>
    <font>
      <b/>
      <sz val="13"/>
      <color rgb="FFFFFFFF"/>
      <name val="Cambria"/>
      <family val="1"/>
      <scheme val="major"/>
    </font>
    <font>
      <b/>
      <sz val="11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7" fillId="2" borderId="0" xfId="0" applyFont="1" applyFill="1" applyAlignment="1">
      <alignment horizontal="center" vertical="center" wrapText="1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20" fontId="2" fillId="3" borderId="1" xfId="0" applyNumberFormat="1" applyFont="1" applyFill="1" applyBorder="1" applyAlignment="1">
      <alignment horizontal="right"/>
    </xf>
    <xf numFmtId="2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7" fillId="2" borderId="0" xfId="0" applyFont="1" applyFill="1" applyAlignment="1">
      <alignment vertical="top" wrapText="1"/>
    </xf>
    <xf numFmtId="0" fontId="2" fillId="0" borderId="1" xfId="0" applyFont="1" applyBorder="1" applyAlignment="1">
      <alignment vertical="top" wrapText="1"/>
    </xf>
    <xf numFmtId="169" fontId="2" fillId="0" borderId="1" xfId="0" applyNumberFormat="1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164" fontId="5" fillId="0" borderId="1" xfId="0" applyNumberFormat="1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9" fillId="2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0" fillId="5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17975-E28F-47D5-8712-DDB5D37EFDF5}">
  <dimension ref="A1:O502"/>
  <sheetViews>
    <sheetView tabSelected="1" workbookViewId="0">
      <selection activeCell="Q13" sqref="Q13"/>
    </sheetView>
  </sheetViews>
  <sheetFormatPr defaultRowHeight="13.8" x14ac:dyDescent="0.25"/>
  <cols>
    <col min="1" max="1" width="9.77734375" style="1" bestFit="1" customWidth="1"/>
    <col min="2" max="3" width="8.88671875" style="1"/>
    <col min="4" max="4" width="7.88671875" style="1" bestFit="1" customWidth="1"/>
    <col min="5" max="13" width="10.5546875" style="1" bestFit="1" customWidth="1"/>
    <col min="14" max="15" width="11.5546875" style="1" bestFit="1" customWidth="1"/>
    <col min="16" max="16384" width="8.88671875" style="1"/>
  </cols>
  <sheetData>
    <row r="1" spans="1:15" ht="42.6" customHeight="1" x14ac:dyDescent="0.25">
      <c r="A1" s="11" t="s">
        <v>517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5" ht="55.2" x14ac:dyDescent="0.25">
      <c r="A2" s="2" t="s">
        <v>515</v>
      </c>
      <c r="B2" s="2" t="s">
        <v>0</v>
      </c>
      <c r="C2" s="2" t="s">
        <v>1</v>
      </c>
      <c r="D2" s="3" t="s">
        <v>516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</row>
    <row r="3" spans="1:15" x14ac:dyDescent="0.25">
      <c r="A3" s="5" t="s">
        <v>15</v>
      </c>
      <c r="B3" s="5">
        <v>43</v>
      </c>
      <c r="C3" s="5" t="s">
        <v>2</v>
      </c>
      <c r="D3" s="6">
        <v>100</v>
      </c>
      <c r="E3" s="7">
        <v>20.273</v>
      </c>
      <c r="F3" s="7">
        <v>4.351</v>
      </c>
      <c r="G3" s="7">
        <v>4.7030000000000003</v>
      </c>
      <c r="H3" s="7">
        <v>3.9359999999999999</v>
      </c>
      <c r="I3" s="7">
        <v>3.9129999999999998</v>
      </c>
      <c r="J3" s="7">
        <v>4.1459999999999999</v>
      </c>
      <c r="K3" s="7">
        <v>5.8860000000000001</v>
      </c>
      <c r="L3" s="7">
        <v>5.42</v>
      </c>
      <c r="M3" s="7">
        <v>5.383</v>
      </c>
      <c r="N3" s="7">
        <v>5.4740000000000002</v>
      </c>
      <c r="O3" s="7">
        <v>4.8890000000000002</v>
      </c>
    </row>
    <row r="4" spans="1:15" x14ac:dyDescent="0.25">
      <c r="A4" s="5" t="s">
        <v>16</v>
      </c>
      <c r="B4" s="5">
        <v>81</v>
      </c>
      <c r="C4" s="5" t="s">
        <v>3</v>
      </c>
      <c r="D4" s="6">
        <v>114</v>
      </c>
      <c r="E4" s="7">
        <v>23.181999999999999</v>
      </c>
      <c r="F4" s="7">
        <v>6.181</v>
      </c>
      <c r="G4" s="7">
        <v>5.258</v>
      </c>
      <c r="H4" s="7">
        <v>4.319</v>
      </c>
      <c r="I4" s="7">
        <v>5.6580000000000004</v>
      </c>
      <c r="J4" s="7">
        <v>4.99</v>
      </c>
      <c r="K4" s="7">
        <v>5.4790000000000001</v>
      </c>
      <c r="L4" s="7">
        <v>4.8</v>
      </c>
      <c r="M4" s="7">
        <v>4.5789999999999997</v>
      </c>
      <c r="N4" s="7">
        <v>5.383</v>
      </c>
      <c r="O4" s="7">
        <v>4.984</v>
      </c>
    </row>
    <row r="5" spans="1:15" x14ac:dyDescent="0.25">
      <c r="A5" s="5" t="s">
        <v>17</v>
      </c>
      <c r="B5" s="5">
        <v>29</v>
      </c>
      <c r="C5" s="5" t="s">
        <v>3</v>
      </c>
      <c r="D5" s="6">
        <v>96</v>
      </c>
      <c r="E5" s="7">
        <v>18.507999999999999</v>
      </c>
      <c r="F5" s="7">
        <v>3.89</v>
      </c>
      <c r="G5" s="7">
        <v>5.0330000000000004</v>
      </c>
      <c r="H5" s="7">
        <v>4.8120000000000003</v>
      </c>
      <c r="I5" s="7">
        <v>3.2229999999999999</v>
      </c>
      <c r="J5" s="7">
        <v>5.5490000000000004</v>
      </c>
      <c r="K5" s="7">
        <v>4.1740000000000004</v>
      </c>
      <c r="L5" s="7">
        <v>3.9460000000000002</v>
      </c>
      <c r="M5" s="7">
        <v>4.5739999999999998</v>
      </c>
      <c r="N5" s="7">
        <v>5.2949999999999999</v>
      </c>
      <c r="O5" s="7">
        <v>5.234</v>
      </c>
    </row>
    <row r="6" spans="1:15" x14ac:dyDescent="0.25">
      <c r="A6" s="5" t="s">
        <v>18</v>
      </c>
      <c r="B6" s="5">
        <v>21</v>
      </c>
      <c r="C6" s="5" t="s">
        <v>3</v>
      </c>
      <c r="D6" s="6">
        <v>118</v>
      </c>
      <c r="E6" s="7">
        <v>23.231000000000002</v>
      </c>
      <c r="F6" s="7">
        <v>6.7809999999999997</v>
      </c>
      <c r="G6" s="7">
        <v>4.9480000000000004</v>
      </c>
      <c r="H6" s="7">
        <v>5.3390000000000004</v>
      </c>
      <c r="I6" s="7">
        <v>5.008</v>
      </c>
      <c r="J6" s="7">
        <v>4.0839999999999996</v>
      </c>
      <c r="K6" s="7">
        <v>4.9329999999999998</v>
      </c>
      <c r="L6" s="7">
        <v>4.9089999999999998</v>
      </c>
      <c r="M6" s="7">
        <v>5.0010000000000003</v>
      </c>
      <c r="N6" s="7">
        <v>4.859</v>
      </c>
      <c r="O6" s="7">
        <v>4.859</v>
      </c>
    </row>
    <row r="7" spans="1:15" x14ac:dyDescent="0.25">
      <c r="A7" s="5" t="s">
        <v>19</v>
      </c>
      <c r="B7" s="5">
        <v>23</v>
      </c>
      <c r="C7" s="5" t="s">
        <v>2</v>
      </c>
      <c r="D7" s="6">
        <v>127</v>
      </c>
      <c r="E7" s="7">
        <v>25.331</v>
      </c>
      <c r="F7" s="7">
        <v>5.9260000000000002</v>
      </c>
      <c r="G7" s="7">
        <v>2.2610000000000001</v>
      </c>
      <c r="H7" s="7">
        <v>5.319</v>
      </c>
      <c r="I7" s="7">
        <v>6.9109999999999996</v>
      </c>
      <c r="J7" s="7">
        <v>4.4909999999999997</v>
      </c>
      <c r="K7" s="7">
        <v>4.9050000000000002</v>
      </c>
      <c r="L7" s="7">
        <v>5.0949999999999998</v>
      </c>
      <c r="M7" s="7">
        <v>5.2439999999999998</v>
      </c>
      <c r="N7" s="7">
        <v>5.2220000000000004</v>
      </c>
      <c r="O7" s="7">
        <v>4.9509999999999996</v>
      </c>
    </row>
    <row r="8" spans="1:15" x14ac:dyDescent="0.25">
      <c r="A8" s="5" t="s">
        <v>20</v>
      </c>
      <c r="B8" s="5">
        <v>23</v>
      </c>
      <c r="C8" s="5" t="s">
        <v>3</v>
      </c>
      <c r="D8" s="6">
        <v>135</v>
      </c>
      <c r="E8" s="7">
        <v>27.314</v>
      </c>
      <c r="F8" s="7">
        <v>6.774</v>
      </c>
      <c r="G8" s="7">
        <v>2.2069999999999999</v>
      </c>
      <c r="H8" s="7">
        <v>3.8919999999999999</v>
      </c>
      <c r="I8" s="7">
        <v>5.4420000000000002</v>
      </c>
      <c r="J8" s="7">
        <v>4.8090000000000002</v>
      </c>
      <c r="K8" s="7">
        <v>5.7190000000000003</v>
      </c>
      <c r="L8" s="7">
        <v>4.7</v>
      </c>
      <c r="M8" s="7">
        <v>4.8369999999999997</v>
      </c>
      <c r="N8" s="7">
        <v>4.4589999999999996</v>
      </c>
      <c r="O8" s="7">
        <v>4.875</v>
      </c>
    </row>
    <row r="9" spans="1:15" x14ac:dyDescent="0.25">
      <c r="A9" s="5" t="s">
        <v>21</v>
      </c>
      <c r="B9" s="5">
        <v>47</v>
      </c>
      <c r="C9" s="5" t="s">
        <v>2</v>
      </c>
      <c r="D9" s="6">
        <v>144</v>
      </c>
      <c r="E9" s="7">
        <v>29.077000000000002</v>
      </c>
      <c r="F9" s="7">
        <v>8.3279999999999994</v>
      </c>
      <c r="G9" s="7">
        <v>4.7309999999999999</v>
      </c>
      <c r="H9" s="7">
        <v>5.8390000000000004</v>
      </c>
      <c r="I9" s="7">
        <v>5.2080000000000002</v>
      </c>
      <c r="J9" s="7">
        <v>5.9109999999999996</v>
      </c>
      <c r="K9" s="7">
        <v>5.3390000000000004</v>
      </c>
      <c r="L9" s="7">
        <v>4.6349999999999998</v>
      </c>
      <c r="M9" s="7">
        <v>4.9320000000000004</v>
      </c>
      <c r="N9" s="7">
        <v>4.9269999999999996</v>
      </c>
      <c r="O9" s="7">
        <v>5.0410000000000004</v>
      </c>
    </row>
    <row r="10" spans="1:15" x14ac:dyDescent="0.25">
      <c r="A10" s="5" t="s">
        <v>22</v>
      </c>
      <c r="B10" s="5">
        <v>84</v>
      </c>
      <c r="C10" s="5" t="s">
        <v>3</v>
      </c>
      <c r="D10" s="6">
        <v>119</v>
      </c>
      <c r="E10" s="7">
        <v>23.95</v>
      </c>
      <c r="F10" s="7">
        <v>5.7949999999999999</v>
      </c>
      <c r="G10" s="7">
        <v>3.7210000000000001</v>
      </c>
      <c r="H10" s="7">
        <v>5.5010000000000003</v>
      </c>
      <c r="I10" s="7">
        <v>4.7729999999999997</v>
      </c>
      <c r="J10" s="7">
        <v>5.4290000000000003</v>
      </c>
      <c r="K10" s="7">
        <v>5.0279999999999996</v>
      </c>
      <c r="L10" s="7">
        <v>5.01</v>
      </c>
      <c r="M10" s="7">
        <v>5.3689999999999998</v>
      </c>
      <c r="N10" s="7">
        <v>4.8739999999999997</v>
      </c>
      <c r="O10" s="7">
        <v>4.7610000000000001</v>
      </c>
    </row>
    <row r="11" spans="1:15" x14ac:dyDescent="0.25">
      <c r="A11" s="5" t="s">
        <v>23</v>
      </c>
      <c r="B11" s="5">
        <v>68</v>
      </c>
      <c r="C11" s="5" t="s">
        <v>2</v>
      </c>
      <c r="D11" s="6">
        <v>122</v>
      </c>
      <c r="E11" s="7">
        <v>24.396000000000001</v>
      </c>
      <c r="F11" s="7">
        <v>6.2709999999999999</v>
      </c>
      <c r="G11" s="7">
        <v>4.2930000000000001</v>
      </c>
      <c r="H11" s="7">
        <v>5.984</v>
      </c>
      <c r="I11" s="7">
        <v>5.8129999999999997</v>
      </c>
      <c r="J11" s="7">
        <v>4.8520000000000003</v>
      </c>
      <c r="K11" s="7">
        <v>4.6139999999999999</v>
      </c>
      <c r="L11" s="7">
        <v>4.7350000000000003</v>
      </c>
      <c r="M11" s="7">
        <v>5.2670000000000003</v>
      </c>
      <c r="N11" s="7">
        <v>5.01</v>
      </c>
      <c r="O11" s="7">
        <v>4.8449999999999998</v>
      </c>
    </row>
    <row r="12" spans="1:15" x14ac:dyDescent="0.25">
      <c r="A12" s="5" t="s">
        <v>24</v>
      </c>
      <c r="B12" s="5">
        <v>43</v>
      </c>
      <c r="C12" s="5" t="s">
        <v>2</v>
      </c>
      <c r="D12" s="6">
        <v>98</v>
      </c>
      <c r="E12" s="7">
        <v>19.79</v>
      </c>
      <c r="F12" s="7">
        <v>3.5569999999999999</v>
      </c>
      <c r="G12" s="7">
        <v>4.5350000000000001</v>
      </c>
      <c r="H12" s="7">
        <v>5.3680000000000003</v>
      </c>
      <c r="I12" s="7">
        <v>4.048</v>
      </c>
      <c r="J12" s="7">
        <v>4.3739999999999997</v>
      </c>
      <c r="K12" s="7">
        <v>4.6150000000000002</v>
      </c>
      <c r="L12" s="7">
        <v>5.7290000000000001</v>
      </c>
      <c r="M12" s="7">
        <v>4.7480000000000002</v>
      </c>
      <c r="N12" s="7">
        <v>5.1890000000000001</v>
      </c>
      <c r="O12" s="7">
        <v>4.782</v>
      </c>
    </row>
    <row r="13" spans="1:15" x14ac:dyDescent="0.25">
      <c r="A13" s="5" t="s">
        <v>25</v>
      </c>
      <c r="B13" s="5">
        <v>76</v>
      </c>
      <c r="C13" s="5" t="s">
        <v>2</v>
      </c>
      <c r="D13" s="6">
        <v>100</v>
      </c>
      <c r="E13" s="7">
        <v>20.178000000000001</v>
      </c>
      <c r="F13" s="7">
        <v>4.242</v>
      </c>
      <c r="G13" s="7">
        <v>4.9889999999999999</v>
      </c>
      <c r="H13" s="7">
        <v>4.5359999999999996</v>
      </c>
      <c r="I13" s="7">
        <v>4.5140000000000002</v>
      </c>
      <c r="J13" s="7">
        <v>5.8879999999999999</v>
      </c>
      <c r="K13" s="7">
        <v>5.75</v>
      </c>
      <c r="L13" s="7">
        <v>5.42</v>
      </c>
      <c r="M13" s="7">
        <v>5.6479999999999997</v>
      </c>
      <c r="N13" s="7">
        <v>4.9690000000000003</v>
      </c>
      <c r="O13" s="7">
        <v>5.1779999999999999</v>
      </c>
    </row>
    <row r="14" spans="1:15" x14ac:dyDescent="0.25">
      <c r="A14" s="5" t="s">
        <v>26</v>
      </c>
      <c r="B14" s="5">
        <v>76</v>
      </c>
      <c r="C14" s="5" t="s">
        <v>2</v>
      </c>
      <c r="D14" s="6">
        <v>103</v>
      </c>
      <c r="E14" s="7">
        <v>20.545000000000002</v>
      </c>
      <c r="F14" s="7">
        <v>4.1539999999999999</v>
      </c>
      <c r="G14" s="7">
        <v>3.9990000000000001</v>
      </c>
      <c r="H14" s="7">
        <v>5.7039999999999997</v>
      </c>
      <c r="I14" s="7">
        <v>5.1660000000000004</v>
      </c>
      <c r="J14" s="7">
        <v>5.093</v>
      </c>
      <c r="K14" s="7">
        <v>5.0919999999999996</v>
      </c>
      <c r="L14" s="7">
        <v>4.7220000000000004</v>
      </c>
      <c r="M14" s="7">
        <v>4.9409999999999998</v>
      </c>
      <c r="N14" s="7">
        <v>4.9169999999999998</v>
      </c>
      <c r="O14" s="7">
        <v>4.8220000000000001</v>
      </c>
    </row>
    <row r="15" spans="1:15" x14ac:dyDescent="0.25">
      <c r="A15" s="5" t="s">
        <v>27</v>
      </c>
      <c r="B15" s="5">
        <v>50</v>
      </c>
      <c r="C15" s="5" t="s">
        <v>3</v>
      </c>
      <c r="D15" s="6">
        <v>102</v>
      </c>
      <c r="E15" s="7">
        <v>19.988</v>
      </c>
      <c r="F15" s="7">
        <v>4.4269999999999996</v>
      </c>
      <c r="G15" s="7">
        <v>5.3419999999999996</v>
      </c>
      <c r="H15" s="7">
        <v>3.93</v>
      </c>
      <c r="I15" s="7">
        <v>5.8570000000000002</v>
      </c>
      <c r="J15" s="7">
        <v>4.1870000000000003</v>
      </c>
      <c r="K15" s="7">
        <v>3.9780000000000002</v>
      </c>
      <c r="L15" s="7">
        <v>5.0810000000000004</v>
      </c>
      <c r="M15" s="7">
        <v>4.6399999999999997</v>
      </c>
      <c r="N15" s="7">
        <v>4.6950000000000003</v>
      </c>
      <c r="O15" s="7">
        <v>4.8369999999999997</v>
      </c>
    </row>
    <row r="16" spans="1:15" x14ac:dyDescent="0.25">
      <c r="A16" s="5" t="s">
        <v>28</v>
      </c>
      <c r="B16" s="5">
        <v>70</v>
      </c>
      <c r="C16" s="5" t="s">
        <v>2</v>
      </c>
      <c r="D16" s="6">
        <v>101</v>
      </c>
      <c r="E16" s="7">
        <v>20.128</v>
      </c>
      <c r="F16" s="7">
        <v>4.4409999999999998</v>
      </c>
      <c r="G16" s="7">
        <v>5.1550000000000002</v>
      </c>
      <c r="H16" s="7">
        <v>4.9390000000000001</v>
      </c>
      <c r="I16" s="7">
        <v>6.4169999999999998</v>
      </c>
      <c r="J16" s="7">
        <v>3.97</v>
      </c>
      <c r="K16" s="7">
        <v>5.5730000000000004</v>
      </c>
      <c r="L16" s="7">
        <v>5.2919999999999998</v>
      </c>
      <c r="M16" s="7">
        <v>5.3650000000000002</v>
      </c>
      <c r="N16" s="7">
        <v>4.3259999999999996</v>
      </c>
      <c r="O16" s="7">
        <v>4.7809999999999997</v>
      </c>
    </row>
    <row r="17" spans="1:15" x14ac:dyDescent="0.25">
      <c r="A17" s="5" t="s">
        <v>29</v>
      </c>
      <c r="B17" s="5">
        <v>39</v>
      </c>
      <c r="C17" s="5" t="s">
        <v>3</v>
      </c>
      <c r="D17" s="6">
        <v>105</v>
      </c>
      <c r="E17" s="7">
        <v>21.349</v>
      </c>
      <c r="F17" s="7">
        <v>5.1779999999999999</v>
      </c>
      <c r="G17" s="7">
        <v>6.0380000000000003</v>
      </c>
      <c r="H17" s="7">
        <v>3.1930000000000001</v>
      </c>
      <c r="I17" s="7">
        <v>4.4790000000000001</v>
      </c>
      <c r="J17" s="7">
        <v>5.5339999999999998</v>
      </c>
      <c r="K17" s="7">
        <v>4.0090000000000003</v>
      </c>
      <c r="L17" s="7">
        <v>4.99</v>
      </c>
      <c r="M17" s="7">
        <v>4.9880000000000004</v>
      </c>
      <c r="N17" s="7">
        <v>4.7869999999999999</v>
      </c>
      <c r="O17" s="7">
        <v>5.032</v>
      </c>
    </row>
    <row r="18" spans="1:15" x14ac:dyDescent="0.25">
      <c r="A18" s="5" t="s">
        <v>30</v>
      </c>
      <c r="B18" s="5">
        <v>38</v>
      </c>
      <c r="C18" s="5" t="s">
        <v>3</v>
      </c>
      <c r="D18" s="6">
        <v>97</v>
      </c>
      <c r="E18" s="7">
        <v>19.509</v>
      </c>
      <c r="F18" s="7">
        <v>4.8029999999999999</v>
      </c>
      <c r="G18" s="7">
        <v>6.51</v>
      </c>
      <c r="H18" s="7">
        <v>5.71</v>
      </c>
      <c r="I18" s="7">
        <v>4.0890000000000004</v>
      </c>
      <c r="J18" s="7">
        <v>4.1989999999999998</v>
      </c>
      <c r="K18" s="7">
        <v>4.476</v>
      </c>
      <c r="L18" s="7">
        <v>5.8920000000000003</v>
      </c>
      <c r="M18" s="7">
        <v>5.6180000000000003</v>
      </c>
      <c r="N18" s="7">
        <v>5.0490000000000004</v>
      </c>
      <c r="O18" s="7">
        <v>5.0270000000000001</v>
      </c>
    </row>
    <row r="19" spans="1:15" x14ac:dyDescent="0.25">
      <c r="A19" s="5" t="s">
        <v>31</v>
      </c>
      <c r="B19" s="5">
        <v>21</v>
      </c>
      <c r="C19" s="5" t="s">
        <v>3</v>
      </c>
      <c r="D19" s="6">
        <v>110</v>
      </c>
      <c r="E19" s="7">
        <v>22.408999999999999</v>
      </c>
      <c r="F19" s="7">
        <v>5.5860000000000003</v>
      </c>
      <c r="G19" s="7">
        <v>5.3079999999999998</v>
      </c>
      <c r="H19" s="7">
        <v>5.5309999999999997</v>
      </c>
      <c r="I19" s="7">
        <v>5.3250000000000002</v>
      </c>
      <c r="J19" s="7">
        <v>5.093</v>
      </c>
      <c r="K19" s="7">
        <v>4.8410000000000002</v>
      </c>
      <c r="L19" s="7">
        <v>6.0149999999999997</v>
      </c>
      <c r="M19" s="7">
        <v>4.4640000000000004</v>
      </c>
      <c r="N19" s="7">
        <v>4.7320000000000002</v>
      </c>
      <c r="O19" s="7">
        <v>4.883</v>
      </c>
    </row>
    <row r="20" spans="1:15" x14ac:dyDescent="0.25">
      <c r="A20" s="5" t="s">
        <v>32</v>
      </c>
      <c r="B20" s="5">
        <v>79</v>
      </c>
      <c r="C20" s="5" t="s">
        <v>3</v>
      </c>
      <c r="D20" s="6">
        <v>107</v>
      </c>
      <c r="E20" s="7">
        <v>21.521999999999998</v>
      </c>
      <c r="F20" s="7">
        <v>4.1479999999999997</v>
      </c>
      <c r="G20" s="7">
        <v>3.343</v>
      </c>
      <c r="H20" s="7">
        <v>4.0179999999999998</v>
      </c>
      <c r="I20" s="7">
        <v>5.6260000000000003</v>
      </c>
      <c r="J20" s="7">
        <v>5.78</v>
      </c>
      <c r="K20" s="7">
        <v>4.8289999999999997</v>
      </c>
      <c r="L20" s="7">
        <v>4.9690000000000003</v>
      </c>
      <c r="M20" s="7">
        <v>4.9980000000000002</v>
      </c>
      <c r="N20" s="7">
        <v>5.33</v>
      </c>
      <c r="O20" s="7">
        <v>5.266</v>
      </c>
    </row>
    <row r="21" spans="1:15" x14ac:dyDescent="0.25">
      <c r="A21" s="5" t="s">
        <v>33</v>
      </c>
      <c r="B21" s="5">
        <v>79</v>
      </c>
      <c r="C21" s="5" t="s">
        <v>2</v>
      </c>
      <c r="D21" s="6">
        <v>116</v>
      </c>
      <c r="E21" s="7">
        <v>22.738</v>
      </c>
      <c r="F21" s="7">
        <v>5.8</v>
      </c>
      <c r="G21" s="7">
        <v>4.2690000000000001</v>
      </c>
      <c r="H21" s="7">
        <v>4.9710000000000001</v>
      </c>
      <c r="I21" s="7">
        <v>6.1150000000000002</v>
      </c>
      <c r="J21" s="7">
        <v>4.6210000000000004</v>
      </c>
      <c r="K21" s="7">
        <v>4.5289999999999999</v>
      </c>
      <c r="L21" s="7">
        <v>5.3940000000000001</v>
      </c>
      <c r="M21" s="7">
        <v>5.3170000000000002</v>
      </c>
      <c r="N21" s="7">
        <v>4.62</v>
      </c>
      <c r="O21" s="7">
        <v>5.2489999999999997</v>
      </c>
    </row>
    <row r="22" spans="1:15" x14ac:dyDescent="0.25">
      <c r="A22" s="5" t="s">
        <v>34</v>
      </c>
      <c r="B22" s="5">
        <v>41</v>
      </c>
      <c r="C22" s="5" t="s">
        <v>2</v>
      </c>
      <c r="D22" s="6">
        <v>87</v>
      </c>
      <c r="E22" s="7">
        <v>16.501999999999999</v>
      </c>
      <c r="F22" s="7">
        <v>3.4910000000000001</v>
      </c>
      <c r="G22" s="7">
        <v>4.4770000000000003</v>
      </c>
      <c r="H22" s="7">
        <v>4.4139999999999997</v>
      </c>
      <c r="I22" s="7">
        <v>5.2480000000000002</v>
      </c>
      <c r="J22" s="7">
        <v>3.8860000000000001</v>
      </c>
      <c r="K22" s="7">
        <v>4.3559999999999999</v>
      </c>
      <c r="L22" s="7">
        <v>4.9909999999999997</v>
      </c>
      <c r="M22" s="7">
        <v>5.5880000000000001</v>
      </c>
      <c r="N22" s="7">
        <v>5.4379999999999997</v>
      </c>
      <c r="O22" s="7">
        <v>4.8310000000000004</v>
      </c>
    </row>
    <row r="23" spans="1:15" x14ac:dyDescent="0.25">
      <c r="A23" s="5" t="s">
        <v>35</v>
      </c>
      <c r="B23" s="5">
        <v>72</v>
      </c>
      <c r="C23" s="5" t="s">
        <v>3</v>
      </c>
      <c r="D23" s="6">
        <v>119</v>
      </c>
      <c r="E23" s="7">
        <v>23.853000000000002</v>
      </c>
      <c r="F23" s="7">
        <v>5.8760000000000003</v>
      </c>
      <c r="G23" s="7">
        <v>4.7869999999999999</v>
      </c>
      <c r="H23" s="7">
        <v>7.1529999999999996</v>
      </c>
      <c r="I23" s="7">
        <v>5.7990000000000004</v>
      </c>
      <c r="J23" s="7">
        <v>4.0110000000000001</v>
      </c>
      <c r="K23" s="7">
        <v>4.5620000000000003</v>
      </c>
      <c r="L23" s="7">
        <v>5.4059999999999997</v>
      </c>
      <c r="M23" s="7">
        <v>5.0670000000000002</v>
      </c>
      <c r="N23" s="7">
        <v>5.33</v>
      </c>
      <c r="O23" s="7">
        <v>4.9480000000000004</v>
      </c>
    </row>
    <row r="24" spans="1:15" x14ac:dyDescent="0.25">
      <c r="A24" s="5" t="s">
        <v>36</v>
      </c>
      <c r="B24" s="5">
        <v>26</v>
      </c>
      <c r="C24" s="5" t="s">
        <v>2</v>
      </c>
      <c r="D24" s="6">
        <v>107</v>
      </c>
      <c r="E24" s="7">
        <v>21.324000000000002</v>
      </c>
      <c r="F24" s="7">
        <v>4.7569999999999997</v>
      </c>
      <c r="G24" s="7">
        <v>4.7220000000000004</v>
      </c>
      <c r="H24" s="7">
        <v>7.298</v>
      </c>
      <c r="I24" s="7">
        <v>5.73</v>
      </c>
      <c r="J24" s="7">
        <v>4.63</v>
      </c>
      <c r="K24" s="7">
        <v>4.6920000000000002</v>
      </c>
      <c r="L24" s="7">
        <v>4.3600000000000003</v>
      </c>
      <c r="M24" s="7">
        <v>4.601</v>
      </c>
      <c r="N24" s="7">
        <v>4.7809999999999997</v>
      </c>
      <c r="O24" s="7">
        <v>5.0049999999999999</v>
      </c>
    </row>
    <row r="25" spans="1:15" x14ac:dyDescent="0.25">
      <c r="A25" s="5" t="s">
        <v>37</v>
      </c>
      <c r="B25" s="5">
        <v>20</v>
      </c>
      <c r="C25" s="5" t="s">
        <v>3</v>
      </c>
      <c r="D25" s="6">
        <v>97</v>
      </c>
      <c r="E25" s="7">
        <v>19.052</v>
      </c>
      <c r="F25" s="7">
        <v>5.1669999999999998</v>
      </c>
      <c r="G25" s="7">
        <v>6.4939999999999998</v>
      </c>
      <c r="H25" s="7">
        <v>5.5170000000000003</v>
      </c>
      <c r="I25" s="7">
        <v>4.843</v>
      </c>
      <c r="J25" s="7">
        <v>5.798</v>
      </c>
      <c r="K25" s="7">
        <v>6.7279999999999998</v>
      </c>
      <c r="L25" s="7">
        <v>4.4989999999999997</v>
      </c>
      <c r="M25" s="7">
        <v>5.4829999999999997</v>
      </c>
      <c r="N25" s="7">
        <v>5.21</v>
      </c>
      <c r="O25" s="7">
        <v>4.8920000000000003</v>
      </c>
    </row>
    <row r="26" spans="1:15" x14ac:dyDescent="0.25">
      <c r="A26" s="5" t="s">
        <v>38</v>
      </c>
      <c r="B26" s="5">
        <v>48</v>
      </c>
      <c r="C26" s="5" t="s">
        <v>3</v>
      </c>
      <c r="D26" s="6">
        <v>91</v>
      </c>
      <c r="E26" s="7">
        <v>17.594000000000001</v>
      </c>
      <c r="F26" s="7">
        <v>3.0350000000000001</v>
      </c>
      <c r="G26" s="7">
        <v>3.2709999999999999</v>
      </c>
      <c r="H26" s="7">
        <v>6.5010000000000003</v>
      </c>
      <c r="I26" s="7">
        <v>5.2069999999999999</v>
      </c>
      <c r="J26" s="7">
        <v>4.3550000000000004</v>
      </c>
      <c r="K26" s="7">
        <v>4.1829999999999998</v>
      </c>
      <c r="L26" s="7">
        <v>5.5259999999999998</v>
      </c>
      <c r="M26" s="7">
        <v>5.38</v>
      </c>
      <c r="N26" s="7">
        <v>5.2190000000000003</v>
      </c>
      <c r="O26" s="7">
        <v>5.0940000000000003</v>
      </c>
    </row>
    <row r="27" spans="1:15" x14ac:dyDescent="0.25">
      <c r="A27" s="5" t="s">
        <v>39</v>
      </c>
      <c r="B27" s="5">
        <v>57</v>
      </c>
      <c r="C27" s="5" t="s">
        <v>2</v>
      </c>
      <c r="D27" s="6">
        <v>87</v>
      </c>
      <c r="E27" s="7">
        <v>17.138000000000002</v>
      </c>
      <c r="F27" s="7">
        <v>3.73</v>
      </c>
      <c r="G27" s="7">
        <v>6.2009999999999996</v>
      </c>
      <c r="H27" s="7">
        <v>4.8760000000000003</v>
      </c>
      <c r="I27" s="7">
        <v>5.0090000000000003</v>
      </c>
      <c r="J27" s="7">
        <v>4.1239999999999997</v>
      </c>
      <c r="K27" s="7">
        <v>5.6580000000000004</v>
      </c>
      <c r="L27" s="7">
        <v>5.4820000000000002</v>
      </c>
      <c r="M27" s="7">
        <v>5.0750000000000002</v>
      </c>
      <c r="N27" s="7">
        <v>4.7880000000000003</v>
      </c>
      <c r="O27" s="7">
        <v>4.9089999999999998</v>
      </c>
    </row>
    <row r="28" spans="1:15" x14ac:dyDescent="0.25">
      <c r="A28" s="5" t="s">
        <v>40</v>
      </c>
      <c r="B28" s="5">
        <v>53</v>
      </c>
      <c r="C28" s="5" t="s">
        <v>3</v>
      </c>
      <c r="D28" s="6">
        <v>115</v>
      </c>
      <c r="E28" s="7">
        <v>22.931000000000001</v>
      </c>
      <c r="F28" s="7">
        <v>6.1749999999999998</v>
      </c>
      <c r="G28" s="7">
        <v>5.4850000000000003</v>
      </c>
      <c r="H28" s="7">
        <v>5.9039999999999999</v>
      </c>
      <c r="I28" s="7">
        <v>5.423</v>
      </c>
      <c r="J28" s="7">
        <v>3.4140000000000001</v>
      </c>
      <c r="K28" s="7">
        <v>4.3520000000000003</v>
      </c>
      <c r="L28" s="7">
        <v>4.7489999999999997</v>
      </c>
      <c r="M28" s="7">
        <v>4.9930000000000003</v>
      </c>
      <c r="N28" s="7">
        <v>4.9459999999999997</v>
      </c>
      <c r="O28" s="7">
        <v>5.1319999999999997</v>
      </c>
    </row>
    <row r="29" spans="1:15" x14ac:dyDescent="0.25">
      <c r="A29" s="5" t="s">
        <v>41</v>
      </c>
      <c r="B29" s="5">
        <v>41</v>
      </c>
      <c r="C29" s="5" t="s">
        <v>3</v>
      </c>
      <c r="D29" s="6">
        <v>121</v>
      </c>
      <c r="E29" s="7">
        <v>24.437000000000001</v>
      </c>
      <c r="F29" s="7">
        <v>7.0289999999999999</v>
      </c>
      <c r="G29" s="7">
        <v>5.548</v>
      </c>
      <c r="H29" s="7">
        <v>4.7119999999999997</v>
      </c>
      <c r="I29" s="7">
        <v>5.2729999999999997</v>
      </c>
      <c r="J29" s="7">
        <v>5.6040000000000001</v>
      </c>
      <c r="K29" s="7">
        <v>4.2110000000000003</v>
      </c>
      <c r="L29" s="7">
        <v>5.1639999999999997</v>
      </c>
      <c r="M29" s="7">
        <v>5.8</v>
      </c>
      <c r="N29" s="7">
        <v>5.274</v>
      </c>
      <c r="O29" s="7">
        <v>4.8860000000000001</v>
      </c>
    </row>
    <row r="30" spans="1:15" x14ac:dyDescent="0.25">
      <c r="A30" s="5" t="s">
        <v>42</v>
      </c>
      <c r="B30" s="5">
        <v>23</v>
      </c>
      <c r="C30" s="5" t="s">
        <v>2</v>
      </c>
      <c r="D30" s="6">
        <v>95</v>
      </c>
      <c r="E30" s="7">
        <v>19.067</v>
      </c>
      <c r="F30" s="7">
        <v>4.7249999999999996</v>
      </c>
      <c r="G30" s="7">
        <v>5.4260000000000002</v>
      </c>
      <c r="H30" s="7">
        <v>4.0289999999999999</v>
      </c>
      <c r="I30" s="7">
        <v>5.0179999999999998</v>
      </c>
      <c r="J30" s="7">
        <v>4.6420000000000003</v>
      </c>
      <c r="K30" s="7">
        <v>4.6950000000000003</v>
      </c>
      <c r="L30" s="7">
        <v>4.7969999999999997</v>
      </c>
      <c r="M30" s="7">
        <v>4.4180000000000001</v>
      </c>
      <c r="N30" s="7">
        <v>4.8099999999999996</v>
      </c>
      <c r="O30" s="7">
        <v>4.99</v>
      </c>
    </row>
    <row r="31" spans="1:15" x14ac:dyDescent="0.25">
      <c r="A31" s="5" t="s">
        <v>43</v>
      </c>
      <c r="B31" s="5">
        <v>83</v>
      </c>
      <c r="C31" s="5" t="s">
        <v>3</v>
      </c>
      <c r="D31" s="6">
        <v>112</v>
      </c>
      <c r="E31" s="7">
        <v>22.972999999999999</v>
      </c>
      <c r="F31" s="7">
        <v>5.6040000000000001</v>
      </c>
      <c r="G31" s="7">
        <v>5.19</v>
      </c>
      <c r="H31" s="7">
        <v>6.327</v>
      </c>
      <c r="I31" s="7">
        <v>5.7889999999999997</v>
      </c>
      <c r="J31" s="7">
        <v>4.7910000000000004</v>
      </c>
      <c r="K31" s="7">
        <v>4.67</v>
      </c>
      <c r="L31" s="7">
        <v>4.702</v>
      </c>
      <c r="M31" s="7">
        <v>4.6849999999999996</v>
      </c>
      <c r="N31" s="7">
        <v>4.53</v>
      </c>
      <c r="O31" s="7">
        <v>5.2389999999999999</v>
      </c>
    </row>
    <row r="32" spans="1:15" x14ac:dyDescent="0.25">
      <c r="A32" s="5" t="s">
        <v>44</v>
      </c>
      <c r="B32" s="5">
        <v>68</v>
      </c>
      <c r="C32" s="5" t="s">
        <v>3</v>
      </c>
      <c r="D32" s="6">
        <v>89</v>
      </c>
      <c r="E32" s="7">
        <v>17.817</v>
      </c>
      <c r="F32" s="7">
        <v>3.1349999999999998</v>
      </c>
      <c r="G32" s="7">
        <v>4.4420000000000002</v>
      </c>
      <c r="H32" s="7">
        <v>6.1390000000000002</v>
      </c>
      <c r="I32" s="7">
        <v>4.5750000000000002</v>
      </c>
      <c r="J32" s="7">
        <v>4.867</v>
      </c>
      <c r="K32" s="7">
        <v>5.3029999999999999</v>
      </c>
      <c r="L32" s="7">
        <v>4.0119999999999996</v>
      </c>
      <c r="M32" s="7">
        <v>4.6859999999999999</v>
      </c>
      <c r="N32" s="7">
        <v>4.867</v>
      </c>
      <c r="O32" s="7">
        <v>4.8479999999999999</v>
      </c>
    </row>
    <row r="33" spans="1:15" x14ac:dyDescent="0.25">
      <c r="A33" s="5" t="s">
        <v>45</v>
      </c>
      <c r="B33" s="5">
        <v>79</v>
      </c>
      <c r="C33" s="5" t="s">
        <v>2</v>
      </c>
      <c r="D33" s="6">
        <v>88</v>
      </c>
      <c r="E33" s="7">
        <v>17.847000000000001</v>
      </c>
      <c r="F33" s="7">
        <v>3.9489999999999998</v>
      </c>
      <c r="G33" s="7">
        <v>4.9850000000000003</v>
      </c>
      <c r="H33" s="7">
        <v>5.5759999999999996</v>
      </c>
      <c r="I33" s="7">
        <v>3.698</v>
      </c>
      <c r="J33" s="7">
        <v>4.9610000000000003</v>
      </c>
      <c r="K33" s="7">
        <v>4.7919999999999998</v>
      </c>
      <c r="L33" s="7">
        <v>4.9320000000000004</v>
      </c>
      <c r="M33" s="7">
        <v>4.6669999999999998</v>
      </c>
      <c r="N33" s="7">
        <v>4.7679999999999998</v>
      </c>
      <c r="O33" s="7">
        <v>5.12</v>
      </c>
    </row>
    <row r="34" spans="1:15" x14ac:dyDescent="0.25">
      <c r="A34" s="5" t="s">
        <v>46</v>
      </c>
      <c r="B34" s="5">
        <v>74</v>
      </c>
      <c r="C34" s="5" t="s">
        <v>2</v>
      </c>
      <c r="D34" s="6">
        <v>97</v>
      </c>
      <c r="E34" s="7">
        <v>19.245000000000001</v>
      </c>
      <c r="F34" s="7">
        <v>4.5830000000000002</v>
      </c>
      <c r="G34" s="7">
        <v>5.7080000000000002</v>
      </c>
      <c r="H34" s="7">
        <v>5.2649999999999997</v>
      </c>
      <c r="I34" s="7">
        <v>5.9470000000000001</v>
      </c>
      <c r="J34" s="7">
        <v>4.8550000000000004</v>
      </c>
      <c r="K34" s="7">
        <v>4.9690000000000003</v>
      </c>
      <c r="L34" s="7">
        <v>5.242</v>
      </c>
      <c r="M34" s="7">
        <v>5.4009999999999998</v>
      </c>
      <c r="N34" s="7">
        <v>4.6840000000000002</v>
      </c>
      <c r="O34" s="7">
        <v>4.97</v>
      </c>
    </row>
    <row r="35" spans="1:15" x14ac:dyDescent="0.25">
      <c r="A35" s="5" t="s">
        <v>47</v>
      </c>
      <c r="B35" s="5">
        <v>83</v>
      </c>
      <c r="C35" s="5" t="s">
        <v>2</v>
      </c>
      <c r="D35" s="6">
        <v>114</v>
      </c>
      <c r="E35" s="7">
        <v>23.181999999999999</v>
      </c>
      <c r="F35" s="7">
        <v>6.4020000000000001</v>
      </c>
      <c r="G35" s="7">
        <v>4.9180000000000001</v>
      </c>
      <c r="H35" s="7">
        <v>5.1429999999999998</v>
      </c>
      <c r="I35" s="7">
        <v>5.4969999999999999</v>
      </c>
      <c r="J35" s="7">
        <v>4.1749999999999998</v>
      </c>
      <c r="K35" s="7">
        <v>5.6020000000000003</v>
      </c>
      <c r="L35" s="7">
        <v>5.1840000000000002</v>
      </c>
      <c r="M35" s="7">
        <v>4.7919999999999998</v>
      </c>
      <c r="N35" s="7">
        <v>5.3869999999999996</v>
      </c>
      <c r="O35" s="7">
        <v>5.2569999999999997</v>
      </c>
    </row>
    <row r="36" spans="1:15" x14ac:dyDescent="0.25">
      <c r="A36" s="5" t="s">
        <v>48</v>
      </c>
      <c r="B36" s="5">
        <v>25</v>
      </c>
      <c r="C36" s="5" t="s">
        <v>3</v>
      </c>
      <c r="D36" s="6">
        <v>88</v>
      </c>
      <c r="E36" s="7">
        <v>17.704999999999998</v>
      </c>
      <c r="F36" s="7">
        <v>3.6320000000000001</v>
      </c>
      <c r="G36" s="7">
        <v>4.8639999999999999</v>
      </c>
      <c r="H36" s="7">
        <v>4.3970000000000002</v>
      </c>
      <c r="I36" s="7">
        <v>4.2080000000000002</v>
      </c>
      <c r="J36" s="7">
        <v>5.2510000000000003</v>
      </c>
      <c r="K36" s="7">
        <v>5.4089999999999998</v>
      </c>
      <c r="L36" s="7">
        <v>5.0880000000000001</v>
      </c>
      <c r="M36" s="7">
        <v>4.9950000000000001</v>
      </c>
      <c r="N36" s="7">
        <v>4.8760000000000003</v>
      </c>
      <c r="O36" s="7">
        <v>5.1719999999999997</v>
      </c>
    </row>
    <row r="37" spans="1:15" x14ac:dyDescent="0.25">
      <c r="A37" s="5" t="s">
        <v>49</v>
      </c>
      <c r="B37" s="5">
        <v>43</v>
      </c>
      <c r="C37" s="5" t="s">
        <v>3</v>
      </c>
      <c r="D37" s="6">
        <v>112</v>
      </c>
      <c r="E37" s="7">
        <v>22.158000000000001</v>
      </c>
      <c r="F37" s="7">
        <v>4.7069999999999999</v>
      </c>
      <c r="G37" s="7">
        <v>4.1909999999999998</v>
      </c>
      <c r="H37" s="7">
        <v>5.1870000000000003</v>
      </c>
      <c r="I37" s="7">
        <v>5.0819999999999999</v>
      </c>
      <c r="J37" s="7">
        <v>4.7119999999999997</v>
      </c>
      <c r="K37" s="7">
        <v>4.6260000000000003</v>
      </c>
      <c r="L37" s="7">
        <v>4.8220000000000001</v>
      </c>
      <c r="M37" s="7">
        <v>5.2510000000000003</v>
      </c>
      <c r="N37" s="7">
        <v>5.0289999999999999</v>
      </c>
      <c r="O37" s="7">
        <v>4.9269999999999996</v>
      </c>
    </row>
    <row r="38" spans="1:15" x14ac:dyDescent="0.25">
      <c r="A38" s="5" t="s">
        <v>50</v>
      </c>
      <c r="B38" s="5">
        <v>62</v>
      </c>
      <c r="C38" s="5" t="s">
        <v>3</v>
      </c>
      <c r="D38" s="6">
        <v>104</v>
      </c>
      <c r="E38" s="7">
        <v>20.715</v>
      </c>
      <c r="F38" s="7">
        <v>5.0659999999999998</v>
      </c>
      <c r="G38" s="7">
        <v>5.5730000000000004</v>
      </c>
      <c r="H38" s="7">
        <v>3.819</v>
      </c>
      <c r="I38" s="7">
        <v>4.6870000000000003</v>
      </c>
      <c r="J38" s="7">
        <v>4.5330000000000004</v>
      </c>
      <c r="K38" s="7">
        <v>5.6959999999999997</v>
      </c>
      <c r="L38" s="7">
        <v>5.6109999999999998</v>
      </c>
      <c r="M38" s="7">
        <v>4.7300000000000004</v>
      </c>
      <c r="N38" s="7">
        <v>4.9279999999999999</v>
      </c>
      <c r="O38" s="7">
        <v>4.9980000000000002</v>
      </c>
    </row>
    <row r="39" spans="1:15" x14ac:dyDescent="0.25">
      <c r="A39" s="5" t="s">
        <v>51</v>
      </c>
      <c r="B39" s="5">
        <v>61</v>
      </c>
      <c r="C39" s="5" t="s">
        <v>3</v>
      </c>
      <c r="D39" s="6">
        <v>115</v>
      </c>
      <c r="E39" s="7">
        <v>23.173999999999999</v>
      </c>
      <c r="F39" s="7">
        <v>5.4509999999999996</v>
      </c>
      <c r="G39" s="7">
        <v>3.8010000000000002</v>
      </c>
      <c r="H39" s="7">
        <v>3.7090000000000001</v>
      </c>
      <c r="I39" s="7">
        <v>4.0789999999999997</v>
      </c>
      <c r="J39" s="7">
        <v>4.7290000000000001</v>
      </c>
      <c r="K39" s="7">
        <v>4.6779999999999999</v>
      </c>
      <c r="L39" s="7">
        <v>5.1159999999999997</v>
      </c>
      <c r="M39" s="7">
        <v>4.4740000000000002</v>
      </c>
      <c r="N39" s="7">
        <v>5.1559999999999997</v>
      </c>
      <c r="O39" s="7">
        <v>5.4770000000000003</v>
      </c>
    </row>
    <row r="40" spans="1:15" x14ac:dyDescent="0.25">
      <c r="A40" s="5" t="s">
        <v>52</v>
      </c>
      <c r="B40" s="5">
        <v>22</v>
      </c>
      <c r="C40" s="5" t="s">
        <v>3</v>
      </c>
      <c r="D40" s="6">
        <v>102</v>
      </c>
      <c r="E40" s="7">
        <v>19.98</v>
      </c>
      <c r="F40" s="7">
        <v>4.6779999999999999</v>
      </c>
      <c r="G40" s="7">
        <v>5.819</v>
      </c>
      <c r="H40" s="7">
        <v>5.9429999999999996</v>
      </c>
      <c r="I40" s="7">
        <v>5.2389999999999999</v>
      </c>
      <c r="J40" s="7">
        <v>5.2869999999999999</v>
      </c>
      <c r="K40" s="7">
        <v>4.9569999999999999</v>
      </c>
      <c r="L40" s="7">
        <v>4.62</v>
      </c>
      <c r="M40" s="7">
        <v>4.9610000000000003</v>
      </c>
      <c r="N40" s="7">
        <v>4.7990000000000004</v>
      </c>
      <c r="O40" s="7">
        <v>5.2069999999999999</v>
      </c>
    </row>
    <row r="41" spans="1:15" x14ac:dyDescent="0.25">
      <c r="A41" s="5" t="s">
        <v>53</v>
      </c>
      <c r="B41" s="5">
        <v>43</v>
      </c>
      <c r="C41" s="5" t="s">
        <v>3</v>
      </c>
      <c r="D41" s="6">
        <v>121</v>
      </c>
      <c r="E41" s="7">
        <v>24.19</v>
      </c>
      <c r="F41" s="7">
        <v>5.7880000000000003</v>
      </c>
      <c r="G41" s="7">
        <v>4.2480000000000002</v>
      </c>
      <c r="H41" s="7">
        <v>5.3739999999999997</v>
      </c>
      <c r="I41" s="7">
        <v>4.2409999999999997</v>
      </c>
      <c r="J41" s="7">
        <v>5.0419999999999998</v>
      </c>
      <c r="K41" s="7">
        <v>4.6349999999999998</v>
      </c>
      <c r="L41" s="7">
        <v>4.8390000000000004</v>
      </c>
      <c r="M41" s="7">
        <v>4.9640000000000004</v>
      </c>
      <c r="N41" s="7">
        <v>5.3680000000000003</v>
      </c>
      <c r="O41" s="7">
        <v>4.8680000000000003</v>
      </c>
    </row>
    <row r="42" spans="1:15" x14ac:dyDescent="0.25">
      <c r="A42" s="5" t="s">
        <v>54</v>
      </c>
      <c r="B42" s="5">
        <v>84</v>
      </c>
      <c r="C42" s="5" t="s">
        <v>2</v>
      </c>
      <c r="D42" s="6">
        <v>119</v>
      </c>
      <c r="E42" s="7">
        <v>23.940999999999999</v>
      </c>
      <c r="F42" s="7">
        <v>5.9290000000000003</v>
      </c>
      <c r="G42" s="7">
        <v>4.476</v>
      </c>
      <c r="H42" s="7">
        <v>5.117</v>
      </c>
      <c r="I42" s="7">
        <v>5.3680000000000003</v>
      </c>
      <c r="J42" s="7">
        <v>4.7880000000000003</v>
      </c>
      <c r="K42" s="7">
        <v>6.1020000000000003</v>
      </c>
      <c r="L42" s="7">
        <v>5.3259999999999996</v>
      </c>
      <c r="M42" s="7">
        <v>5.5090000000000003</v>
      </c>
      <c r="N42" s="7">
        <v>4.6050000000000004</v>
      </c>
      <c r="O42" s="7">
        <v>5.2560000000000002</v>
      </c>
    </row>
    <row r="43" spans="1:15" x14ac:dyDescent="0.25">
      <c r="A43" s="5" t="s">
        <v>55</v>
      </c>
      <c r="B43" s="5">
        <v>36</v>
      </c>
      <c r="C43" s="5" t="s">
        <v>2</v>
      </c>
      <c r="D43" s="6">
        <v>100</v>
      </c>
      <c r="E43" s="7">
        <v>20.012</v>
      </c>
      <c r="F43" s="7">
        <v>4.5090000000000003</v>
      </c>
      <c r="G43" s="7">
        <v>5.0229999999999997</v>
      </c>
      <c r="H43" s="7">
        <v>4.3419999999999996</v>
      </c>
      <c r="I43" s="7">
        <v>5.149</v>
      </c>
      <c r="J43" s="7">
        <v>4.9279999999999999</v>
      </c>
      <c r="K43" s="7">
        <v>5.0030000000000001</v>
      </c>
      <c r="L43" s="7">
        <v>4.673</v>
      </c>
      <c r="M43" s="7">
        <v>4.7770000000000001</v>
      </c>
      <c r="N43" s="7">
        <v>5.1440000000000001</v>
      </c>
      <c r="O43" s="7">
        <v>5.3369999999999997</v>
      </c>
    </row>
    <row r="44" spans="1:15" x14ac:dyDescent="0.25">
      <c r="A44" s="5" t="s">
        <v>56</v>
      </c>
      <c r="B44" s="5">
        <v>37</v>
      </c>
      <c r="C44" s="5" t="s">
        <v>2</v>
      </c>
      <c r="D44" s="6">
        <v>123</v>
      </c>
      <c r="E44" s="7">
        <v>25.08</v>
      </c>
      <c r="F44" s="7">
        <v>6.7969999999999997</v>
      </c>
      <c r="G44" s="7">
        <v>5.5129999999999999</v>
      </c>
      <c r="H44" s="7">
        <v>4.0490000000000004</v>
      </c>
      <c r="I44" s="7">
        <v>5.5990000000000002</v>
      </c>
      <c r="J44" s="7">
        <v>4.3620000000000001</v>
      </c>
      <c r="K44" s="7">
        <v>5.0209999999999999</v>
      </c>
      <c r="L44" s="7">
        <v>4.444</v>
      </c>
      <c r="M44" s="7">
        <v>4.8570000000000002</v>
      </c>
      <c r="N44" s="7">
        <v>4.8479999999999999</v>
      </c>
      <c r="O44" s="7">
        <v>4.7830000000000004</v>
      </c>
    </row>
    <row r="45" spans="1:15" x14ac:dyDescent="0.25">
      <c r="A45" s="5" t="s">
        <v>57</v>
      </c>
      <c r="B45" s="5">
        <v>29</v>
      </c>
      <c r="C45" s="5" t="s">
        <v>3</v>
      </c>
      <c r="D45" s="6">
        <v>113</v>
      </c>
      <c r="E45" s="7">
        <v>22.876000000000001</v>
      </c>
      <c r="F45" s="7">
        <v>5.5910000000000002</v>
      </c>
      <c r="G45" s="7">
        <v>4.843</v>
      </c>
      <c r="H45" s="7">
        <v>5.7469999999999999</v>
      </c>
      <c r="I45" s="7">
        <v>3.7410000000000001</v>
      </c>
      <c r="J45" s="7">
        <v>5.3280000000000003</v>
      </c>
      <c r="K45" s="7">
        <v>4.4950000000000001</v>
      </c>
      <c r="L45" s="7">
        <v>4.4980000000000002</v>
      </c>
      <c r="M45" s="7">
        <v>4.758</v>
      </c>
      <c r="N45" s="7">
        <v>4.8780000000000001</v>
      </c>
      <c r="O45" s="7">
        <v>4.8330000000000002</v>
      </c>
    </row>
    <row r="46" spans="1:15" x14ac:dyDescent="0.25">
      <c r="A46" s="5" t="s">
        <v>58</v>
      </c>
      <c r="B46" s="5">
        <v>64</v>
      </c>
      <c r="C46" s="5" t="s">
        <v>2</v>
      </c>
      <c r="D46" s="6">
        <v>105</v>
      </c>
      <c r="E46" s="7">
        <v>20.997</v>
      </c>
      <c r="F46" s="7">
        <v>4.3639999999999999</v>
      </c>
      <c r="G46" s="7">
        <v>4.4089999999999998</v>
      </c>
      <c r="H46" s="7">
        <v>4.7380000000000004</v>
      </c>
      <c r="I46" s="7">
        <v>3.8650000000000002</v>
      </c>
      <c r="J46" s="7">
        <v>4.5289999999999999</v>
      </c>
      <c r="K46" s="7">
        <v>5.0199999999999996</v>
      </c>
      <c r="L46" s="7">
        <v>5.4880000000000004</v>
      </c>
      <c r="M46" s="7">
        <v>4.6619999999999999</v>
      </c>
      <c r="N46" s="7">
        <v>4.8920000000000003</v>
      </c>
      <c r="O46" s="7">
        <v>5.1509999999999998</v>
      </c>
    </row>
    <row r="47" spans="1:15" x14ac:dyDescent="0.25">
      <c r="A47" s="5" t="s">
        <v>59</v>
      </c>
      <c r="B47" s="5">
        <v>22</v>
      </c>
      <c r="C47" s="5" t="s">
        <v>2</v>
      </c>
      <c r="D47" s="6">
        <v>108</v>
      </c>
      <c r="E47" s="7">
        <v>21.677</v>
      </c>
      <c r="F47" s="7">
        <v>5.6029999999999998</v>
      </c>
      <c r="G47" s="7">
        <v>4.8600000000000003</v>
      </c>
      <c r="H47" s="7">
        <v>3.8759999999999999</v>
      </c>
      <c r="I47" s="7">
        <v>5.2869999999999999</v>
      </c>
      <c r="J47" s="7">
        <v>6.4340000000000002</v>
      </c>
      <c r="K47" s="7">
        <v>4.8120000000000003</v>
      </c>
      <c r="L47" s="7">
        <v>5.1589999999999998</v>
      </c>
      <c r="M47" s="7">
        <v>4.649</v>
      </c>
      <c r="N47" s="7">
        <v>5.125</v>
      </c>
      <c r="O47" s="7">
        <v>5.0419999999999998</v>
      </c>
    </row>
    <row r="48" spans="1:15" x14ac:dyDescent="0.25">
      <c r="A48" s="5" t="s">
        <v>60</v>
      </c>
      <c r="B48" s="5">
        <v>31</v>
      </c>
      <c r="C48" s="5" t="s">
        <v>3</v>
      </c>
      <c r="D48" s="6">
        <v>100</v>
      </c>
      <c r="E48" s="7">
        <v>20.105</v>
      </c>
      <c r="F48" s="7">
        <v>4.4649999999999999</v>
      </c>
      <c r="G48" s="7">
        <v>5.016</v>
      </c>
      <c r="H48" s="7">
        <v>5.4569999999999999</v>
      </c>
      <c r="I48" s="7">
        <v>4.617</v>
      </c>
      <c r="J48" s="7">
        <v>5.016</v>
      </c>
      <c r="K48" s="7">
        <v>4.4660000000000002</v>
      </c>
      <c r="L48" s="7">
        <v>4.95</v>
      </c>
      <c r="M48" s="7">
        <v>4.8949999999999996</v>
      </c>
      <c r="N48" s="7">
        <v>4.6959999999999997</v>
      </c>
      <c r="O48" s="7">
        <v>4.8499999999999996</v>
      </c>
    </row>
    <row r="49" spans="1:15" x14ac:dyDescent="0.25">
      <c r="A49" s="5" t="s">
        <v>61</v>
      </c>
      <c r="B49" s="5">
        <v>81</v>
      </c>
      <c r="C49" s="5" t="s">
        <v>3</v>
      </c>
      <c r="D49" s="6">
        <v>95</v>
      </c>
      <c r="E49" s="7">
        <v>19.143999999999998</v>
      </c>
      <c r="F49" s="7">
        <v>4.8449999999999998</v>
      </c>
      <c r="G49" s="7">
        <v>5.7539999999999996</v>
      </c>
      <c r="H49" s="7">
        <v>4.4189999999999996</v>
      </c>
      <c r="I49" s="7">
        <v>4.05</v>
      </c>
      <c r="J49" s="7">
        <v>5.0010000000000003</v>
      </c>
      <c r="K49" s="7">
        <v>4.117</v>
      </c>
      <c r="L49" s="7">
        <v>5.3840000000000003</v>
      </c>
      <c r="M49" s="7">
        <v>4.5970000000000004</v>
      </c>
      <c r="N49" s="7">
        <v>4.8259999999999996</v>
      </c>
      <c r="O49" s="7">
        <v>5.2569999999999997</v>
      </c>
    </row>
    <row r="50" spans="1:15" x14ac:dyDescent="0.25">
      <c r="A50" s="5" t="s">
        <v>62</v>
      </c>
      <c r="B50" s="5">
        <v>55</v>
      </c>
      <c r="C50" s="5" t="s">
        <v>2</v>
      </c>
      <c r="D50" s="6">
        <v>110</v>
      </c>
      <c r="E50" s="7">
        <v>21.35</v>
      </c>
      <c r="F50" s="7">
        <v>5.6120000000000001</v>
      </c>
      <c r="G50" s="7">
        <v>5.6369999999999996</v>
      </c>
      <c r="H50" s="7">
        <v>5.9450000000000003</v>
      </c>
      <c r="I50" s="7">
        <v>4.66</v>
      </c>
      <c r="J50" s="7">
        <v>4.4379999999999997</v>
      </c>
      <c r="K50" s="7">
        <v>5.0339999999999998</v>
      </c>
      <c r="L50" s="7">
        <v>5.0330000000000004</v>
      </c>
      <c r="M50" s="7">
        <v>5.2050000000000001</v>
      </c>
      <c r="N50" s="7">
        <v>4.8529999999999998</v>
      </c>
      <c r="O50" s="7">
        <v>4.9180000000000001</v>
      </c>
    </row>
    <row r="51" spans="1:15" x14ac:dyDescent="0.25">
      <c r="A51" s="5" t="s">
        <v>63</v>
      </c>
      <c r="B51" s="5">
        <v>54</v>
      </c>
      <c r="C51" s="5" t="s">
        <v>2</v>
      </c>
      <c r="D51" s="6">
        <v>103</v>
      </c>
      <c r="E51" s="7">
        <v>20.492999999999999</v>
      </c>
      <c r="F51" s="7">
        <v>3.956</v>
      </c>
      <c r="G51" s="7">
        <v>4.0830000000000002</v>
      </c>
      <c r="H51" s="7">
        <v>6.1340000000000003</v>
      </c>
      <c r="I51" s="7">
        <v>5.4119999999999999</v>
      </c>
      <c r="J51" s="7">
        <v>4.7709999999999999</v>
      </c>
      <c r="K51" s="7">
        <v>5.7489999999999997</v>
      </c>
      <c r="L51" s="7">
        <v>4.8769999999999998</v>
      </c>
      <c r="M51" s="7">
        <v>5.1609999999999996</v>
      </c>
      <c r="N51" s="7">
        <v>4.694</v>
      </c>
      <c r="O51" s="7">
        <v>5.0419999999999998</v>
      </c>
    </row>
    <row r="52" spans="1:15" x14ac:dyDescent="0.25">
      <c r="A52" s="5" t="s">
        <v>64</v>
      </c>
      <c r="B52" s="5">
        <v>28</v>
      </c>
      <c r="C52" s="5" t="s">
        <v>2</v>
      </c>
      <c r="D52" s="6">
        <v>112</v>
      </c>
      <c r="E52" s="7">
        <v>21.870999999999999</v>
      </c>
      <c r="F52" s="7">
        <v>4.6539999999999999</v>
      </c>
      <c r="G52" s="7">
        <v>2.9550000000000001</v>
      </c>
      <c r="H52" s="7">
        <v>4.9850000000000003</v>
      </c>
      <c r="I52" s="7">
        <v>4.6390000000000002</v>
      </c>
      <c r="J52" s="7">
        <v>4.9359999999999999</v>
      </c>
      <c r="K52" s="7">
        <v>5.7089999999999996</v>
      </c>
      <c r="L52" s="7">
        <v>4.17</v>
      </c>
      <c r="M52" s="7">
        <v>4.4249999999999998</v>
      </c>
      <c r="N52" s="7">
        <v>4.968</v>
      </c>
      <c r="O52" s="7">
        <v>5.22</v>
      </c>
    </row>
    <row r="53" spans="1:15" x14ac:dyDescent="0.25">
      <c r="A53" s="5" t="s">
        <v>65</v>
      </c>
      <c r="B53" s="5">
        <v>20</v>
      </c>
      <c r="C53" s="5" t="s">
        <v>2</v>
      </c>
      <c r="D53" s="6">
        <v>93</v>
      </c>
      <c r="E53" s="7">
        <v>19.055</v>
      </c>
      <c r="F53" s="7">
        <v>3.8290000000000002</v>
      </c>
      <c r="G53" s="7">
        <v>5.093</v>
      </c>
      <c r="H53" s="7">
        <v>5.22</v>
      </c>
      <c r="I53" s="7">
        <v>6.3410000000000002</v>
      </c>
      <c r="J53" s="7">
        <v>6.1319999999999997</v>
      </c>
      <c r="K53" s="7">
        <v>4.9980000000000002</v>
      </c>
      <c r="L53" s="7">
        <v>5.1660000000000004</v>
      </c>
      <c r="M53" s="7">
        <v>5.5739999999999998</v>
      </c>
      <c r="N53" s="7">
        <v>4.6520000000000001</v>
      </c>
      <c r="O53" s="7">
        <v>4.9340000000000002</v>
      </c>
    </row>
    <row r="54" spans="1:15" x14ac:dyDescent="0.25">
      <c r="A54" s="5" t="s">
        <v>66</v>
      </c>
      <c r="B54" s="5">
        <v>50</v>
      </c>
      <c r="C54" s="5" t="s">
        <v>3</v>
      </c>
      <c r="D54" s="6">
        <v>97</v>
      </c>
      <c r="E54" s="7">
        <v>19.378</v>
      </c>
      <c r="F54" s="7">
        <v>4.3140000000000001</v>
      </c>
      <c r="G54" s="7">
        <v>5.8220000000000001</v>
      </c>
      <c r="H54" s="7">
        <v>5.0279999999999996</v>
      </c>
      <c r="I54" s="7">
        <v>5.7430000000000003</v>
      </c>
      <c r="J54" s="7">
        <v>4.4740000000000002</v>
      </c>
      <c r="K54" s="7">
        <v>5.2450000000000001</v>
      </c>
      <c r="L54" s="7">
        <v>4.8460000000000001</v>
      </c>
      <c r="M54" s="7">
        <v>4.9009999999999998</v>
      </c>
      <c r="N54" s="7">
        <v>5.3979999999999997</v>
      </c>
      <c r="O54" s="7">
        <v>5.2030000000000003</v>
      </c>
    </row>
    <row r="55" spans="1:15" x14ac:dyDescent="0.25">
      <c r="A55" s="5" t="s">
        <v>67</v>
      </c>
      <c r="B55" s="5">
        <v>67</v>
      </c>
      <c r="C55" s="5" t="s">
        <v>2</v>
      </c>
      <c r="D55" s="6">
        <v>86</v>
      </c>
      <c r="E55" s="7">
        <v>17.518999999999998</v>
      </c>
      <c r="F55" s="7">
        <v>3.5179999999999998</v>
      </c>
      <c r="G55" s="7">
        <v>5.601</v>
      </c>
      <c r="H55" s="7">
        <v>5.5670000000000002</v>
      </c>
      <c r="I55" s="7">
        <v>5.3010000000000002</v>
      </c>
      <c r="J55" s="7">
        <v>5.5010000000000003</v>
      </c>
      <c r="K55" s="7">
        <v>4.4690000000000003</v>
      </c>
      <c r="L55" s="7">
        <v>6.3470000000000004</v>
      </c>
      <c r="M55" s="7">
        <v>5.12</v>
      </c>
      <c r="N55" s="7">
        <v>5.0279999999999996</v>
      </c>
      <c r="O55" s="7">
        <v>4.9630000000000001</v>
      </c>
    </row>
    <row r="56" spans="1:15" x14ac:dyDescent="0.25">
      <c r="A56" s="5" t="s">
        <v>68</v>
      </c>
      <c r="B56" s="5">
        <v>27</v>
      </c>
      <c r="C56" s="5" t="s">
        <v>3</v>
      </c>
      <c r="D56" s="6">
        <v>94</v>
      </c>
      <c r="E56" s="7">
        <v>18.95</v>
      </c>
      <c r="F56" s="7">
        <v>4.4420000000000002</v>
      </c>
      <c r="G56" s="7">
        <v>5.6929999999999996</v>
      </c>
      <c r="H56" s="7">
        <v>4.2779999999999996</v>
      </c>
      <c r="I56" s="7">
        <v>4.7430000000000003</v>
      </c>
      <c r="J56" s="7">
        <v>5.5860000000000003</v>
      </c>
      <c r="K56" s="7">
        <v>4.2009999999999996</v>
      </c>
      <c r="L56" s="7">
        <v>4.5229999999999997</v>
      </c>
      <c r="M56" s="7">
        <v>4.7560000000000002</v>
      </c>
      <c r="N56" s="7">
        <v>5.069</v>
      </c>
      <c r="O56" s="7">
        <v>4.8029999999999999</v>
      </c>
    </row>
    <row r="57" spans="1:15" x14ac:dyDescent="0.25">
      <c r="A57" s="5" t="s">
        <v>69</v>
      </c>
      <c r="B57" s="5">
        <v>22</v>
      </c>
      <c r="C57" s="5" t="s">
        <v>2</v>
      </c>
      <c r="D57" s="6">
        <v>106</v>
      </c>
      <c r="E57" s="7">
        <v>20.797999999999998</v>
      </c>
      <c r="F57" s="7">
        <v>4.9720000000000004</v>
      </c>
      <c r="G57" s="7">
        <v>4.8449999999999998</v>
      </c>
      <c r="H57" s="7">
        <v>5.88</v>
      </c>
      <c r="I57" s="7">
        <v>5.45</v>
      </c>
      <c r="J57" s="7">
        <v>4.673</v>
      </c>
      <c r="K57" s="7">
        <v>5.3579999999999997</v>
      </c>
      <c r="L57" s="7">
        <v>5.556</v>
      </c>
      <c r="M57" s="7">
        <v>5.2290000000000001</v>
      </c>
      <c r="N57" s="7">
        <v>5.4169999999999998</v>
      </c>
      <c r="O57" s="7">
        <v>5.1319999999999997</v>
      </c>
    </row>
    <row r="58" spans="1:15" x14ac:dyDescent="0.25">
      <c r="A58" s="5" t="s">
        <v>70</v>
      </c>
      <c r="B58" s="5">
        <v>40</v>
      </c>
      <c r="C58" s="5" t="s">
        <v>3</v>
      </c>
      <c r="D58" s="6">
        <v>93</v>
      </c>
      <c r="E58" s="7">
        <v>18.574999999999999</v>
      </c>
      <c r="F58" s="7">
        <v>3.524</v>
      </c>
      <c r="G58" s="7">
        <v>5.6459999999999999</v>
      </c>
      <c r="H58" s="7">
        <v>5.1360000000000001</v>
      </c>
      <c r="I58" s="7">
        <v>4.4480000000000004</v>
      </c>
      <c r="J58" s="7">
        <v>4.4000000000000004</v>
      </c>
      <c r="K58" s="7">
        <v>5.65</v>
      </c>
      <c r="L58" s="7">
        <v>5.3</v>
      </c>
      <c r="M58" s="7">
        <v>5.492</v>
      </c>
      <c r="N58" s="7">
        <v>5.1619999999999999</v>
      </c>
      <c r="O58" s="7">
        <v>5.367</v>
      </c>
    </row>
    <row r="59" spans="1:15" x14ac:dyDescent="0.25">
      <c r="A59" s="5" t="s">
        <v>71</v>
      </c>
      <c r="B59" s="5">
        <v>27</v>
      </c>
      <c r="C59" s="5" t="s">
        <v>3</v>
      </c>
      <c r="D59" s="6">
        <v>104</v>
      </c>
      <c r="E59" s="7">
        <v>20.681000000000001</v>
      </c>
      <c r="F59" s="7">
        <v>5.2590000000000003</v>
      </c>
      <c r="G59" s="7">
        <v>5.5730000000000004</v>
      </c>
      <c r="H59" s="7">
        <v>3.8610000000000002</v>
      </c>
      <c r="I59" s="7">
        <v>4.71</v>
      </c>
      <c r="J59" s="7">
        <v>4.8259999999999996</v>
      </c>
      <c r="K59" s="7">
        <v>4.2779999999999996</v>
      </c>
      <c r="L59" s="7">
        <v>4.4729999999999999</v>
      </c>
      <c r="M59" s="7">
        <v>5.2320000000000002</v>
      </c>
      <c r="N59" s="7">
        <v>5.0990000000000002</v>
      </c>
      <c r="O59" s="7">
        <v>4.9630000000000001</v>
      </c>
    </row>
    <row r="60" spans="1:15" x14ac:dyDescent="0.25">
      <c r="A60" s="5" t="s">
        <v>72</v>
      </c>
      <c r="B60" s="5">
        <v>61</v>
      </c>
      <c r="C60" s="5" t="s">
        <v>3</v>
      </c>
      <c r="D60" s="6">
        <v>84</v>
      </c>
      <c r="E60" s="7">
        <v>16.178999999999998</v>
      </c>
      <c r="F60" s="7">
        <v>2.9809999999999999</v>
      </c>
      <c r="G60" s="7">
        <v>4.3040000000000003</v>
      </c>
      <c r="H60" s="7">
        <v>4.1849999999999996</v>
      </c>
      <c r="I60" s="7">
        <v>5.0439999999999996</v>
      </c>
      <c r="J60" s="7">
        <v>5.2530000000000001</v>
      </c>
      <c r="K60" s="7">
        <v>4.8410000000000002</v>
      </c>
      <c r="L60" s="7">
        <v>5.5030000000000001</v>
      </c>
      <c r="M60" s="7">
        <v>4.8</v>
      </c>
      <c r="N60" s="7">
        <v>4.718</v>
      </c>
      <c r="O60" s="7">
        <v>5.1719999999999997</v>
      </c>
    </row>
    <row r="61" spans="1:15" x14ac:dyDescent="0.25">
      <c r="A61" s="5" t="s">
        <v>73</v>
      </c>
      <c r="B61" s="5">
        <v>22</v>
      </c>
      <c r="C61" s="5" t="s">
        <v>2</v>
      </c>
      <c r="D61" s="6">
        <v>103</v>
      </c>
      <c r="E61" s="7">
        <v>20.353999999999999</v>
      </c>
      <c r="F61" s="7">
        <v>5.2</v>
      </c>
      <c r="G61" s="7">
        <v>6.0819999999999999</v>
      </c>
      <c r="H61" s="7">
        <v>5.3109999999999999</v>
      </c>
      <c r="I61" s="7">
        <v>5.2830000000000004</v>
      </c>
      <c r="J61" s="7">
        <v>6.1059999999999999</v>
      </c>
      <c r="K61" s="7">
        <v>5.2240000000000002</v>
      </c>
      <c r="L61" s="7">
        <v>5.665</v>
      </c>
      <c r="M61" s="7">
        <v>4.9080000000000004</v>
      </c>
      <c r="N61" s="7">
        <v>4.9370000000000003</v>
      </c>
      <c r="O61" s="7">
        <v>5.202</v>
      </c>
    </row>
    <row r="62" spans="1:15" x14ac:dyDescent="0.25">
      <c r="A62" s="5" t="s">
        <v>74</v>
      </c>
      <c r="B62" s="5">
        <v>30</v>
      </c>
      <c r="C62" s="5" t="s">
        <v>2</v>
      </c>
      <c r="D62" s="6">
        <v>104</v>
      </c>
      <c r="E62" s="7">
        <v>20.734999999999999</v>
      </c>
      <c r="F62" s="7">
        <v>5.4260000000000002</v>
      </c>
      <c r="G62" s="7">
        <v>6.06</v>
      </c>
      <c r="H62" s="7">
        <v>3.9319999999999999</v>
      </c>
      <c r="I62" s="7">
        <v>6.4619999999999997</v>
      </c>
      <c r="J62" s="7">
        <v>6.3940000000000001</v>
      </c>
      <c r="K62" s="7">
        <v>4.6029999999999998</v>
      </c>
      <c r="L62" s="7">
        <v>5.1180000000000003</v>
      </c>
      <c r="M62" s="7">
        <v>5.9059999999999997</v>
      </c>
      <c r="N62" s="7">
        <v>5.0419999999999998</v>
      </c>
      <c r="O62" s="7">
        <v>4.9630000000000001</v>
      </c>
    </row>
    <row r="63" spans="1:15" x14ac:dyDescent="0.25">
      <c r="A63" s="5" t="s">
        <v>75</v>
      </c>
      <c r="B63" s="5">
        <v>57</v>
      </c>
      <c r="C63" s="5" t="s">
        <v>3</v>
      </c>
      <c r="D63" s="6">
        <v>89</v>
      </c>
      <c r="E63" s="7">
        <v>17.759</v>
      </c>
      <c r="F63" s="7">
        <v>3.73</v>
      </c>
      <c r="G63" s="7">
        <v>5.399</v>
      </c>
      <c r="H63" s="7">
        <v>4.1909999999999998</v>
      </c>
      <c r="I63" s="7">
        <v>3.91</v>
      </c>
      <c r="J63" s="7">
        <v>5.1639999999999997</v>
      </c>
      <c r="K63" s="7">
        <v>5.234</v>
      </c>
      <c r="L63" s="7">
        <v>5.2750000000000004</v>
      </c>
      <c r="M63" s="7">
        <v>5.4029999999999996</v>
      </c>
      <c r="N63" s="7">
        <v>5.048</v>
      </c>
      <c r="O63" s="7">
        <v>4.835</v>
      </c>
    </row>
    <row r="64" spans="1:15" x14ac:dyDescent="0.25">
      <c r="A64" s="5" t="s">
        <v>76</v>
      </c>
      <c r="B64" s="5">
        <v>24</v>
      </c>
      <c r="C64" s="5" t="s">
        <v>2</v>
      </c>
      <c r="D64" s="6">
        <v>95</v>
      </c>
      <c r="E64" s="7">
        <v>18.472000000000001</v>
      </c>
      <c r="F64" s="7">
        <v>4.5149999999999997</v>
      </c>
      <c r="G64" s="7">
        <v>5.6959999999999997</v>
      </c>
      <c r="H64" s="7">
        <v>4.173</v>
      </c>
      <c r="I64" s="7">
        <v>5.6680000000000001</v>
      </c>
      <c r="J64" s="7">
        <v>4.6130000000000004</v>
      </c>
      <c r="K64" s="7">
        <v>5.34</v>
      </c>
      <c r="L64" s="7">
        <v>4.3659999999999997</v>
      </c>
      <c r="M64" s="7">
        <v>5.0330000000000004</v>
      </c>
      <c r="N64" s="7">
        <v>5.3479999999999999</v>
      </c>
      <c r="O64" s="7">
        <v>4.8369999999999997</v>
      </c>
    </row>
    <row r="65" spans="1:15" x14ac:dyDescent="0.25">
      <c r="A65" s="5" t="s">
        <v>77</v>
      </c>
      <c r="B65" s="5">
        <v>82</v>
      </c>
      <c r="C65" s="5" t="s">
        <v>2</v>
      </c>
      <c r="D65" s="6">
        <v>113</v>
      </c>
      <c r="E65" s="7">
        <v>23.01</v>
      </c>
      <c r="F65" s="7">
        <v>5.5940000000000003</v>
      </c>
      <c r="G65" s="7">
        <v>5.157</v>
      </c>
      <c r="H65" s="7">
        <v>6.3029999999999999</v>
      </c>
      <c r="I65" s="7">
        <v>6.2249999999999996</v>
      </c>
      <c r="J65" s="7">
        <v>5.2240000000000002</v>
      </c>
      <c r="K65" s="7">
        <v>5.2320000000000002</v>
      </c>
      <c r="L65" s="7">
        <v>5.569</v>
      </c>
      <c r="M65" s="7">
        <v>4.4880000000000004</v>
      </c>
      <c r="N65" s="7">
        <v>4.8310000000000004</v>
      </c>
      <c r="O65" s="7">
        <v>4.9649999999999999</v>
      </c>
    </row>
    <row r="66" spans="1:15" x14ac:dyDescent="0.25">
      <c r="A66" s="5" t="s">
        <v>78</v>
      </c>
      <c r="B66" s="5">
        <v>80</v>
      </c>
      <c r="C66" s="5" t="s">
        <v>3</v>
      </c>
      <c r="D66" s="6">
        <v>107</v>
      </c>
      <c r="E66" s="7">
        <v>21.364000000000001</v>
      </c>
      <c r="F66" s="7">
        <v>4.7240000000000002</v>
      </c>
      <c r="G66" s="7">
        <v>4.4210000000000003</v>
      </c>
      <c r="H66" s="7">
        <v>5.3979999999999997</v>
      </c>
      <c r="I66" s="7">
        <v>5.2140000000000004</v>
      </c>
      <c r="J66" s="7">
        <v>5.7850000000000001</v>
      </c>
      <c r="K66" s="7">
        <v>5.6310000000000002</v>
      </c>
      <c r="L66" s="7">
        <v>4.8769999999999998</v>
      </c>
      <c r="M66" s="7">
        <v>5.3739999999999997</v>
      </c>
      <c r="N66" s="7">
        <v>5.1459999999999999</v>
      </c>
      <c r="O66" s="7">
        <v>4.9960000000000004</v>
      </c>
    </row>
    <row r="67" spans="1:15" x14ac:dyDescent="0.25">
      <c r="A67" s="5" t="s">
        <v>79</v>
      </c>
      <c r="B67" s="5">
        <v>34</v>
      </c>
      <c r="C67" s="5" t="s">
        <v>3</v>
      </c>
      <c r="D67" s="6">
        <v>82</v>
      </c>
      <c r="E67" s="7">
        <v>16.413</v>
      </c>
      <c r="F67" s="7">
        <v>3.1419999999999999</v>
      </c>
      <c r="G67" s="7">
        <v>5.24</v>
      </c>
      <c r="H67" s="7">
        <v>5.7889999999999997</v>
      </c>
      <c r="I67" s="7">
        <v>6.0110000000000001</v>
      </c>
      <c r="J67" s="7">
        <v>4.335</v>
      </c>
      <c r="K67" s="7">
        <v>5.7370000000000001</v>
      </c>
      <c r="L67" s="7">
        <v>3.714</v>
      </c>
      <c r="M67" s="7">
        <v>4.7480000000000002</v>
      </c>
      <c r="N67" s="7">
        <v>4.7439999999999998</v>
      </c>
      <c r="O67" s="7">
        <v>5.0270000000000001</v>
      </c>
    </row>
    <row r="68" spans="1:15" x14ac:dyDescent="0.25">
      <c r="A68" s="5" t="s">
        <v>80</v>
      </c>
      <c r="B68" s="5">
        <v>26</v>
      </c>
      <c r="C68" s="5" t="s">
        <v>2</v>
      </c>
      <c r="D68" s="6">
        <v>106</v>
      </c>
      <c r="E68" s="7">
        <v>21.343</v>
      </c>
      <c r="F68" s="7">
        <v>5.0410000000000004</v>
      </c>
      <c r="G68" s="7">
        <v>5.508</v>
      </c>
      <c r="H68" s="7">
        <v>4.5510000000000002</v>
      </c>
      <c r="I68" s="7">
        <v>4.3630000000000004</v>
      </c>
      <c r="J68" s="7">
        <v>4.5949999999999998</v>
      </c>
      <c r="K68" s="7">
        <v>5.056</v>
      </c>
      <c r="L68" s="7">
        <v>5.3</v>
      </c>
      <c r="M68" s="7">
        <v>5.4089999999999998</v>
      </c>
      <c r="N68" s="7">
        <v>4.8949999999999996</v>
      </c>
      <c r="O68" s="7">
        <v>5.2750000000000004</v>
      </c>
    </row>
    <row r="69" spans="1:15" x14ac:dyDescent="0.25">
      <c r="A69" s="5" t="s">
        <v>81</v>
      </c>
      <c r="B69" s="5">
        <v>32</v>
      </c>
      <c r="C69" s="5" t="s">
        <v>3</v>
      </c>
      <c r="D69" s="6">
        <v>115</v>
      </c>
      <c r="E69" s="7">
        <v>22.719000000000001</v>
      </c>
      <c r="F69" s="7">
        <v>5.2830000000000004</v>
      </c>
      <c r="G69" s="7">
        <v>4.7050000000000001</v>
      </c>
      <c r="H69" s="7">
        <v>5.218</v>
      </c>
      <c r="I69" s="7">
        <v>6.0339999999999998</v>
      </c>
      <c r="J69" s="7">
        <v>5.9269999999999996</v>
      </c>
      <c r="K69" s="7">
        <v>5.7670000000000003</v>
      </c>
      <c r="L69" s="7">
        <v>5.5</v>
      </c>
      <c r="M69" s="7">
        <v>5.0880000000000001</v>
      </c>
      <c r="N69" s="7">
        <v>5.5549999999999997</v>
      </c>
      <c r="O69" s="7">
        <v>4.431</v>
      </c>
    </row>
    <row r="70" spans="1:15" x14ac:dyDescent="0.25">
      <c r="A70" s="5" t="s">
        <v>82</v>
      </c>
      <c r="B70" s="5">
        <v>41</v>
      </c>
      <c r="C70" s="5" t="s">
        <v>2</v>
      </c>
      <c r="D70" s="6">
        <v>109</v>
      </c>
      <c r="E70" s="7">
        <v>21.963000000000001</v>
      </c>
      <c r="F70" s="7">
        <v>5.0640000000000001</v>
      </c>
      <c r="G70" s="7">
        <v>5.218</v>
      </c>
      <c r="H70" s="7">
        <v>5.2770000000000001</v>
      </c>
      <c r="I70" s="7">
        <v>4.5259999999999998</v>
      </c>
      <c r="J70" s="7">
        <v>4.5279999999999996</v>
      </c>
      <c r="K70" s="7">
        <v>4.9429999999999996</v>
      </c>
      <c r="L70" s="7">
        <v>5.867</v>
      </c>
      <c r="M70" s="7">
        <v>4.2720000000000002</v>
      </c>
      <c r="N70" s="7">
        <v>4.8449999999999998</v>
      </c>
      <c r="O70" s="7">
        <v>4.9870000000000001</v>
      </c>
    </row>
    <row r="71" spans="1:15" x14ac:dyDescent="0.25">
      <c r="A71" s="5" t="s">
        <v>83</v>
      </c>
      <c r="B71" s="5">
        <v>55</v>
      </c>
      <c r="C71" s="5" t="s">
        <v>2</v>
      </c>
      <c r="D71" s="6">
        <v>115</v>
      </c>
      <c r="E71" s="7">
        <v>22.869</v>
      </c>
      <c r="F71" s="7">
        <v>5.4329999999999998</v>
      </c>
      <c r="G71" s="7">
        <v>4.391</v>
      </c>
      <c r="H71" s="7">
        <v>5.3090000000000002</v>
      </c>
      <c r="I71" s="7">
        <v>5.9269999999999996</v>
      </c>
      <c r="J71" s="7">
        <v>5.48</v>
      </c>
      <c r="K71" s="7">
        <v>5.226</v>
      </c>
      <c r="L71" s="7">
        <v>4.1399999999999997</v>
      </c>
      <c r="M71" s="7">
        <v>5.3460000000000001</v>
      </c>
      <c r="N71" s="7">
        <v>4.84</v>
      </c>
      <c r="O71" s="7">
        <v>4.9749999999999996</v>
      </c>
    </row>
    <row r="72" spans="1:15" x14ac:dyDescent="0.25">
      <c r="A72" s="5" t="s">
        <v>84</v>
      </c>
      <c r="B72" s="5">
        <v>52</v>
      </c>
      <c r="C72" s="5" t="s">
        <v>2</v>
      </c>
      <c r="D72" s="6">
        <v>106</v>
      </c>
      <c r="E72" s="7">
        <v>20.881</v>
      </c>
      <c r="F72" s="7">
        <v>5.423</v>
      </c>
      <c r="G72" s="7">
        <v>5.4939999999999998</v>
      </c>
      <c r="H72" s="7">
        <v>4.1369999999999996</v>
      </c>
      <c r="I72" s="7">
        <v>3.5070000000000001</v>
      </c>
      <c r="J72" s="7">
        <v>4.0119999999999996</v>
      </c>
      <c r="K72" s="7">
        <v>5.6779999999999999</v>
      </c>
      <c r="L72" s="7">
        <v>4.0110000000000001</v>
      </c>
      <c r="M72" s="7">
        <v>5.29</v>
      </c>
      <c r="N72" s="7">
        <v>4.9489999999999998</v>
      </c>
      <c r="O72" s="7">
        <v>4.9649999999999999</v>
      </c>
    </row>
    <row r="73" spans="1:15" x14ac:dyDescent="0.25">
      <c r="A73" s="5" t="s">
        <v>85</v>
      </c>
      <c r="B73" s="5">
        <v>66</v>
      </c>
      <c r="C73" s="5" t="s">
        <v>2</v>
      </c>
      <c r="D73" s="6">
        <v>119</v>
      </c>
      <c r="E73" s="7">
        <v>24.004000000000001</v>
      </c>
      <c r="F73" s="7">
        <v>6.3</v>
      </c>
      <c r="G73" s="7">
        <v>4.33</v>
      </c>
      <c r="H73" s="7">
        <v>5.883</v>
      </c>
      <c r="I73" s="7">
        <v>4.0990000000000002</v>
      </c>
      <c r="J73" s="7">
        <v>5.4560000000000004</v>
      </c>
      <c r="K73" s="7">
        <v>5.2889999999999997</v>
      </c>
      <c r="L73" s="7">
        <v>5.0620000000000003</v>
      </c>
      <c r="M73" s="7">
        <v>5.234</v>
      </c>
      <c r="N73" s="7">
        <v>4.6550000000000002</v>
      </c>
      <c r="O73" s="7">
        <v>5.0229999999999997</v>
      </c>
    </row>
    <row r="74" spans="1:15" x14ac:dyDescent="0.25">
      <c r="A74" s="5" t="s">
        <v>86</v>
      </c>
      <c r="B74" s="5">
        <v>79</v>
      </c>
      <c r="C74" s="5" t="s">
        <v>3</v>
      </c>
      <c r="D74" s="6">
        <v>96</v>
      </c>
      <c r="E74" s="7">
        <v>19.731000000000002</v>
      </c>
      <c r="F74" s="7">
        <v>3.95</v>
      </c>
      <c r="G74" s="7">
        <v>5.5620000000000003</v>
      </c>
      <c r="H74" s="7">
        <v>6.1520000000000001</v>
      </c>
      <c r="I74" s="7">
        <v>6.9710000000000001</v>
      </c>
      <c r="J74" s="7">
        <v>4.5279999999999996</v>
      </c>
      <c r="K74" s="7">
        <v>4.569</v>
      </c>
      <c r="L74" s="7">
        <v>4.9370000000000003</v>
      </c>
      <c r="M74" s="7">
        <v>4.4260000000000002</v>
      </c>
      <c r="N74" s="7">
        <v>4.8620000000000001</v>
      </c>
      <c r="O74" s="7">
        <v>5.35</v>
      </c>
    </row>
    <row r="75" spans="1:15" x14ac:dyDescent="0.25">
      <c r="A75" s="5" t="s">
        <v>87</v>
      </c>
      <c r="B75" s="5">
        <v>77</v>
      </c>
      <c r="C75" s="5" t="s">
        <v>3</v>
      </c>
      <c r="D75" s="6">
        <v>89</v>
      </c>
      <c r="E75" s="7">
        <v>18.058</v>
      </c>
      <c r="F75" s="7">
        <v>3.214</v>
      </c>
      <c r="G75" s="7">
        <v>4.7919999999999998</v>
      </c>
      <c r="H75" s="7">
        <v>5.0640000000000001</v>
      </c>
      <c r="I75" s="7">
        <v>5.3040000000000003</v>
      </c>
      <c r="J75" s="7">
        <v>6.0369999999999999</v>
      </c>
      <c r="K75" s="7">
        <v>5.2080000000000002</v>
      </c>
      <c r="L75" s="7">
        <v>5.399</v>
      </c>
      <c r="M75" s="7">
        <v>4.5970000000000004</v>
      </c>
      <c r="N75" s="7">
        <v>5.1360000000000001</v>
      </c>
      <c r="O75" s="7">
        <v>4.7859999999999996</v>
      </c>
    </row>
    <row r="76" spans="1:15" x14ac:dyDescent="0.25">
      <c r="A76" s="5" t="s">
        <v>88</v>
      </c>
      <c r="B76" s="5">
        <v>67</v>
      </c>
      <c r="C76" s="5" t="s">
        <v>3</v>
      </c>
      <c r="D76" s="6">
        <v>109</v>
      </c>
      <c r="E76" s="7">
        <v>22.129000000000001</v>
      </c>
      <c r="F76" s="7">
        <v>5.8159999999999998</v>
      </c>
      <c r="G76" s="7">
        <v>5.7480000000000002</v>
      </c>
      <c r="H76" s="7">
        <v>4.0860000000000003</v>
      </c>
      <c r="I76" s="7">
        <v>4.7610000000000001</v>
      </c>
      <c r="J76" s="7">
        <v>4.7270000000000003</v>
      </c>
      <c r="K76" s="7">
        <v>4.6589999999999998</v>
      </c>
      <c r="L76" s="7">
        <v>5.734</v>
      </c>
      <c r="M76" s="7">
        <v>5.4210000000000003</v>
      </c>
      <c r="N76" s="7">
        <v>5.0640000000000001</v>
      </c>
      <c r="O76" s="7">
        <v>5.5789999999999997</v>
      </c>
    </row>
    <row r="77" spans="1:15" x14ac:dyDescent="0.25">
      <c r="A77" s="5" t="s">
        <v>89</v>
      </c>
      <c r="B77" s="5">
        <v>26</v>
      </c>
      <c r="C77" s="5" t="s">
        <v>3</v>
      </c>
      <c r="D77" s="6">
        <v>105</v>
      </c>
      <c r="E77" s="7">
        <v>20.815000000000001</v>
      </c>
      <c r="F77" s="7">
        <v>4.6719999999999997</v>
      </c>
      <c r="G77" s="7">
        <v>4.859</v>
      </c>
      <c r="H77" s="7">
        <v>5.7649999999999997</v>
      </c>
      <c r="I77" s="7">
        <v>4.3230000000000004</v>
      </c>
      <c r="J77" s="7">
        <v>4.9619999999999997</v>
      </c>
      <c r="K77" s="7">
        <v>4.6130000000000004</v>
      </c>
      <c r="L77" s="7">
        <v>5.5289999999999999</v>
      </c>
      <c r="M77" s="7">
        <v>5.2530000000000001</v>
      </c>
      <c r="N77" s="7">
        <v>5.5780000000000003</v>
      </c>
      <c r="O77" s="7">
        <v>4.8529999999999998</v>
      </c>
    </row>
    <row r="78" spans="1:15" x14ac:dyDescent="0.25">
      <c r="A78" s="5" t="s">
        <v>90</v>
      </c>
      <c r="B78" s="5">
        <v>51</v>
      </c>
      <c r="C78" s="5" t="s">
        <v>2</v>
      </c>
      <c r="D78" s="6">
        <v>100</v>
      </c>
      <c r="E78" s="7">
        <v>19.431000000000001</v>
      </c>
      <c r="F78" s="7">
        <v>3.7850000000000001</v>
      </c>
      <c r="G78" s="7">
        <v>3.8079999999999998</v>
      </c>
      <c r="H78" s="7">
        <v>3.843</v>
      </c>
      <c r="I78" s="7">
        <v>5.2169999999999996</v>
      </c>
      <c r="J78" s="7">
        <v>6.43</v>
      </c>
      <c r="K78" s="7">
        <v>5.21</v>
      </c>
      <c r="L78" s="7">
        <v>5.3159999999999998</v>
      </c>
      <c r="M78" s="7">
        <v>4.8579999999999997</v>
      </c>
      <c r="N78" s="7">
        <v>5.0309999999999997</v>
      </c>
      <c r="O78" s="7">
        <v>5.0439999999999996</v>
      </c>
    </row>
    <row r="79" spans="1:15" x14ac:dyDescent="0.25">
      <c r="A79" s="5" t="s">
        <v>91</v>
      </c>
      <c r="B79" s="5">
        <v>52</v>
      </c>
      <c r="C79" s="5" t="s">
        <v>2</v>
      </c>
      <c r="D79" s="6">
        <v>114</v>
      </c>
      <c r="E79" s="7">
        <v>23.331</v>
      </c>
      <c r="F79" s="7">
        <v>6.1120000000000001</v>
      </c>
      <c r="G79" s="7">
        <v>5.7080000000000002</v>
      </c>
      <c r="H79" s="7">
        <v>4.5970000000000004</v>
      </c>
      <c r="I79" s="7">
        <v>3.746</v>
      </c>
      <c r="J79" s="7">
        <v>4.7080000000000002</v>
      </c>
      <c r="K79" s="7">
        <v>3.9580000000000002</v>
      </c>
      <c r="L79" s="7">
        <v>5.8970000000000002</v>
      </c>
      <c r="M79" s="7">
        <v>4.8860000000000001</v>
      </c>
      <c r="N79" s="7">
        <v>5.05</v>
      </c>
      <c r="O79" s="7">
        <v>5.1120000000000001</v>
      </c>
    </row>
    <row r="80" spans="1:15" x14ac:dyDescent="0.25">
      <c r="A80" s="5" t="s">
        <v>92</v>
      </c>
      <c r="B80" s="5">
        <v>21</v>
      </c>
      <c r="C80" s="5" t="s">
        <v>3</v>
      </c>
      <c r="D80" s="6">
        <v>103</v>
      </c>
      <c r="E80" s="7">
        <v>21.332000000000001</v>
      </c>
      <c r="F80" s="7">
        <v>4.4930000000000003</v>
      </c>
      <c r="G80" s="7">
        <v>3.9249999999999998</v>
      </c>
      <c r="H80" s="7">
        <v>5.6550000000000002</v>
      </c>
      <c r="I80" s="7">
        <v>4.585</v>
      </c>
      <c r="J80" s="7">
        <v>4.3029999999999999</v>
      </c>
      <c r="K80" s="7">
        <v>4.9889999999999999</v>
      </c>
      <c r="L80" s="7">
        <v>4.6509999999999998</v>
      </c>
      <c r="M80" s="7">
        <v>5.0469999999999997</v>
      </c>
      <c r="N80" s="7">
        <v>5.1950000000000003</v>
      </c>
      <c r="O80" s="7">
        <v>5.1710000000000003</v>
      </c>
    </row>
    <row r="81" spans="1:15" x14ac:dyDescent="0.25">
      <c r="A81" s="5" t="s">
        <v>93</v>
      </c>
      <c r="B81" s="5">
        <v>57</v>
      </c>
      <c r="C81" s="5" t="s">
        <v>2</v>
      </c>
      <c r="D81" s="6">
        <v>118</v>
      </c>
      <c r="E81" s="7">
        <v>24.15</v>
      </c>
      <c r="F81" s="7">
        <v>5.899</v>
      </c>
      <c r="G81" s="7">
        <v>5.2619999999999996</v>
      </c>
      <c r="H81" s="7">
        <v>5.2640000000000002</v>
      </c>
      <c r="I81" s="7">
        <v>4.3760000000000003</v>
      </c>
      <c r="J81" s="7">
        <v>5.274</v>
      </c>
      <c r="K81" s="7">
        <v>5.5430000000000001</v>
      </c>
      <c r="L81" s="7">
        <v>4.101</v>
      </c>
      <c r="M81" s="7">
        <v>5.12</v>
      </c>
      <c r="N81" s="7">
        <v>4.6059999999999999</v>
      </c>
      <c r="O81" s="7">
        <v>5.093</v>
      </c>
    </row>
    <row r="82" spans="1:15" x14ac:dyDescent="0.25">
      <c r="A82" s="5" t="s">
        <v>94</v>
      </c>
      <c r="B82" s="5">
        <v>81</v>
      </c>
      <c r="C82" s="5" t="s">
        <v>2</v>
      </c>
      <c r="D82" s="6">
        <v>109</v>
      </c>
      <c r="E82" s="7">
        <v>21.68</v>
      </c>
      <c r="F82" s="7">
        <v>5.3769999999999998</v>
      </c>
      <c r="G82" s="7">
        <v>5.4089999999999998</v>
      </c>
      <c r="H82" s="7">
        <v>6.5010000000000003</v>
      </c>
      <c r="I82" s="7">
        <v>5.3579999999999997</v>
      </c>
      <c r="J82" s="7">
        <v>5.2590000000000003</v>
      </c>
      <c r="K82" s="7">
        <v>4.8449999999999998</v>
      </c>
      <c r="L82" s="7">
        <v>5.319</v>
      </c>
      <c r="M82" s="7">
        <v>4.8499999999999996</v>
      </c>
      <c r="N82" s="7">
        <v>5.2969999999999997</v>
      </c>
      <c r="O82" s="7">
        <v>5.5640000000000001</v>
      </c>
    </row>
    <row r="83" spans="1:15" x14ac:dyDescent="0.25">
      <c r="A83" s="5" t="s">
        <v>95</v>
      </c>
      <c r="B83" s="5">
        <v>39</v>
      </c>
      <c r="C83" s="5" t="s">
        <v>2</v>
      </c>
      <c r="D83" s="6">
        <v>120</v>
      </c>
      <c r="E83" s="7">
        <v>23.588999999999999</v>
      </c>
      <c r="F83" s="7">
        <v>6.452</v>
      </c>
      <c r="G83" s="7">
        <v>4.5119999999999996</v>
      </c>
      <c r="H83" s="7">
        <v>5.1029999999999998</v>
      </c>
      <c r="I83" s="7">
        <v>5.3730000000000002</v>
      </c>
      <c r="J83" s="7">
        <v>4.2539999999999996</v>
      </c>
      <c r="K83" s="7">
        <v>4.0460000000000003</v>
      </c>
      <c r="L83" s="7">
        <v>4.6820000000000004</v>
      </c>
      <c r="M83" s="7">
        <v>4.4009999999999998</v>
      </c>
      <c r="N83" s="7">
        <v>4.6980000000000004</v>
      </c>
      <c r="O83" s="7">
        <v>5.0119999999999996</v>
      </c>
    </row>
    <row r="84" spans="1:15" x14ac:dyDescent="0.25">
      <c r="A84" s="5" t="s">
        <v>96</v>
      </c>
      <c r="B84" s="5">
        <v>77</v>
      </c>
      <c r="C84" s="5" t="s">
        <v>3</v>
      </c>
      <c r="D84" s="6">
        <v>112</v>
      </c>
      <c r="E84" s="7">
        <v>22.02</v>
      </c>
      <c r="F84" s="7">
        <v>5.4470000000000001</v>
      </c>
      <c r="G84" s="7">
        <v>4.1609999999999996</v>
      </c>
      <c r="H84" s="7">
        <v>6.0549999999999997</v>
      </c>
      <c r="I84" s="7">
        <v>5.3419999999999996</v>
      </c>
      <c r="J84" s="7">
        <v>4.9009999999999998</v>
      </c>
      <c r="K84" s="7">
        <v>4.9390000000000001</v>
      </c>
      <c r="L84" s="7">
        <v>4.9050000000000002</v>
      </c>
      <c r="M84" s="7">
        <v>4.8179999999999996</v>
      </c>
      <c r="N84" s="7">
        <v>4.9329999999999998</v>
      </c>
      <c r="O84" s="7">
        <v>5.4039999999999999</v>
      </c>
    </row>
    <row r="85" spans="1:15" x14ac:dyDescent="0.25">
      <c r="A85" s="5" t="s">
        <v>97</v>
      </c>
      <c r="B85" s="5">
        <v>81</v>
      </c>
      <c r="C85" s="5" t="s">
        <v>3</v>
      </c>
      <c r="D85" s="6">
        <v>116</v>
      </c>
      <c r="E85" s="7">
        <v>22.6</v>
      </c>
      <c r="F85" s="7">
        <v>5.6459999999999999</v>
      </c>
      <c r="G85" s="7">
        <v>4.375</v>
      </c>
      <c r="H85" s="7">
        <v>5.7729999999999997</v>
      </c>
      <c r="I85" s="7">
        <v>6.1379999999999999</v>
      </c>
      <c r="J85" s="7">
        <v>5.5179999999999998</v>
      </c>
      <c r="K85" s="7">
        <v>5.6479999999999997</v>
      </c>
      <c r="L85" s="7">
        <v>5.1680000000000001</v>
      </c>
      <c r="M85" s="7">
        <v>5.6520000000000001</v>
      </c>
      <c r="N85" s="7">
        <v>4.8159999999999998</v>
      </c>
      <c r="O85" s="7">
        <v>5.173</v>
      </c>
    </row>
    <row r="86" spans="1:15" x14ac:dyDescent="0.25">
      <c r="A86" s="5" t="s">
        <v>98</v>
      </c>
      <c r="B86" s="5">
        <v>28</v>
      </c>
      <c r="C86" s="5" t="s">
        <v>3</v>
      </c>
      <c r="D86" s="6">
        <v>106</v>
      </c>
      <c r="E86" s="7">
        <v>21.161999999999999</v>
      </c>
      <c r="F86" s="7">
        <v>4.3760000000000003</v>
      </c>
      <c r="G86" s="7">
        <v>4.0039999999999996</v>
      </c>
      <c r="H86" s="7">
        <v>4.25</v>
      </c>
      <c r="I86" s="7">
        <v>5.4219999999999997</v>
      </c>
      <c r="J86" s="7">
        <v>5.5430000000000001</v>
      </c>
      <c r="K86" s="7">
        <v>5.3689999999999998</v>
      </c>
      <c r="L86" s="7">
        <v>5.0209999999999999</v>
      </c>
      <c r="M86" s="7">
        <v>4.665</v>
      </c>
      <c r="N86" s="7">
        <v>5.032</v>
      </c>
      <c r="O86" s="7">
        <v>4.8920000000000003</v>
      </c>
    </row>
    <row r="87" spans="1:15" x14ac:dyDescent="0.25">
      <c r="A87" s="5" t="s">
        <v>99</v>
      </c>
      <c r="B87" s="5">
        <v>31</v>
      </c>
      <c r="C87" s="5" t="s">
        <v>2</v>
      </c>
      <c r="D87" s="6">
        <v>101</v>
      </c>
      <c r="E87" s="7">
        <v>20.771999999999998</v>
      </c>
      <c r="F87" s="7">
        <v>4.4050000000000002</v>
      </c>
      <c r="G87" s="7">
        <v>4.5540000000000003</v>
      </c>
      <c r="H87" s="7">
        <v>4.5579999999999998</v>
      </c>
      <c r="I87" s="7">
        <v>5.2240000000000002</v>
      </c>
      <c r="J87" s="7">
        <v>5.2969999999999997</v>
      </c>
      <c r="K87" s="7">
        <v>5.1859999999999999</v>
      </c>
      <c r="L87" s="7">
        <v>4.8600000000000003</v>
      </c>
      <c r="M87" s="7">
        <v>4.7329999999999997</v>
      </c>
      <c r="N87" s="7">
        <v>5.0369999999999999</v>
      </c>
      <c r="O87" s="7">
        <v>4.7030000000000003</v>
      </c>
    </row>
    <row r="88" spans="1:15" x14ac:dyDescent="0.25">
      <c r="A88" s="5" t="s">
        <v>100</v>
      </c>
      <c r="B88" s="5">
        <v>77</v>
      </c>
      <c r="C88" s="5" t="s">
        <v>3</v>
      </c>
      <c r="D88" s="6">
        <v>125</v>
      </c>
      <c r="E88" s="7">
        <v>24.95</v>
      </c>
      <c r="F88" s="7">
        <v>6.6109999999999998</v>
      </c>
      <c r="G88" s="7">
        <v>4.1630000000000003</v>
      </c>
      <c r="H88" s="7">
        <v>5.2249999999999996</v>
      </c>
      <c r="I88" s="7">
        <v>4.8010000000000002</v>
      </c>
      <c r="J88" s="7">
        <v>5.3170000000000002</v>
      </c>
      <c r="K88" s="7">
        <v>4.4260000000000002</v>
      </c>
      <c r="L88" s="7">
        <v>4.3209999999999997</v>
      </c>
      <c r="M88" s="7">
        <v>4.359</v>
      </c>
      <c r="N88" s="7">
        <v>4.8529999999999998</v>
      </c>
      <c r="O88" s="7">
        <v>5.1520000000000001</v>
      </c>
    </row>
    <row r="89" spans="1:15" x14ac:dyDescent="0.25">
      <c r="A89" s="5" t="s">
        <v>101</v>
      </c>
      <c r="B89" s="5">
        <v>47</v>
      </c>
      <c r="C89" s="5" t="s">
        <v>3</v>
      </c>
      <c r="D89" s="6">
        <v>112</v>
      </c>
      <c r="E89" s="7">
        <v>22.507999999999999</v>
      </c>
      <c r="F89" s="7">
        <v>4.6509999999999998</v>
      </c>
      <c r="G89" s="7">
        <v>3.149</v>
      </c>
      <c r="H89" s="7">
        <v>4.8449999999999998</v>
      </c>
      <c r="I89" s="7">
        <v>6.2</v>
      </c>
      <c r="J89" s="7">
        <v>5.4420000000000002</v>
      </c>
      <c r="K89" s="7">
        <v>4.5140000000000002</v>
      </c>
      <c r="L89" s="7">
        <v>5.03</v>
      </c>
      <c r="M89" s="7">
        <v>4.9580000000000002</v>
      </c>
      <c r="N89" s="7">
        <v>5.4539999999999997</v>
      </c>
      <c r="O89" s="7">
        <v>5.1120000000000001</v>
      </c>
    </row>
    <row r="90" spans="1:15" x14ac:dyDescent="0.25">
      <c r="A90" s="5" t="s">
        <v>102</v>
      </c>
      <c r="B90" s="5">
        <v>52</v>
      </c>
      <c r="C90" s="5" t="s">
        <v>3</v>
      </c>
      <c r="D90" s="6">
        <v>103</v>
      </c>
      <c r="E90" s="7">
        <v>21.09</v>
      </c>
      <c r="F90" s="7">
        <v>5.1639999999999997</v>
      </c>
      <c r="G90" s="7">
        <v>5.5819999999999999</v>
      </c>
      <c r="H90" s="7">
        <v>3.323</v>
      </c>
      <c r="I90" s="7">
        <v>4.327</v>
      </c>
      <c r="J90" s="7">
        <v>5.56</v>
      </c>
      <c r="K90" s="7">
        <v>4.9790000000000001</v>
      </c>
      <c r="L90" s="7">
        <v>4.3869999999999996</v>
      </c>
      <c r="M90" s="7">
        <v>4.7270000000000003</v>
      </c>
      <c r="N90" s="7">
        <v>5.226</v>
      </c>
      <c r="O90" s="7">
        <v>4.9119999999999999</v>
      </c>
    </row>
    <row r="91" spans="1:15" x14ac:dyDescent="0.25">
      <c r="A91" s="5" t="s">
        <v>103</v>
      </c>
      <c r="B91" s="5">
        <v>54</v>
      </c>
      <c r="C91" s="5" t="s">
        <v>3</v>
      </c>
      <c r="D91" s="6">
        <v>75</v>
      </c>
      <c r="E91" s="7">
        <v>14.856</v>
      </c>
      <c r="F91" s="7">
        <v>3.363</v>
      </c>
      <c r="G91" s="7">
        <v>6.0350000000000001</v>
      </c>
      <c r="H91" s="7">
        <v>5.4470000000000001</v>
      </c>
      <c r="I91" s="7">
        <v>6.282</v>
      </c>
      <c r="J91" s="7">
        <v>5.0830000000000002</v>
      </c>
      <c r="K91" s="7">
        <v>6.1779999999999999</v>
      </c>
      <c r="L91" s="7">
        <v>5.55</v>
      </c>
      <c r="M91" s="7">
        <v>5.07</v>
      </c>
      <c r="N91" s="7">
        <v>5.0839999999999996</v>
      </c>
      <c r="O91" s="7">
        <v>4.5810000000000004</v>
      </c>
    </row>
    <row r="92" spans="1:15" x14ac:dyDescent="0.25">
      <c r="A92" s="5" t="s">
        <v>104</v>
      </c>
      <c r="B92" s="5">
        <v>22</v>
      </c>
      <c r="C92" s="5" t="s">
        <v>3</v>
      </c>
      <c r="D92" s="6">
        <v>113</v>
      </c>
      <c r="E92" s="7">
        <v>23.324999999999999</v>
      </c>
      <c r="F92" s="7">
        <v>5.5810000000000004</v>
      </c>
      <c r="G92" s="7">
        <v>4.2839999999999998</v>
      </c>
      <c r="H92" s="7">
        <v>4.1870000000000003</v>
      </c>
      <c r="I92" s="7">
        <v>4.6449999999999996</v>
      </c>
      <c r="J92" s="7">
        <v>5.7270000000000003</v>
      </c>
      <c r="K92" s="7">
        <v>4.468</v>
      </c>
      <c r="L92" s="7">
        <v>5.2519999999999998</v>
      </c>
      <c r="M92" s="7">
        <v>5.0659999999999998</v>
      </c>
      <c r="N92" s="7">
        <v>4.9489999999999998</v>
      </c>
      <c r="O92" s="7">
        <v>5.1120000000000001</v>
      </c>
    </row>
    <row r="93" spans="1:15" x14ac:dyDescent="0.25">
      <c r="A93" s="5" t="s">
        <v>105</v>
      </c>
      <c r="B93" s="5">
        <v>43</v>
      </c>
      <c r="C93" s="5" t="s">
        <v>3</v>
      </c>
      <c r="D93" s="6">
        <v>106</v>
      </c>
      <c r="E93" s="7">
        <v>21.91</v>
      </c>
      <c r="F93" s="7">
        <v>4.8710000000000004</v>
      </c>
      <c r="G93" s="7">
        <v>4.0780000000000003</v>
      </c>
      <c r="H93" s="7">
        <v>3.8610000000000002</v>
      </c>
      <c r="I93" s="7">
        <v>5.1029999999999998</v>
      </c>
      <c r="J93" s="7">
        <v>4.2690000000000001</v>
      </c>
      <c r="K93" s="7">
        <v>5.1950000000000003</v>
      </c>
      <c r="L93" s="7">
        <v>4.1390000000000002</v>
      </c>
      <c r="M93" s="7">
        <v>4.968</v>
      </c>
      <c r="N93" s="7">
        <v>5.0750000000000002</v>
      </c>
      <c r="O93" s="7">
        <v>5.2350000000000003</v>
      </c>
    </row>
    <row r="94" spans="1:15" x14ac:dyDescent="0.25">
      <c r="A94" s="5" t="s">
        <v>106</v>
      </c>
      <c r="B94" s="5">
        <v>79</v>
      </c>
      <c r="C94" s="5" t="s">
        <v>2</v>
      </c>
      <c r="D94" s="6">
        <v>117</v>
      </c>
      <c r="E94" s="7">
        <v>23.353000000000002</v>
      </c>
      <c r="F94" s="7">
        <v>5.4329999999999998</v>
      </c>
      <c r="G94" s="7">
        <v>4.0810000000000004</v>
      </c>
      <c r="H94" s="7">
        <v>5.8680000000000003</v>
      </c>
      <c r="I94" s="7">
        <v>5.4359999999999999</v>
      </c>
      <c r="J94" s="7">
        <v>4.8689999999999998</v>
      </c>
      <c r="K94" s="7">
        <v>4.9800000000000004</v>
      </c>
      <c r="L94" s="7">
        <v>5.6059999999999999</v>
      </c>
      <c r="M94" s="7">
        <v>5.2140000000000004</v>
      </c>
      <c r="N94" s="7">
        <v>4.9400000000000004</v>
      </c>
      <c r="O94" s="7">
        <v>5.0640000000000001</v>
      </c>
    </row>
    <row r="95" spans="1:15" x14ac:dyDescent="0.25">
      <c r="A95" s="5" t="s">
        <v>107</v>
      </c>
      <c r="B95" s="5">
        <v>21</v>
      </c>
      <c r="C95" s="5" t="s">
        <v>2</v>
      </c>
      <c r="D95" s="6">
        <v>98</v>
      </c>
      <c r="E95" s="7">
        <v>19.393999999999998</v>
      </c>
      <c r="F95" s="7">
        <v>4.7549999999999999</v>
      </c>
      <c r="G95" s="7">
        <v>6.3860000000000001</v>
      </c>
      <c r="H95" s="7">
        <v>3.55</v>
      </c>
      <c r="I95" s="7">
        <v>4.5110000000000001</v>
      </c>
      <c r="J95" s="7">
        <v>4.6079999999999997</v>
      </c>
      <c r="K95" s="7">
        <v>3.972</v>
      </c>
      <c r="L95" s="7">
        <v>5.4980000000000002</v>
      </c>
      <c r="M95" s="7">
        <v>5.0010000000000003</v>
      </c>
      <c r="N95" s="7">
        <v>4.9400000000000004</v>
      </c>
      <c r="O95" s="7">
        <v>5.101</v>
      </c>
    </row>
    <row r="96" spans="1:15" x14ac:dyDescent="0.25">
      <c r="A96" s="5" t="s">
        <v>108</v>
      </c>
      <c r="B96" s="5">
        <v>59</v>
      </c>
      <c r="C96" s="5" t="s">
        <v>3</v>
      </c>
      <c r="D96" s="6">
        <v>90</v>
      </c>
      <c r="E96" s="7">
        <v>18.248000000000001</v>
      </c>
      <c r="F96" s="7">
        <v>3.915</v>
      </c>
      <c r="G96" s="7">
        <v>5.6040000000000001</v>
      </c>
      <c r="H96" s="7">
        <v>4.2480000000000002</v>
      </c>
      <c r="I96" s="7">
        <v>3.9849999999999999</v>
      </c>
      <c r="J96" s="7">
        <v>4.9219999999999997</v>
      </c>
      <c r="K96" s="7">
        <v>6.0979999999999999</v>
      </c>
      <c r="L96" s="7">
        <v>4.3369999999999997</v>
      </c>
      <c r="M96" s="7">
        <v>5.0709999999999997</v>
      </c>
      <c r="N96" s="7">
        <v>5.0129999999999999</v>
      </c>
      <c r="O96" s="7">
        <v>4.8840000000000003</v>
      </c>
    </row>
    <row r="97" spans="1:15" x14ac:dyDescent="0.25">
      <c r="A97" s="5" t="s">
        <v>109</v>
      </c>
      <c r="B97" s="5">
        <v>35</v>
      </c>
      <c r="C97" s="5" t="s">
        <v>3</v>
      </c>
      <c r="D97" s="6">
        <v>123</v>
      </c>
      <c r="E97" s="7">
        <v>24.475999999999999</v>
      </c>
      <c r="F97" s="7">
        <v>6.681</v>
      </c>
      <c r="G97" s="7">
        <v>5.0650000000000004</v>
      </c>
      <c r="H97" s="7">
        <v>2.89</v>
      </c>
      <c r="I97" s="7">
        <v>5.0209999999999999</v>
      </c>
      <c r="J97" s="7">
        <v>4.9950000000000001</v>
      </c>
      <c r="K97" s="7">
        <v>4.6749999999999998</v>
      </c>
      <c r="L97" s="7">
        <v>4.5330000000000004</v>
      </c>
      <c r="M97" s="7">
        <v>4.7300000000000004</v>
      </c>
      <c r="N97" s="7">
        <v>4.7789999999999999</v>
      </c>
      <c r="O97" s="7">
        <v>5.1219999999999999</v>
      </c>
    </row>
    <row r="98" spans="1:15" x14ac:dyDescent="0.25">
      <c r="A98" s="5" t="s">
        <v>110</v>
      </c>
      <c r="B98" s="5">
        <v>57</v>
      </c>
      <c r="C98" s="5" t="s">
        <v>2</v>
      </c>
      <c r="D98" s="6">
        <v>108</v>
      </c>
      <c r="E98" s="7">
        <v>21.187999999999999</v>
      </c>
      <c r="F98" s="7">
        <v>5.1760000000000002</v>
      </c>
      <c r="G98" s="7">
        <v>4.468</v>
      </c>
      <c r="H98" s="7">
        <v>6.1740000000000004</v>
      </c>
      <c r="I98" s="7">
        <v>5.4850000000000003</v>
      </c>
      <c r="J98" s="7">
        <v>5.4180000000000001</v>
      </c>
      <c r="K98" s="7">
        <v>5.3550000000000004</v>
      </c>
      <c r="L98" s="7">
        <v>4.976</v>
      </c>
      <c r="M98" s="7">
        <v>5.42</v>
      </c>
      <c r="N98" s="7">
        <v>4.5389999999999997</v>
      </c>
      <c r="O98" s="7">
        <v>5.0179999999999998</v>
      </c>
    </row>
    <row r="99" spans="1:15" x14ac:dyDescent="0.25">
      <c r="A99" s="5" t="s">
        <v>111</v>
      </c>
      <c r="B99" s="5">
        <v>56</v>
      </c>
      <c r="C99" s="5" t="s">
        <v>2</v>
      </c>
      <c r="D99" s="6">
        <v>81</v>
      </c>
      <c r="E99" s="7">
        <v>16.655999999999999</v>
      </c>
      <c r="F99" s="7">
        <v>2.9289999999999998</v>
      </c>
      <c r="G99" s="7">
        <v>5.9240000000000004</v>
      </c>
      <c r="H99" s="7">
        <v>5.0810000000000004</v>
      </c>
      <c r="I99" s="7">
        <v>5.7880000000000003</v>
      </c>
      <c r="J99" s="7">
        <v>4.9960000000000004</v>
      </c>
      <c r="K99" s="7">
        <v>5.38</v>
      </c>
      <c r="L99" s="7">
        <v>4.7809999999999997</v>
      </c>
      <c r="M99" s="7">
        <v>5.0019999999999998</v>
      </c>
      <c r="N99" s="7">
        <v>5.0129999999999999</v>
      </c>
      <c r="O99" s="7">
        <v>5.2640000000000002</v>
      </c>
    </row>
    <row r="100" spans="1:15" x14ac:dyDescent="0.25">
      <c r="A100" s="5" t="s">
        <v>112</v>
      </c>
      <c r="B100" s="5">
        <v>31</v>
      </c>
      <c r="C100" s="5" t="s">
        <v>3</v>
      </c>
      <c r="D100" s="6">
        <v>107</v>
      </c>
      <c r="E100" s="7">
        <v>21.832999999999998</v>
      </c>
      <c r="F100" s="7">
        <v>5.2110000000000003</v>
      </c>
      <c r="G100" s="7">
        <v>4.7930000000000001</v>
      </c>
      <c r="H100" s="7">
        <v>4.4480000000000004</v>
      </c>
      <c r="I100" s="7">
        <v>4.8120000000000003</v>
      </c>
      <c r="J100" s="7">
        <v>5.149</v>
      </c>
      <c r="K100" s="7">
        <v>5.101</v>
      </c>
      <c r="L100" s="7">
        <v>5.09</v>
      </c>
      <c r="M100" s="7">
        <v>5.3159999999999998</v>
      </c>
      <c r="N100" s="7">
        <v>4.1630000000000003</v>
      </c>
      <c r="O100" s="7">
        <v>5.226</v>
      </c>
    </row>
    <row r="101" spans="1:15" x14ac:dyDescent="0.25">
      <c r="A101" s="5" t="s">
        <v>113</v>
      </c>
      <c r="B101" s="5">
        <v>49</v>
      </c>
      <c r="C101" s="5" t="s">
        <v>3</v>
      </c>
      <c r="D101" s="6">
        <v>94</v>
      </c>
      <c r="E101" s="7">
        <v>18.855</v>
      </c>
      <c r="F101" s="7">
        <v>4.4169999999999998</v>
      </c>
      <c r="G101" s="7">
        <v>5.5869999999999997</v>
      </c>
      <c r="H101" s="7">
        <v>5.7080000000000002</v>
      </c>
      <c r="I101" s="7">
        <v>6.0309999999999997</v>
      </c>
      <c r="J101" s="7">
        <v>5.3079999999999998</v>
      </c>
      <c r="K101" s="7">
        <v>5.2480000000000002</v>
      </c>
      <c r="L101" s="7">
        <v>5.1890000000000001</v>
      </c>
      <c r="M101" s="7">
        <v>4.9370000000000003</v>
      </c>
      <c r="N101" s="7">
        <v>4.9470000000000001</v>
      </c>
      <c r="O101" s="7">
        <v>5.0049999999999999</v>
      </c>
    </row>
    <row r="102" spans="1:15" x14ac:dyDescent="0.25">
      <c r="A102" s="5" t="s">
        <v>114</v>
      </c>
      <c r="B102" s="5">
        <v>68</v>
      </c>
      <c r="C102" s="5" t="s">
        <v>3</v>
      </c>
      <c r="D102" s="6">
        <v>104</v>
      </c>
      <c r="E102" s="7">
        <v>20.350000000000001</v>
      </c>
      <c r="F102" s="7">
        <v>5.0179999999999998</v>
      </c>
      <c r="G102" s="7">
        <v>5.1829999999999998</v>
      </c>
      <c r="H102" s="7">
        <v>5.0270000000000001</v>
      </c>
      <c r="I102" s="7">
        <v>4.9649999999999999</v>
      </c>
      <c r="J102" s="7">
        <v>4.891</v>
      </c>
      <c r="K102" s="7">
        <v>4.5389999999999997</v>
      </c>
      <c r="L102" s="7">
        <v>5.31</v>
      </c>
      <c r="M102" s="7">
        <v>5.0039999999999996</v>
      </c>
      <c r="N102" s="7">
        <v>5.4950000000000001</v>
      </c>
      <c r="O102" s="7">
        <v>5.0540000000000003</v>
      </c>
    </row>
    <row r="103" spans="1:15" x14ac:dyDescent="0.25">
      <c r="A103" s="5" t="s">
        <v>115</v>
      </c>
      <c r="B103" s="5">
        <v>55</v>
      </c>
      <c r="C103" s="5" t="s">
        <v>3</v>
      </c>
      <c r="D103" s="6">
        <v>116</v>
      </c>
      <c r="E103" s="7">
        <v>22.762</v>
      </c>
      <c r="F103" s="7">
        <v>6.4950000000000001</v>
      </c>
      <c r="G103" s="7">
        <v>4.9740000000000002</v>
      </c>
      <c r="H103" s="7">
        <v>4.8540000000000001</v>
      </c>
      <c r="I103" s="7">
        <v>5.3470000000000004</v>
      </c>
      <c r="J103" s="7">
        <v>4.1660000000000004</v>
      </c>
      <c r="K103" s="7">
        <v>4.6559999999999997</v>
      </c>
      <c r="L103" s="7">
        <v>4.3339999999999996</v>
      </c>
      <c r="M103" s="7">
        <v>4.1420000000000003</v>
      </c>
      <c r="N103" s="7">
        <v>5.319</v>
      </c>
      <c r="O103" s="7">
        <v>5.1159999999999997</v>
      </c>
    </row>
    <row r="104" spans="1:15" x14ac:dyDescent="0.25">
      <c r="A104" s="5" t="s">
        <v>116</v>
      </c>
      <c r="B104" s="5">
        <v>40</v>
      </c>
      <c r="C104" s="5" t="s">
        <v>2</v>
      </c>
      <c r="D104" s="6">
        <v>110</v>
      </c>
      <c r="E104" s="7">
        <v>22.038</v>
      </c>
      <c r="F104" s="7">
        <v>4.5750000000000002</v>
      </c>
      <c r="G104" s="7">
        <v>4.0960000000000001</v>
      </c>
      <c r="H104" s="7">
        <v>5.3869999999999996</v>
      </c>
      <c r="I104" s="7">
        <v>5.1420000000000003</v>
      </c>
      <c r="J104" s="7">
        <v>4.6710000000000003</v>
      </c>
      <c r="K104" s="7">
        <v>5.2329999999999997</v>
      </c>
      <c r="L104" s="7">
        <v>5.7309999999999999</v>
      </c>
      <c r="M104" s="7">
        <v>4.9909999999999997</v>
      </c>
      <c r="N104" s="7">
        <v>4.3609999999999998</v>
      </c>
      <c r="O104" s="7">
        <v>4.7489999999999997</v>
      </c>
    </row>
    <row r="105" spans="1:15" x14ac:dyDescent="0.25">
      <c r="A105" s="5" t="s">
        <v>117</v>
      </c>
      <c r="B105" s="5">
        <v>80</v>
      </c>
      <c r="C105" s="5" t="s">
        <v>3</v>
      </c>
      <c r="D105" s="6">
        <v>117</v>
      </c>
      <c r="E105" s="7">
        <v>23.222000000000001</v>
      </c>
      <c r="F105" s="7">
        <v>6.6859999999999999</v>
      </c>
      <c r="G105" s="7">
        <v>6.8070000000000004</v>
      </c>
      <c r="H105" s="7">
        <v>4.4119999999999999</v>
      </c>
      <c r="I105" s="7">
        <v>3.6240000000000001</v>
      </c>
      <c r="J105" s="7">
        <v>4.59</v>
      </c>
      <c r="K105" s="7">
        <v>4.819</v>
      </c>
      <c r="L105" s="7">
        <v>4.68</v>
      </c>
      <c r="M105" s="7">
        <v>4.694</v>
      </c>
      <c r="N105" s="7">
        <v>5.0839999999999996</v>
      </c>
      <c r="O105" s="7">
        <v>4.9550000000000001</v>
      </c>
    </row>
    <row r="106" spans="1:15" x14ac:dyDescent="0.25">
      <c r="A106" s="5" t="s">
        <v>118</v>
      </c>
      <c r="B106" s="5">
        <v>32</v>
      </c>
      <c r="C106" s="5" t="s">
        <v>3</v>
      </c>
      <c r="D106" s="6">
        <v>111</v>
      </c>
      <c r="E106" s="7">
        <v>22.077999999999999</v>
      </c>
      <c r="F106" s="7">
        <v>5.3650000000000002</v>
      </c>
      <c r="G106" s="7">
        <v>4.1440000000000001</v>
      </c>
      <c r="H106" s="7">
        <v>4.157</v>
      </c>
      <c r="I106" s="7">
        <v>4.2080000000000002</v>
      </c>
      <c r="J106" s="7">
        <v>4.6289999999999996</v>
      </c>
      <c r="K106" s="7">
        <v>5.3010000000000002</v>
      </c>
      <c r="L106" s="7">
        <v>5.7759999999999998</v>
      </c>
      <c r="M106" s="7">
        <v>4.3929999999999998</v>
      </c>
      <c r="N106" s="7">
        <v>4.5110000000000001</v>
      </c>
      <c r="O106" s="7">
        <v>5.4009999999999998</v>
      </c>
    </row>
    <row r="107" spans="1:15" x14ac:dyDescent="0.25">
      <c r="A107" s="5" t="s">
        <v>119</v>
      </c>
      <c r="B107" s="5">
        <v>42</v>
      </c>
      <c r="C107" s="5" t="s">
        <v>3</v>
      </c>
      <c r="D107" s="6">
        <v>101</v>
      </c>
      <c r="E107" s="7">
        <v>20.564</v>
      </c>
      <c r="F107" s="7">
        <v>3.903</v>
      </c>
      <c r="G107" s="7">
        <v>3.5339999999999998</v>
      </c>
      <c r="H107" s="7">
        <v>4.4809999999999999</v>
      </c>
      <c r="I107" s="7">
        <v>6.2960000000000003</v>
      </c>
      <c r="J107" s="7">
        <v>5.0590000000000002</v>
      </c>
      <c r="K107" s="7">
        <v>5.827</v>
      </c>
      <c r="L107" s="7">
        <v>5.4530000000000003</v>
      </c>
      <c r="M107" s="7">
        <v>4.9260000000000002</v>
      </c>
      <c r="N107" s="7">
        <v>4.6630000000000003</v>
      </c>
      <c r="O107" s="7">
        <v>4.5730000000000004</v>
      </c>
    </row>
    <row r="108" spans="1:15" x14ac:dyDescent="0.25">
      <c r="A108" s="5" t="s">
        <v>120</v>
      </c>
      <c r="B108" s="5">
        <v>34</v>
      </c>
      <c r="C108" s="5" t="s">
        <v>3</v>
      </c>
      <c r="D108" s="6">
        <v>128</v>
      </c>
      <c r="E108" s="7">
        <v>25.861000000000001</v>
      </c>
      <c r="F108" s="7">
        <v>6.93</v>
      </c>
      <c r="G108" s="7">
        <v>4.8</v>
      </c>
      <c r="H108" s="7">
        <v>4.6950000000000003</v>
      </c>
      <c r="I108" s="7">
        <v>5.359</v>
      </c>
      <c r="J108" s="7">
        <v>5.2039999999999997</v>
      </c>
      <c r="K108" s="7">
        <v>4.3810000000000002</v>
      </c>
      <c r="L108" s="7">
        <v>5.0670000000000002</v>
      </c>
      <c r="M108" s="7">
        <v>5.1539999999999999</v>
      </c>
      <c r="N108" s="7">
        <v>4.9640000000000004</v>
      </c>
      <c r="O108" s="7">
        <v>4.8780000000000001</v>
      </c>
    </row>
    <row r="109" spans="1:15" x14ac:dyDescent="0.25">
      <c r="A109" s="5" t="s">
        <v>121</v>
      </c>
      <c r="B109" s="5">
        <v>83</v>
      </c>
      <c r="C109" s="5" t="s">
        <v>2</v>
      </c>
      <c r="D109" s="6">
        <v>110</v>
      </c>
      <c r="E109" s="7">
        <v>22.491</v>
      </c>
      <c r="F109" s="7">
        <v>5.6230000000000002</v>
      </c>
      <c r="G109" s="7">
        <v>4.7469999999999999</v>
      </c>
      <c r="H109" s="7">
        <v>5.4139999999999997</v>
      </c>
      <c r="I109" s="7">
        <v>5.4269999999999996</v>
      </c>
      <c r="J109" s="7">
        <v>5</v>
      </c>
      <c r="K109" s="7">
        <v>5.8339999999999996</v>
      </c>
      <c r="L109" s="7">
        <v>5.085</v>
      </c>
      <c r="M109" s="7">
        <v>4.8250000000000002</v>
      </c>
      <c r="N109" s="7">
        <v>5.2149999999999999</v>
      </c>
      <c r="O109" s="7">
        <v>4.9560000000000004</v>
      </c>
    </row>
    <row r="110" spans="1:15" x14ac:dyDescent="0.25">
      <c r="A110" s="5" t="s">
        <v>122</v>
      </c>
      <c r="B110" s="5">
        <v>70</v>
      </c>
      <c r="C110" s="5" t="s">
        <v>2</v>
      </c>
      <c r="D110" s="6">
        <v>117</v>
      </c>
      <c r="E110" s="7">
        <v>23.047000000000001</v>
      </c>
      <c r="F110" s="7">
        <v>5.657</v>
      </c>
      <c r="G110" s="7">
        <v>4.1980000000000004</v>
      </c>
      <c r="H110" s="7">
        <v>5.2750000000000004</v>
      </c>
      <c r="I110" s="7">
        <v>4.5960000000000001</v>
      </c>
      <c r="J110" s="7">
        <v>4.6020000000000003</v>
      </c>
      <c r="K110" s="7">
        <v>4.9139999999999997</v>
      </c>
      <c r="L110" s="7">
        <v>4.59</v>
      </c>
      <c r="M110" s="7">
        <v>4.556</v>
      </c>
      <c r="N110" s="7">
        <v>5.09</v>
      </c>
      <c r="O110" s="7">
        <v>4.7770000000000001</v>
      </c>
    </row>
    <row r="111" spans="1:15" x14ac:dyDescent="0.25">
      <c r="A111" s="5" t="s">
        <v>123</v>
      </c>
      <c r="B111" s="5">
        <v>68</v>
      </c>
      <c r="C111" s="5" t="s">
        <v>2</v>
      </c>
      <c r="D111" s="6">
        <v>87</v>
      </c>
      <c r="E111" s="7">
        <v>17.277999999999999</v>
      </c>
      <c r="F111" s="7">
        <v>3.5369999999999999</v>
      </c>
      <c r="G111" s="7">
        <v>5.532</v>
      </c>
      <c r="H111" s="7">
        <v>4.0039999999999996</v>
      </c>
      <c r="I111" s="7">
        <v>5.093</v>
      </c>
      <c r="J111" s="7">
        <v>5.3179999999999996</v>
      </c>
      <c r="K111" s="7">
        <v>6.2190000000000003</v>
      </c>
      <c r="L111" s="7">
        <v>4.7560000000000002</v>
      </c>
      <c r="M111" s="7">
        <v>5.343</v>
      </c>
      <c r="N111" s="7">
        <v>4.42</v>
      </c>
      <c r="O111" s="7">
        <v>5.109</v>
      </c>
    </row>
    <row r="112" spans="1:15" x14ac:dyDescent="0.25">
      <c r="A112" s="5" t="s">
        <v>124</v>
      </c>
      <c r="B112" s="5">
        <v>56</v>
      </c>
      <c r="C112" s="5" t="s">
        <v>3</v>
      </c>
      <c r="D112" s="6">
        <v>115</v>
      </c>
      <c r="E112" s="7">
        <v>23.27</v>
      </c>
      <c r="F112" s="7">
        <v>5.8540000000000001</v>
      </c>
      <c r="G112" s="7">
        <v>4.6680000000000001</v>
      </c>
      <c r="H112" s="7">
        <v>6.8109999999999999</v>
      </c>
      <c r="I112" s="7">
        <v>5.3949999999999996</v>
      </c>
      <c r="J112" s="7">
        <v>4.2169999999999996</v>
      </c>
      <c r="K112" s="7">
        <v>5.17</v>
      </c>
      <c r="L112" s="7">
        <v>4.2210000000000001</v>
      </c>
      <c r="M112" s="7">
        <v>5.7149999999999999</v>
      </c>
      <c r="N112" s="7">
        <v>5.3120000000000003</v>
      </c>
      <c r="O112" s="7">
        <v>5.2519999999999998</v>
      </c>
    </row>
    <row r="113" spans="1:15" x14ac:dyDescent="0.25">
      <c r="A113" s="5" t="s">
        <v>125</v>
      </c>
      <c r="B113" s="5">
        <v>68</v>
      </c>
      <c r="C113" s="5" t="s">
        <v>3</v>
      </c>
      <c r="D113" s="6">
        <v>112</v>
      </c>
      <c r="E113" s="7">
        <v>22.56</v>
      </c>
      <c r="F113" s="7">
        <v>5.58</v>
      </c>
      <c r="G113" s="7">
        <v>5.38</v>
      </c>
      <c r="H113" s="7">
        <v>5.6079999999999997</v>
      </c>
      <c r="I113" s="7">
        <v>5.1189999999999998</v>
      </c>
      <c r="J113" s="7">
        <v>3.1030000000000002</v>
      </c>
      <c r="K113" s="7">
        <v>5.6559999999999997</v>
      </c>
      <c r="L113" s="7">
        <v>4.6820000000000004</v>
      </c>
      <c r="M113" s="7">
        <v>5.3730000000000002</v>
      </c>
      <c r="N113" s="7">
        <v>4.96</v>
      </c>
      <c r="O113" s="7">
        <v>4.9950000000000001</v>
      </c>
    </row>
    <row r="114" spans="1:15" x14ac:dyDescent="0.25">
      <c r="A114" s="5" t="s">
        <v>126</v>
      </c>
      <c r="B114" s="5">
        <v>23</v>
      </c>
      <c r="C114" s="5" t="s">
        <v>2</v>
      </c>
      <c r="D114" s="6">
        <v>90</v>
      </c>
      <c r="E114" s="7">
        <v>18.545999999999999</v>
      </c>
      <c r="F114" s="7">
        <v>4.0810000000000004</v>
      </c>
      <c r="G114" s="7">
        <v>6.1719999999999997</v>
      </c>
      <c r="H114" s="7">
        <v>5.42</v>
      </c>
      <c r="I114" s="7">
        <v>4.5149999999999997</v>
      </c>
      <c r="J114" s="7">
        <v>4.968</v>
      </c>
      <c r="K114" s="7">
        <v>5.0229999999999997</v>
      </c>
      <c r="L114" s="7">
        <v>4.5190000000000001</v>
      </c>
      <c r="M114" s="7">
        <v>4.798</v>
      </c>
      <c r="N114" s="7">
        <v>5.2480000000000002</v>
      </c>
      <c r="O114" s="7">
        <v>5.1539999999999999</v>
      </c>
    </row>
    <row r="115" spans="1:15" x14ac:dyDescent="0.25">
      <c r="A115" s="5" t="s">
        <v>127</v>
      </c>
      <c r="B115" s="5">
        <v>24</v>
      </c>
      <c r="C115" s="5" t="s">
        <v>3</v>
      </c>
      <c r="D115" s="6">
        <v>117</v>
      </c>
      <c r="E115" s="7">
        <v>24.058</v>
      </c>
      <c r="F115" s="7">
        <v>5.5179999999999998</v>
      </c>
      <c r="G115" s="7">
        <v>5.4050000000000002</v>
      </c>
      <c r="H115" s="7">
        <v>3.972</v>
      </c>
      <c r="I115" s="7">
        <v>3.5550000000000002</v>
      </c>
      <c r="J115" s="7">
        <v>3.7709999999999999</v>
      </c>
      <c r="K115" s="7">
        <v>4.5869999999999997</v>
      </c>
      <c r="L115" s="7">
        <v>5.2110000000000003</v>
      </c>
      <c r="M115" s="7">
        <v>4.5229999999999997</v>
      </c>
      <c r="N115" s="7">
        <v>4.5170000000000003</v>
      </c>
      <c r="O115" s="7">
        <v>5.0529999999999999</v>
      </c>
    </row>
    <row r="116" spans="1:15" x14ac:dyDescent="0.25">
      <c r="A116" s="5" t="s">
        <v>128</v>
      </c>
      <c r="B116" s="5">
        <v>68</v>
      </c>
      <c r="C116" s="5" t="s">
        <v>2</v>
      </c>
      <c r="D116" s="6">
        <v>111</v>
      </c>
      <c r="E116" s="7">
        <v>22.391999999999999</v>
      </c>
      <c r="F116" s="7">
        <v>5.4950000000000001</v>
      </c>
      <c r="G116" s="7">
        <v>6.3129999999999997</v>
      </c>
      <c r="H116" s="7">
        <v>4.9429999999999996</v>
      </c>
      <c r="I116" s="7">
        <v>6.8520000000000003</v>
      </c>
      <c r="J116" s="7">
        <v>4.0839999999999996</v>
      </c>
      <c r="K116" s="7">
        <v>4.7009999999999996</v>
      </c>
      <c r="L116" s="7">
        <v>4.2919999999999998</v>
      </c>
      <c r="M116" s="7">
        <v>4.8869999999999996</v>
      </c>
      <c r="N116" s="7">
        <v>5.0190000000000001</v>
      </c>
      <c r="O116" s="7">
        <v>5.0629999999999997</v>
      </c>
    </row>
    <row r="117" spans="1:15" x14ac:dyDescent="0.25">
      <c r="A117" s="5" t="s">
        <v>129</v>
      </c>
      <c r="B117" s="5">
        <v>59</v>
      </c>
      <c r="C117" s="5" t="s">
        <v>2</v>
      </c>
      <c r="D117" s="6">
        <v>107</v>
      </c>
      <c r="E117" s="7">
        <v>21.777999999999999</v>
      </c>
      <c r="F117" s="7">
        <v>5.6639999999999997</v>
      </c>
      <c r="G117" s="7">
        <v>5.3029999999999999</v>
      </c>
      <c r="H117" s="7">
        <v>4.84</v>
      </c>
      <c r="I117" s="7">
        <v>6.9130000000000003</v>
      </c>
      <c r="J117" s="7">
        <v>4.7699999999999996</v>
      </c>
      <c r="K117" s="7">
        <v>4.6159999999999997</v>
      </c>
      <c r="L117" s="7">
        <v>4.8310000000000004</v>
      </c>
      <c r="M117" s="7">
        <v>5.5259999999999998</v>
      </c>
      <c r="N117" s="7">
        <v>4.9269999999999996</v>
      </c>
      <c r="O117" s="7">
        <v>5.319</v>
      </c>
    </row>
    <row r="118" spans="1:15" x14ac:dyDescent="0.25">
      <c r="A118" s="5" t="s">
        <v>130</v>
      </c>
      <c r="B118" s="5">
        <v>81</v>
      </c>
      <c r="C118" s="5" t="s">
        <v>2</v>
      </c>
      <c r="D118" s="6">
        <v>90</v>
      </c>
      <c r="E118" s="7">
        <v>17.885000000000002</v>
      </c>
      <c r="F118" s="7">
        <v>4.29</v>
      </c>
      <c r="G118" s="7">
        <v>5.47</v>
      </c>
      <c r="H118" s="7">
        <v>5.3360000000000003</v>
      </c>
      <c r="I118" s="7">
        <v>3.226</v>
      </c>
      <c r="J118" s="7">
        <v>5.3129999999999997</v>
      </c>
      <c r="K118" s="7">
        <v>4.2919999999999998</v>
      </c>
      <c r="L118" s="7">
        <v>4.3259999999999996</v>
      </c>
      <c r="M118" s="7">
        <v>4.7039999999999997</v>
      </c>
      <c r="N118" s="7">
        <v>4.4820000000000002</v>
      </c>
      <c r="O118" s="7">
        <v>5.024</v>
      </c>
    </row>
    <row r="119" spans="1:15" x14ac:dyDescent="0.25">
      <c r="A119" s="5" t="s">
        <v>131</v>
      </c>
      <c r="B119" s="5">
        <v>32</v>
      </c>
      <c r="C119" s="5" t="s">
        <v>2</v>
      </c>
      <c r="D119" s="6">
        <v>96</v>
      </c>
      <c r="E119" s="7">
        <v>19.204999999999998</v>
      </c>
      <c r="F119" s="7">
        <v>3.6930000000000001</v>
      </c>
      <c r="G119" s="7">
        <v>4.7889999999999997</v>
      </c>
      <c r="H119" s="7">
        <v>4.8920000000000003</v>
      </c>
      <c r="I119" s="7">
        <v>5.4539999999999997</v>
      </c>
      <c r="J119" s="7">
        <v>4.0430000000000001</v>
      </c>
      <c r="K119" s="7">
        <v>3.4</v>
      </c>
      <c r="L119" s="7">
        <v>5.0110000000000001</v>
      </c>
      <c r="M119" s="7">
        <v>4.8769999999999998</v>
      </c>
      <c r="N119" s="7">
        <v>4.5350000000000001</v>
      </c>
      <c r="O119" s="7">
        <v>5.4859999999999998</v>
      </c>
    </row>
    <row r="120" spans="1:15" x14ac:dyDescent="0.25">
      <c r="A120" s="5" t="s">
        <v>132</v>
      </c>
      <c r="B120" s="5">
        <v>46</v>
      </c>
      <c r="C120" s="5" t="s">
        <v>3</v>
      </c>
      <c r="D120" s="6">
        <v>94</v>
      </c>
      <c r="E120" s="7">
        <v>19.125</v>
      </c>
      <c r="F120" s="7">
        <v>4.258</v>
      </c>
      <c r="G120" s="7">
        <v>5.5490000000000004</v>
      </c>
      <c r="H120" s="7">
        <v>5.2839999999999998</v>
      </c>
      <c r="I120" s="7">
        <v>4.6630000000000003</v>
      </c>
      <c r="J120" s="7">
        <v>4.0010000000000003</v>
      </c>
      <c r="K120" s="7">
        <v>4.4889999999999999</v>
      </c>
      <c r="L120" s="7">
        <v>5.1829999999999998</v>
      </c>
      <c r="M120" s="7">
        <v>5.1890000000000001</v>
      </c>
      <c r="N120" s="7">
        <v>4.6470000000000002</v>
      </c>
      <c r="O120" s="7">
        <v>4.9649999999999999</v>
      </c>
    </row>
    <row r="121" spans="1:15" x14ac:dyDescent="0.25">
      <c r="A121" s="5" t="s">
        <v>133</v>
      </c>
      <c r="B121" s="5">
        <v>50</v>
      </c>
      <c r="C121" s="5" t="s">
        <v>3</v>
      </c>
      <c r="D121" s="6">
        <v>89</v>
      </c>
      <c r="E121" s="7">
        <v>18.375</v>
      </c>
      <c r="F121" s="7">
        <v>3.532</v>
      </c>
      <c r="G121" s="7">
        <v>5.5579999999999998</v>
      </c>
      <c r="H121" s="7">
        <v>5.4669999999999996</v>
      </c>
      <c r="I121" s="7">
        <v>5.2789999999999999</v>
      </c>
      <c r="J121" s="7">
        <v>4.923</v>
      </c>
      <c r="K121" s="7">
        <v>4.4409999999999998</v>
      </c>
      <c r="L121" s="7">
        <v>5.1589999999999998</v>
      </c>
      <c r="M121" s="7">
        <v>5.36</v>
      </c>
      <c r="N121" s="7">
        <v>4.282</v>
      </c>
      <c r="O121" s="7">
        <v>5.2039999999999997</v>
      </c>
    </row>
    <row r="122" spans="1:15" x14ac:dyDescent="0.25">
      <c r="A122" s="5" t="s">
        <v>134</v>
      </c>
      <c r="B122" s="5">
        <v>44</v>
      </c>
      <c r="C122" s="5" t="s">
        <v>2</v>
      </c>
      <c r="D122" s="6">
        <v>104</v>
      </c>
      <c r="E122" s="7">
        <v>21.06</v>
      </c>
      <c r="F122" s="7">
        <v>4.6079999999999997</v>
      </c>
      <c r="G122" s="7">
        <v>4.6429999999999998</v>
      </c>
      <c r="H122" s="7">
        <v>5.5609999999999999</v>
      </c>
      <c r="I122" s="7">
        <v>4.7809999999999997</v>
      </c>
      <c r="J122" s="7">
        <v>5.5389999999999997</v>
      </c>
      <c r="K122" s="7">
        <v>5.78</v>
      </c>
      <c r="L122" s="7">
        <v>5.5069999999999997</v>
      </c>
      <c r="M122" s="7">
        <v>4.8479999999999999</v>
      </c>
      <c r="N122" s="7">
        <v>4.7640000000000002</v>
      </c>
      <c r="O122" s="7">
        <v>5.4409999999999998</v>
      </c>
    </row>
    <row r="123" spans="1:15" x14ac:dyDescent="0.25">
      <c r="A123" s="5" t="s">
        <v>135</v>
      </c>
      <c r="B123" s="5">
        <v>53</v>
      </c>
      <c r="C123" s="5" t="s">
        <v>3</v>
      </c>
      <c r="D123" s="6">
        <v>113</v>
      </c>
      <c r="E123" s="7">
        <v>22.57</v>
      </c>
      <c r="F123" s="7">
        <v>5.8419999999999996</v>
      </c>
      <c r="G123" s="7">
        <v>5.6479999999999997</v>
      </c>
      <c r="H123" s="7">
        <v>5.1970000000000001</v>
      </c>
      <c r="I123" s="7">
        <v>5.2359999999999998</v>
      </c>
      <c r="J123" s="7">
        <v>5.3810000000000002</v>
      </c>
      <c r="K123" s="7">
        <v>3.9369999999999998</v>
      </c>
      <c r="L123" s="7">
        <v>4.8479999999999999</v>
      </c>
      <c r="M123" s="7">
        <v>4.5910000000000002</v>
      </c>
      <c r="N123" s="7">
        <v>5.0739999999999998</v>
      </c>
      <c r="O123" s="7">
        <v>4.9550000000000001</v>
      </c>
    </row>
    <row r="124" spans="1:15" x14ac:dyDescent="0.25">
      <c r="A124" s="5" t="s">
        <v>136</v>
      </c>
      <c r="B124" s="5">
        <v>46</v>
      </c>
      <c r="C124" s="5" t="s">
        <v>2</v>
      </c>
      <c r="D124" s="6">
        <v>113</v>
      </c>
      <c r="E124" s="7">
        <v>23.091000000000001</v>
      </c>
      <c r="F124" s="7">
        <v>5.0830000000000002</v>
      </c>
      <c r="G124" s="7">
        <v>3.274</v>
      </c>
      <c r="H124" s="7">
        <v>2.903</v>
      </c>
      <c r="I124" s="7">
        <v>4.5609999999999999</v>
      </c>
      <c r="J124" s="7">
        <v>4.4560000000000004</v>
      </c>
      <c r="K124" s="7">
        <v>4.4610000000000003</v>
      </c>
      <c r="L124" s="7">
        <v>5.1319999999999997</v>
      </c>
      <c r="M124" s="7">
        <v>4.8730000000000002</v>
      </c>
      <c r="N124" s="7">
        <v>4.9800000000000004</v>
      </c>
      <c r="O124" s="7">
        <v>4.944</v>
      </c>
    </row>
    <row r="125" spans="1:15" x14ac:dyDescent="0.25">
      <c r="A125" s="5" t="s">
        <v>137</v>
      </c>
      <c r="B125" s="5">
        <v>55</v>
      </c>
      <c r="C125" s="5" t="s">
        <v>2</v>
      </c>
      <c r="D125" s="6">
        <v>106</v>
      </c>
      <c r="E125" s="7">
        <v>20.419</v>
      </c>
      <c r="F125" s="7">
        <v>5.3150000000000004</v>
      </c>
      <c r="G125" s="7">
        <v>6.2380000000000004</v>
      </c>
      <c r="H125" s="7">
        <v>5.375</v>
      </c>
      <c r="I125" s="7">
        <v>4.4720000000000004</v>
      </c>
      <c r="J125" s="7">
        <v>5.2220000000000004</v>
      </c>
      <c r="K125" s="7">
        <v>5.3090000000000002</v>
      </c>
      <c r="L125" s="7">
        <v>4.5890000000000004</v>
      </c>
      <c r="M125" s="7">
        <v>5.4669999999999996</v>
      </c>
      <c r="N125" s="7">
        <v>5.431</v>
      </c>
      <c r="O125" s="7">
        <v>4.5919999999999996</v>
      </c>
    </row>
    <row r="126" spans="1:15" x14ac:dyDescent="0.25">
      <c r="A126" s="5" t="s">
        <v>138</v>
      </c>
      <c r="B126" s="5">
        <v>74</v>
      </c>
      <c r="C126" s="5" t="s">
        <v>3</v>
      </c>
      <c r="D126" s="6">
        <v>115</v>
      </c>
      <c r="E126" s="7">
        <v>22.492999999999999</v>
      </c>
      <c r="F126" s="7">
        <v>5.79</v>
      </c>
      <c r="G126" s="7">
        <v>4.1689999999999996</v>
      </c>
      <c r="H126" s="7">
        <v>5.907</v>
      </c>
      <c r="I126" s="7">
        <v>6.0910000000000002</v>
      </c>
      <c r="J126" s="7">
        <v>4.8559999999999999</v>
      </c>
      <c r="K126" s="7">
        <v>5.81</v>
      </c>
      <c r="L126" s="7">
        <v>4.1369999999999996</v>
      </c>
      <c r="M126" s="7">
        <v>5.0940000000000003</v>
      </c>
      <c r="N126" s="7">
        <v>4.6559999999999997</v>
      </c>
      <c r="O126" s="7">
        <v>4.9509999999999996</v>
      </c>
    </row>
    <row r="127" spans="1:15" x14ac:dyDescent="0.25">
      <c r="A127" s="5" t="s">
        <v>139</v>
      </c>
      <c r="B127" s="5">
        <v>44</v>
      </c>
      <c r="C127" s="5" t="s">
        <v>2</v>
      </c>
      <c r="D127" s="6">
        <v>94</v>
      </c>
      <c r="E127" s="7">
        <v>19.042999999999999</v>
      </c>
      <c r="F127" s="7">
        <v>4.1989999999999998</v>
      </c>
      <c r="G127" s="7">
        <v>4.8639999999999999</v>
      </c>
      <c r="H127" s="7">
        <v>6.2009999999999996</v>
      </c>
      <c r="I127" s="7">
        <v>6.0449999999999999</v>
      </c>
      <c r="J127" s="7">
        <v>5.5069999999999997</v>
      </c>
      <c r="K127" s="7">
        <v>4.7560000000000002</v>
      </c>
      <c r="L127" s="7">
        <v>4.835</v>
      </c>
      <c r="M127" s="7">
        <v>5.4809999999999999</v>
      </c>
      <c r="N127" s="7">
        <v>5.28</v>
      </c>
      <c r="O127" s="7">
        <v>4.7539999999999996</v>
      </c>
    </row>
    <row r="128" spans="1:15" x14ac:dyDescent="0.25">
      <c r="A128" s="5" t="s">
        <v>140</v>
      </c>
      <c r="B128" s="5">
        <v>72</v>
      </c>
      <c r="C128" s="5" t="s">
        <v>3</v>
      </c>
      <c r="D128" s="6">
        <v>104</v>
      </c>
      <c r="E128" s="7">
        <v>20.805</v>
      </c>
      <c r="F128" s="7">
        <v>4.6740000000000004</v>
      </c>
      <c r="G128" s="7">
        <v>4.6349999999999998</v>
      </c>
      <c r="H128" s="7">
        <v>4.056</v>
      </c>
      <c r="I128" s="7">
        <v>5.28</v>
      </c>
      <c r="J128" s="7">
        <v>4.4770000000000003</v>
      </c>
      <c r="K128" s="7">
        <v>4.2119999999999997</v>
      </c>
      <c r="L128" s="7">
        <v>3.895</v>
      </c>
      <c r="M128" s="7">
        <v>4.7850000000000001</v>
      </c>
      <c r="N128" s="7">
        <v>5.0940000000000003</v>
      </c>
      <c r="O128" s="7">
        <v>4.9119999999999999</v>
      </c>
    </row>
    <row r="129" spans="1:15" x14ac:dyDescent="0.25">
      <c r="A129" s="5" t="s">
        <v>141</v>
      </c>
      <c r="B129" s="5">
        <v>50</v>
      </c>
      <c r="C129" s="5" t="s">
        <v>3</v>
      </c>
      <c r="D129" s="6">
        <v>111</v>
      </c>
      <c r="E129" s="7">
        <v>22.416</v>
      </c>
      <c r="F129" s="7">
        <v>5.2850000000000001</v>
      </c>
      <c r="G129" s="7">
        <v>4.4740000000000002</v>
      </c>
      <c r="H129" s="7">
        <v>4.0709999999999997</v>
      </c>
      <c r="I129" s="7">
        <v>4.5229999999999997</v>
      </c>
      <c r="J129" s="7">
        <v>5.0599999999999996</v>
      </c>
      <c r="K129" s="7">
        <v>5.3380000000000001</v>
      </c>
      <c r="L129" s="7">
        <v>5.84</v>
      </c>
      <c r="M129" s="7">
        <v>4.508</v>
      </c>
      <c r="N129" s="7">
        <v>5.2949999999999999</v>
      </c>
      <c r="O129" s="7">
        <v>4.8109999999999999</v>
      </c>
    </row>
    <row r="130" spans="1:15" x14ac:dyDescent="0.25">
      <c r="A130" s="5" t="s">
        <v>142</v>
      </c>
      <c r="B130" s="5">
        <v>83</v>
      </c>
      <c r="C130" s="5" t="s">
        <v>3</v>
      </c>
      <c r="D130" s="6">
        <v>114</v>
      </c>
      <c r="E130" s="7">
        <v>22.823</v>
      </c>
      <c r="F130" s="7">
        <v>6.31</v>
      </c>
      <c r="G130" s="7">
        <v>6.8259999999999996</v>
      </c>
      <c r="H130" s="7">
        <v>4.6470000000000002</v>
      </c>
      <c r="I130" s="7">
        <v>5.9850000000000003</v>
      </c>
      <c r="J130" s="7">
        <v>3.6970000000000001</v>
      </c>
      <c r="K130" s="7">
        <v>5.2619999999999996</v>
      </c>
      <c r="L130" s="7">
        <v>5.3470000000000004</v>
      </c>
      <c r="M130" s="7">
        <v>4.9340000000000002</v>
      </c>
      <c r="N130" s="7">
        <v>4.742</v>
      </c>
      <c r="O130" s="7">
        <v>5.1059999999999999</v>
      </c>
    </row>
    <row r="131" spans="1:15" x14ac:dyDescent="0.25">
      <c r="A131" s="5" t="s">
        <v>143</v>
      </c>
      <c r="B131" s="5">
        <v>83</v>
      </c>
      <c r="C131" s="5" t="s">
        <v>3</v>
      </c>
      <c r="D131" s="6">
        <v>111</v>
      </c>
      <c r="E131" s="7">
        <v>22.402999999999999</v>
      </c>
      <c r="F131" s="7">
        <v>5.16</v>
      </c>
      <c r="G131" s="7">
        <v>4.5359999999999996</v>
      </c>
      <c r="H131" s="7">
        <v>4.5270000000000001</v>
      </c>
      <c r="I131" s="7">
        <v>5.1230000000000002</v>
      </c>
      <c r="J131" s="7">
        <v>4.4029999999999996</v>
      </c>
      <c r="K131" s="7">
        <v>4.7729999999999997</v>
      </c>
      <c r="L131" s="7">
        <v>4.1769999999999996</v>
      </c>
      <c r="M131" s="7">
        <v>4.6529999999999996</v>
      </c>
      <c r="N131" s="7">
        <v>4.6959999999999997</v>
      </c>
      <c r="O131" s="7">
        <v>4.984</v>
      </c>
    </row>
    <row r="132" spans="1:15" x14ac:dyDescent="0.25">
      <c r="A132" s="5" t="s">
        <v>144</v>
      </c>
      <c r="B132" s="5">
        <v>27</v>
      </c>
      <c r="C132" s="5" t="s">
        <v>2</v>
      </c>
      <c r="D132" s="6">
        <v>83</v>
      </c>
      <c r="E132" s="7">
        <v>16.309999999999999</v>
      </c>
      <c r="F132" s="7">
        <v>2.8820000000000001</v>
      </c>
      <c r="G132" s="7">
        <v>5.0810000000000004</v>
      </c>
      <c r="H132" s="7">
        <v>5.9370000000000003</v>
      </c>
      <c r="I132" s="7">
        <v>5.5430000000000001</v>
      </c>
      <c r="J132" s="7">
        <v>4.9669999999999996</v>
      </c>
      <c r="K132" s="7">
        <v>4.97</v>
      </c>
      <c r="L132" s="7">
        <v>5.1470000000000002</v>
      </c>
      <c r="M132" s="7">
        <v>5.0170000000000003</v>
      </c>
      <c r="N132" s="7">
        <v>5.1360000000000001</v>
      </c>
      <c r="O132" s="7">
        <v>5.093</v>
      </c>
    </row>
    <row r="133" spans="1:15" x14ac:dyDescent="0.25">
      <c r="A133" s="5" t="s">
        <v>145</v>
      </c>
      <c r="B133" s="5">
        <v>22</v>
      </c>
      <c r="C133" s="5" t="s">
        <v>3</v>
      </c>
      <c r="D133" s="6">
        <v>109</v>
      </c>
      <c r="E133" s="7">
        <v>22.003</v>
      </c>
      <c r="F133" s="7">
        <v>5.7069999999999999</v>
      </c>
      <c r="G133" s="7">
        <v>4.9820000000000002</v>
      </c>
      <c r="H133" s="7">
        <v>5.23</v>
      </c>
      <c r="I133" s="7">
        <v>4.3250000000000002</v>
      </c>
      <c r="J133" s="7">
        <v>4.2050000000000001</v>
      </c>
      <c r="K133" s="7">
        <v>5.2679999999999998</v>
      </c>
      <c r="L133" s="7">
        <v>4.827</v>
      </c>
      <c r="M133" s="7">
        <v>5.0250000000000004</v>
      </c>
      <c r="N133" s="7">
        <v>5.0330000000000004</v>
      </c>
      <c r="O133" s="7">
        <v>5.2190000000000003</v>
      </c>
    </row>
    <row r="134" spans="1:15" x14ac:dyDescent="0.25">
      <c r="A134" s="5" t="s">
        <v>146</v>
      </c>
      <c r="B134" s="5">
        <v>55</v>
      </c>
      <c r="C134" s="5" t="s">
        <v>2</v>
      </c>
      <c r="D134" s="6">
        <v>99</v>
      </c>
      <c r="E134" s="7">
        <v>20.154</v>
      </c>
      <c r="F134" s="7">
        <v>3.9569999999999999</v>
      </c>
      <c r="G134" s="7">
        <v>4.3280000000000003</v>
      </c>
      <c r="H134" s="7">
        <v>5.6390000000000002</v>
      </c>
      <c r="I134" s="7">
        <v>6.0819999999999999</v>
      </c>
      <c r="J134" s="7">
        <v>5.2549999999999999</v>
      </c>
      <c r="K134" s="7">
        <v>4.8289999999999997</v>
      </c>
      <c r="L134" s="7">
        <v>5.7809999999999997</v>
      </c>
      <c r="M134" s="7">
        <v>4.6120000000000001</v>
      </c>
      <c r="N134" s="7">
        <v>5.024</v>
      </c>
      <c r="O134" s="7">
        <v>5.19</v>
      </c>
    </row>
    <row r="135" spans="1:15" x14ac:dyDescent="0.25">
      <c r="A135" s="5" t="s">
        <v>147</v>
      </c>
      <c r="B135" s="5">
        <v>30</v>
      </c>
      <c r="C135" s="5" t="s">
        <v>2</v>
      </c>
      <c r="D135" s="6">
        <v>120</v>
      </c>
      <c r="E135" s="7">
        <v>24.434999999999999</v>
      </c>
      <c r="F135" s="7">
        <v>6.0679999999999996</v>
      </c>
      <c r="G135" s="7">
        <v>3.95</v>
      </c>
      <c r="H135" s="7">
        <v>4.9450000000000003</v>
      </c>
      <c r="I135" s="7">
        <v>4.7140000000000004</v>
      </c>
      <c r="J135" s="7">
        <v>5.0419999999999998</v>
      </c>
      <c r="K135" s="7">
        <v>5.4370000000000003</v>
      </c>
      <c r="L135" s="7">
        <v>4.9889999999999999</v>
      </c>
      <c r="M135" s="7">
        <v>4.7679999999999998</v>
      </c>
      <c r="N135" s="7">
        <v>4.4450000000000003</v>
      </c>
      <c r="O135" s="7">
        <v>5.0309999999999997</v>
      </c>
    </row>
    <row r="136" spans="1:15" x14ac:dyDescent="0.25">
      <c r="A136" s="5" t="s">
        <v>148</v>
      </c>
      <c r="B136" s="5">
        <v>48</v>
      </c>
      <c r="C136" s="5" t="s">
        <v>2</v>
      </c>
      <c r="D136" s="6">
        <v>112</v>
      </c>
      <c r="E136" s="7">
        <v>23.117000000000001</v>
      </c>
      <c r="F136" s="7">
        <v>4.6829999999999998</v>
      </c>
      <c r="G136" s="7">
        <v>3.226</v>
      </c>
      <c r="H136" s="7">
        <v>4.0730000000000004</v>
      </c>
      <c r="I136" s="7">
        <v>5.2590000000000003</v>
      </c>
      <c r="J136" s="7">
        <v>5.375</v>
      </c>
      <c r="K136" s="7">
        <v>5.6870000000000003</v>
      </c>
      <c r="L136" s="7">
        <v>5.548</v>
      </c>
      <c r="M136" s="7">
        <v>4.5330000000000004</v>
      </c>
      <c r="N136" s="7">
        <v>5.077</v>
      </c>
      <c r="O136" s="7">
        <v>4.9930000000000003</v>
      </c>
    </row>
    <row r="137" spans="1:15" x14ac:dyDescent="0.25">
      <c r="A137" s="5" t="s">
        <v>149</v>
      </c>
      <c r="B137" s="5">
        <v>64</v>
      </c>
      <c r="C137" s="5" t="s">
        <v>2</v>
      </c>
      <c r="D137" s="6">
        <v>120</v>
      </c>
      <c r="E137" s="7">
        <v>24.087</v>
      </c>
      <c r="F137" s="7">
        <v>6.48</v>
      </c>
      <c r="G137" s="7">
        <v>5.024</v>
      </c>
      <c r="H137" s="7">
        <v>3.1680000000000001</v>
      </c>
      <c r="I137" s="7">
        <v>5.3520000000000003</v>
      </c>
      <c r="J137" s="7">
        <v>4.8289999999999997</v>
      </c>
      <c r="K137" s="7">
        <v>5.4009999999999998</v>
      </c>
      <c r="L137" s="7">
        <v>4.9249999999999998</v>
      </c>
      <c r="M137" s="7">
        <v>4.9450000000000003</v>
      </c>
      <c r="N137" s="7">
        <v>5.4370000000000003</v>
      </c>
      <c r="O137" s="7">
        <v>4.8680000000000003</v>
      </c>
    </row>
    <row r="138" spans="1:15" x14ac:dyDescent="0.25">
      <c r="A138" s="5" t="s">
        <v>150</v>
      </c>
      <c r="B138" s="5">
        <v>69</v>
      </c>
      <c r="C138" s="5" t="s">
        <v>3</v>
      </c>
      <c r="D138" s="6">
        <v>118</v>
      </c>
      <c r="E138" s="7">
        <v>23.698</v>
      </c>
      <c r="F138" s="7">
        <v>5.6989999999999998</v>
      </c>
      <c r="G138" s="7">
        <v>4.2480000000000002</v>
      </c>
      <c r="H138" s="7">
        <v>4.524</v>
      </c>
      <c r="I138" s="7">
        <v>5.3840000000000003</v>
      </c>
      <c r="J138" s="7">
        <v>6.8789999999999996</v>
      </c>
      <c r="K138" s="7">
        <v>4.6130000000000004</v>
      </c>
      <c r="L138" s="7">
        <v>4.7569999999999997</v>
      </c>
      <c r="M138" s="7">
        <v>4.7510000000000003</v>
      </c>
      <c r="N138" s="7">
        <v>5.2679999999999998</v>
      </c>
      <c r="O138" s="7">
        <v>4.7039999999999997</v>
      </c>
    </row>
    <row r="139" spans="1:15" x14ac:dyDescent="0.25">
      <c r="A139" s="5" t="s">
        <v>151</v>
      </c>
      <c r="B139" s="5">
        <v>73</v>
      </c>
      <c r="C139" s="5" t="s">
        <v>3</v>
      </c>
      <c r="D139" s="6">
        <v>108</v>
      </c>
      <c r="E139" s="7">
        <v>21.056999999999999</v>
      </c>
      <c r="F139" s="7">
        <v>5.1589999999999998</v>
      </c>
      <c r="G139" s="7">
        <v>4.3460000000000001</v>
      </c>
      <c r="H139" s="7">
        <v>3.65</v>
      </c>
      <c r="I139" s="7">
        <v>4.5129999999999999</v>
      </c>
      <c r="J139" s="7">
        <v>5.0549999999999997</v>
      </c>
      <c r="K139" s="7">
        <v>6.29</v>
      </c>
      <c r="L139" s="7">
        <v>4.673</v>
      </c>
      <c r="M139" s="7">
        <v>5.0759999999999996</v>
      </c>
      <c r="N139" s="7">
        <v>4.8049999999999997</v>
      </c>
      <c r="O139" s="7">
        <v>4.9790000000000001</v>
      </c>
    </row>
    <row r="140" spans="1:15" x14ac:dyDescent="0.25">
      <c r="A140" s="5" t="s">
        <v>152</v>
      </c>
      <c r="B140" s="5">
        <v>32</v>
      </c>
      <c r="C140" s="5" t="s">
        <v>2</v>
      </c>
      <c r="D140" s="6">
        <v>102</v>
      </c>
      <c r="E140" s="7">
        <v>20.210999999999999</v>
      </c>
      <c r="F140" s="7">
        <v>4.0549999999999997</v>
      </c>
      <c r="G140" s="7">
        <v>3.2320000000000002</v>
      </c>
      <c r="H140" s="7">
        <v>5.6390000000000002</v>
      </c>
      <c r="I140" s="7">
        <v>5.5359999999999996</v>
      </c>
      <c r="J140" s="7">
        <v>4.9880000000000004</v>
      </c>
      <c r="K140" s="7">
        <v>4.9619999999999997</v>
      </c>
      <c r="L140" s="7">
        <v>4.1459999999999999</v>
      </c>
      <c r="M140" s="7">
        <v>5.3860000000000001</v>
      </c>
      <c r="N140" s="7">
        <v>4.9269999999999996</v>
      </c>
      <c r="O140" s="7">
        <v>4.8780000000000001</v>
      </c>
    </row>
    <row r="141" spans="1:15" x14ac:dyDescent="0.25">
      <c r="A141" s="5" t="s">
        <v>153</v>
      </c>
      <c r="B141" s="5">
        <v>46</v>
      </c>
      <c r="C141" s="5" t="s">
        <v>2</v>
      </c>
      <c r="D141" s="6">
        <v>93</v>
      </c>
      <c r="E141" s="7">
        <v>18.530999999999999</v>
      </c>
      <c r="F141" s="7">
        <v>4.2069999999999999</v>
      </c>
      <c r="G141" s="7">
        <v>5.9</v>
      </c>
      <c r="H141" s="7">
        <v>5.306</v>
      </c>
      <c r="I141" s="7">
        <v>5.7160000000000002</v>
      </c>
      <c r="J141" s="7">
        <v>5.609</v>
      </c>
      <c r="K141" s="7">
        <v>5.1589999999999998</v>
      </c>
      <c r="L141" s="7">
        <v>4.819</v>
      </c>
      <c r="M141" s="7">
        <v>4.99</v>
      </c>
      <c r="N141" s="7">
        <v>4.798</v>
      </c>
      <c r="O141" s="7">
        <v>4.7699999999999996</v>
      </c>
    </row>
    <row r="142" spans="1:15" x14ac:dyDescent="0.25">
      <c r="A142" s="5" t="s">
        <v>154</v>
      </c>
      <c r="B142" s="5">
        <v>25</v>
      </c>
      <c r="C142" s="5" t="s">
        <v>3</v>
      </c>
      <c r="D142" s="6">
        <v>93</v>
      </c>
      <c r="E142" s="7">
        <v>18.974</v>
      </c>
      <c r="F142" s="7">
        <v>2.9510000000000001</v>
      </c>
      <c r="G142" s="7">
        <v>3.4849999999999999</v>
      </c>
      <c r="H142" s="7">
        <v>5.5380000000000003</v>
      </c>
      <c r="I142" s="7">
        <v>5.1680000000000001</v>
      </c>
      <c r="J142" s="7">
        <v>5.157</v>
      </c>
      <c r="K142" s="7">
        <v>5.2389999999999999</v>
      </c>
      <c r="L142" s="7">
        <v>5.05</v>
      </c>
      <c r="M142" s="7">
        <v>4.2709999999999999</v>
      </c>
      <c r="N142" s="7">
        <v>4.7990000000000004</v>
      </c>
      <c r="O142" s="7">
        <v>5.2110000000000003</v>
      </c>
    </row>
    <row r="143" spans="1:15" x14ac:dyDescent="0.25">
      <c r="A143" s="5" t="s">
        <v>155</v>
      </c>
      <c r="B143" s="5">
        <v>22</v>
      </c>
      <c r="C143" s="5" t="s">
        <v>2</v>
      </c>
      <c r="D143" s="6">
        <v>71</v>
      </c>
      <c r="E143" s="7">
        <v>13.981999999999999</v>
      </c>
      <c r="F143" s="7">
        <v>2.641</v>
      </c>
      <c r="G143" s="7">
        <v>6.88</v>
      </c>
      <c r="H143" s="7">
        <v>4.9850000000000003</v>
      </c>
      <c r="I143" s="7">
        <v>3.9329999999999998</v>
      </c>
      <c r="J143" s="7">
        <v>4.7679999999999998</v>
      </c>
      <c r="K143" s="7">
        <v>5.4610000000000003</v>
      </c>
      <c r="L143" s="7">
        <v>4.9560000000000004</v>
      </c>
      <c r="M143" s="7">
        <v>5.3609999999999998</v>
      </c>
      <c r="N143" s="7">
        <v>4.9009999999999998</v>
      </c>
      <c r="O143" s="7">
        <v>5.109</v>
      </c>
    </row>
    <row r="144" spans="1:15" x14ac:dyDescent="0.25">
      <c r="A144" s="5" t="s">
        <v>156</v>
      </c>
      <c r="B144" s="5">
        <v>46</v>
      </c>
      <c r="C144" s="5" t="s">
        <v>3</v>
      </c>
      <c r="D144" s="6">
        <v>102</v>
      </c>
      <c r="E144" s="7">
        <v>20.684000000000001</v>
      </c>
      <c r="F144" s="7">
        <v>3.3410000000000002</v>
      </c>
      <c r="G144" s="7">
        <v>3.1030000000000002</v>
      </c>
      <c r="H144" s="7">
        <v>4.3719999999999999</v>
      </c>
      <c r="I144" s="7">
        <v>4.1079999999999997</v>
      </c>
      <c r="J144" s="7">
        <v>4.9779999999999998</v>
      </c>
      <c r="K144" s="7">
        <v>4.6449999999999996</v>
      </c>
      <c r="L144" s="7">
        <v>5.6619999999999999</v>
      </c>
      <c r="M144" s="7">
        <v>5.7050000000000001</v>
      </c>
      <c r="N144" s="7">
        <v>5.1669999999999998</v>
      </c>
      <c r="O144" s="7">
        <v>5.4850000000000003</v>
      </c>
    </row>
    <row r="145" spans="1:15" x14ac:dyDescent="0.25">
      <c r="A145" s="5" t="s">
        <v>157</v>
      </c>
      <c r="B145" s="5">
        <v>64</v>
      </c>
      <c r="C145" s="5" t="s">
        <v>2</v>
      </c>
      <c r="D145" s="6">
        <v>99</v>
      </c>
      <c r="E145" s="7">
        <v>19.798999999999999</v>
      </c>
      <c r="F145" s="7">
        <v>4.0419999999999998</v>
      </c>
      <c r="G145" s="7">
        <v>5.2489999999999997</v>
      </c>
      <c r="H145" s="7">
        <v>4.4820000000000002</v>
      </c>
      <c r="I145" s="7">
        <v>4.4530000000000003</v>
      </c>
      <c r="J145" s="7">
        <v>3.8239999999999998</v>
      </c>
      <c r="K145" s="7">
        <v>4.9109999999999996</v>
      </c>
      <c r="L145" s="7">
        <v>4.6829999999999998</v>
      </c>
      <c r="M145" s="7">
        <v>4.6719999999999997</v>
      </c>
      <c r="N145" s="7">
        <v>5.1740000000000004</v>
      </c>
      <c r="O145" s="7">
        <v>4.9189999999999996</v>
      </c>
    </row>
    <row r="146" spans="1:15" x14ac:dyDescent="0.25">
      <c r="A146" s="5" t="s">
        <v>158</v>
      </c>
      <c r="B146" s="5">
        <v>82</v>
      </c>
      <c r="C146" s="5" t="s">
        <v>3</v>
      </c>
      <c r="D146" s="6">
        <v>118</v>
      </c>
      <c r="E146" s="7">
        <v>23.536999999999999</v>
      </c>
      <c r="F146" s="7">
        <v>5.226</v>
      </c>
      <c r="G146" s="7">
        <v>2.835</v>
      </c>
      <c r="H146" s="7">
        <v>4.899</v>
      </c>
      <c r="I146" s="7">
        <v>4.0910000000000002</v>
      </c>
      <c r="J146" s="7">
        <v>4.7519999999999998</v>
      </c>
      <c r="K146" s="7">
        <v>5.6</v>
      </c>
      <c r="L146" s="7">
        <v>4.694</v>
      </c>
      <c r="M146" s="7">
        <v>4.944</v>
      </c>
      <c r="N146" s="7">
        <v>5.1840000000000002</v>
      </c>
      <c r="O146" s="7">
        <v>4.9729999999999999</v>
      </c>
    </row>
    <row r="147" spans="1:15" x14ac:dyDescent="0.25">
      <c r="A147" s="5" t="s">
        <v>159</v>
      </c>
      <c r="B147" s="5">
        <v>62</v>
      </c>
      <c r="C147" s="5" t="s">
        <v>2</v>
      </c>
      <c r="D147" s="6">
        <v>105</v>
      </c>
      <c r="E147" s="7">
        <v>21.088999999999999</v>
      </c>
      <c r="F147" s="7">
        <v>5.218</v>
      </c>
      <c r="G147" s="7">
        <v>5.3460000000000001</v>
      </c>
      <c r="H147" s="7">
        <v>4.3719999999999999</v>
      </c>
      <c r="I147" s="7">
        <v>3.7480000000000002</v>
      </c>
      <c r="J147" s="7">
        <v>4.2249999999999996</v>
      </c>
      <c r="K147" s="7">
        <v>5.3760000000000003</v>
      </c>
      <c r="L147" s="7">
        <v>4.4720000000000004</v>
      </c>
      <c r="M147" s="7">
        <v>5.2140000000000004</v>
      </c>
      <c r="N147" s="7">
        <v>4.6319999999999997</v>
      </c>
      <c r="O147" s="7">
        <v>5.0049999999999999</v>
      </c>
    </row>
    <row r="148" spans="1:15" x14ac:dyDescent="0.25">
      <c r="A148" s="5" t="s">
        <v>160</v>
      </c>
      <c r="B148" s="5">
        <v>25</v>
      </c>
      <c r="C148" s="5" t="s">
        <v>2</v>
      </c>
      <c r="D148" s="6">
        <v>101</v>
      </c>
      <c r="E148" s="7">
        <v>20.061</v>
      </c>
      <c r="F148" s="7">
        <v>4.1769999999999996</v>
      </c>
      <c r="G148" s="7">
        <v>4.0970000000000004</v>
      </c>
      <c r="H148" s="7">
        <v>3.823</v>
      </c>
      <c r="I148" s="7">
        <v>5.3789999999999996</v>
      </c>
      <c r="J148" s="7">
        <v>4.9160000000000004</v>
      </c>
      <c r="K148" s="7">
        <v>5.5579999999999998</v>
      </c>
      <c r="L148" s="7">
        <v>5.1150000000000002</v>
      </c>
      <c r="M148" s="7">
        <v>4.8319999999999999</v>
      </c>
      <c r="N148" s="7">
        <v>5.2110000000000003</v>
      </c>
      <c r="O148" s="7">
        <v>4.819</v>
      </c>
    </row>
    <row r="149" spans="1:15" x14ac:dyDescent="0.25">
      <c r="A149" s="5" t="s">
        <v>161</v>
      </c>
      <c r="B149" s="5">
        <v>44</v>
      </c>
      <c r="C149" s="5" t="s">
        <v>3</v>
      </c>
      <c r="D149" s="6">
        <v>93</v>
      </c>
      <c r="E149" s="7">
        <v>18.446999999999999</v>
      </c>
      <c r="F149" s="7">
        <v>3.9870000000000001</v>
      </c>
      <c r="G149" s="7">
        <v>5.0860000000000003</v>
      </c>
      <c r="H149" s="7">
        <v>5.8979999999999997</v>
      </c>
      <c r="I149" s="7">
        <v>3.81</v>
      </c>
      <c r="J149" s="7">
        <v>4.3600000000000003</v>
      </c>
      <c r="K149" s="7">
        <v>5.9710000000000001</v>
      </c>
      <c r="L149" s="7">
        <v>4.6369999999999996</v>
      </c>
      <c r="M149" s="7">
        <v>5.1109999999999998</v>
      </c>
      <c r="N149" s="7">
        <v>5.4279999999999999</v>
      </c>
      <c r="O149" s="7">
        <v>5.0190000000000001</v>
      </c>
    </row>
    <row r="150" spans="1:15" x14ac:dyDescent="0.25">
      <c r="A150" s="5" t="s">
        <v>162</v>
      </c>
      <c r="B150" s="5">
        <v>53</v>
      </c>
      <c r="C150" s="5" t="s">
        <v>2</v>
      </c>
      <c r="D150" s="6">
        <v>118</v>
      </c>
      <c r="E150" s="7">
        <v>22.992999999999999</v>
      </c>
      <c r="F150" s="7">
        <v>6.2149999999999999</v>
      </c>
      <c r="G150" s="7">
        <v>5.5869999999999997</v>
      </c>
      <c r="H150" s="7">
        <v>5.8010000000000002</v>
      </c>
      <c r="I150" s="7">
        <v>3.9169999999999998</v>
      </c>
      <c r="J150" s="7">
        <v>5.024</v>
      </c>
      <c r="K150" s="7">
        <v>4.4400000000000004</v>
      </c>
      <c r="L150" s="7">
        <v>4.5259999999999998</v>
      </c>
      <c r="M150" s="7">
        <v>5.4740000000000002</v>
      </c>
      <c r="N150" s="7">
        <v>5.0339999999999998</v>
      </c>
      <c r="O150" s="7">
        <v>5.2779999999999996</v>
      </c>
    </row>
    <row r="151" spans="1:15" x14ac:dyDescent="0.25">
      <c r="A151" s="5" t="s">
        <v>163</v>
      </c>
      <c r="B151" s="5">
        <v>53</v>
      </c>
      <c r="C151" s="5" t="s">
        <v>2</v>
      </c>
      <c r="D151" s="6">
        <v>107</v>
      </c>
      <c r="E151" s="7">
        <v>21.312000000000001</v>
      </c>
      <c r="F151" s="7">
        <v>5.1559999999999997</v>
      </c>
      <c r="G151" s="7">
        <v>4.2869999999999999</v>
      </c>
      <c r="H151" s="7">
        <v>4.5490000000000004</v>
      </c>
      <c r="I151" s="7">
        <v>5.4960000000000004</v>
      </c>
      <c r="J151" s="7">
        <v>3.927</v>
      </c>
      <c r="K151" s="7">
        <v>4.47</v>
      </c>
      <c r="L151" s="7">
        <v>5.5359999999999996</v>
      </c>
      <c r="M151" s="7">
        <v>4.3129999999999997</v>
      </c>
      <c r="N151" s="7">
        <v>4.9960000000000004</v>
      </c>
      <c r="O151" s="7">
        <v>5.1159999999999997</v>
      </c>
    </row>
    <row r="152" spans="1:15" x14ac:dyDescent="0.25">
      <c r="A152" s="5" t="s">
        <v>164</v>
      </c>
      <c r="B152" s="5">
        <v>43</v>
      </c>
      <c r="C152" s="5" t="s">
        <v>3</v>
      </c>
      <c r="D152" s="6">
        <v>97</v>
      </c>
      <c r="E152" s="7">
        <v>19.228999999999999</v>
      </c>
      <c r="F152" s="7">
        <v>4.5999999999999996</v>
      </c>
      <c r="G152" s="7">
        <v>5.1349999999999998</v>
      </c>
      <c r="H152" s="7">
        <v>5.5430000000000001</v>
      </c>
      <c r="I152" s="7">
        <v>6.282</v>
      </c>
      <c r="J152" s="7">
        <v>5.1280000000000001</v>
      </c>
      <c r="K152" s="7">
        <v>5.2560000000000002</v>
      </c>
      <c r="L152" s="7">
        <v>4.843</v>
      </c>
      <c r="M152" s="7">
        <v>4.9210000000000003</v>
      </c>
      <c r="N152" s="7">
        <v>4.7809999999999997</v>
      </c>
      <c r="O152" s="7">
        <v>4.7729999999999997</v>
      </c>
    </row>
    <row r="153" spans="1:15" x14ac:dyDescent="0.25">
      <c r="A153" s="5" t="s">
        <v>165</v>
      </c>
      <c r="B153" s="5">
        <v>60</v>
      </c>
      <c r="C153" s="5" t="s">
        <v>2</v>
      </c>
      <c r="D153" s="6">
        <v>105</v>
      </c>
      <c r="E153" s="7">
        <v>20.815999999999999</v>
      </c>
      <c r="F153" s="7">
        <v>4.5579999999999998</v>
      </c>
      <c r="G153" s="7">
        <v>4.1609999999999996</v>
      </c>
      <c r="H153" s="7">
        <v>4.774</v>
      </c>
      <c r="I153" s="7">
        <v>5.2</v>
      </c>
      <c r="J153" s="7">
        <v>4.7080000000000002</v>
      </c>
      <c r="K153" s="7">
        <v>5.468</v>
      </c>
      <c r="L153" s="7">
        <v>5.17</v>
      </c>
      <c r="M153" s="7">
        <v>4.7839999999999998</v>
      </c>
      <c r="N153" s="7">
        <v>4.9880000000000004</v>
      </c>
      <c r="O153" s="7">
        <v>5.1950000000000003</v>
      </c>
    </row>
    <row r="154" spans="1:15" x14ac:dyDescent="0.25">
      <c r="A154" s="5" t="s">
        <v>166</v>
      </c>
      <c r="B154" s="5">
        <v>44</v>
      </c>
      <c r="C154" s="5" t="s">
        <v>3</v>
      </c>
      <c r="D154" s="6">
        <v>104</v>
      </c>
      <c r="E154" s="7">
        <v>20.949000000000002</v>
      </c>
      <c r="F154" s="7">
        <v>5.4480000000000004</v>
      </c>
      <c r="G154" s="7">
        <v>6.085</v>
      </c>
      <c r="H154" s="7">
        <v>6.2679999999999998</v>
      </c>
      <c r="I154" s="7">
        <v>6.633</v>
      </c>
      <c r="J154" s="7">
        <v>5.0880000000000001</v>
      </c>
      <c r="K154" s="7">
        <v>5.1459999999999999</v>
      </c>
      <c r="L154" s="7">
        <v>4.3280000000000003</v>
      </c>
      <c r="M154" s="7">
        <v>5.8810000000000002</v>
      </c>
      <c r="N154" s="7">
        <v>5.1589999999999998</v>
      </c>
      <c r="O154" s="7">
        <v>5.1360000000000001</v>
      </c>
    </row>
    <row r="155" spans="1:15" x14ac:dyDescent="0.25">
      <c r="A155" s="5" t="s">
        <v>167</v>
      </c>
      <c r="B155" s="5">
        <v>37</v>
      </c>
      <c r="C155" s="5" t="s">
        <v>3</v>
      </c>
      <c r="D155" s="6">
        <v>78</v>
      </c>
      <c r="E155" s="7">
        <v>15.835000000000001</v>
      </c>
      <c r="F155" s="7">
        <v>3.335</v>
      </c>
      <c r="G155" s="7">
        <v>5.8940000000000001</v>
      </c>
      <c r="H155" s="7">
        <v>5.3710000000000004</v>
      </c>
      <c r="I155" s="7">
        <v>4.3170000000000002</v>
      </c>
      <c r="J155" s="7">
        <v>5.6970000000000001</v>
      </c>
      <c r="K155" s="7">
        <v>5.35</v>
      </c>
      <c r="L155" s="7">
        <v>4.5919999999999996</v>
      </c>
      <c r="M155" s="7">
        <v>5.0819999999999999</v>
      </c>
      <c r="N155" s="7">
        <v>4.681</v>
      </c>
      <c r="O155" s="7">
        <v>5.1120000000000001</v>
      </c>
    </row>
    <row r="156" spans="1:15" x14ac:dyDescent="0.25">
      <c r="A156" s="5" t="s">
        <v>168</v>
      </c>
      <c r="B156" s="5">
        <v>28</v>
      </c>
      <c r="C156" s="5" t="s">
        <v>2</v>
      </c>
      <c r="D156" s="6">
        <v>111</v>
      </c>
      <c r="E156" s="7">
        <v>22.283000000000001</v>
      </c>
      <c r="F156" s="7">
        <v>5.2149999999999999</v>
      </c>
      <c r="G156" s="7">
        <v>4.3410000000000002</v>
      </c>
      <c r="H156" s="7">
        <v>5.298</v>
      </c>
      <c r="I156" s="7">
        <v>6.4480000000000004</v>
      </c>
      <c r="J156" s="7">
        <v>4.8579999999999997</v>
      </c>
      <c r="K156" s="7">
        <v>4.67</v>
      </c>
      <c r="L156" s="7">
        <v>4.0469999999999997</v>
      </c>
      <c r="M156" s="7">
        <v>4.7549999999999999</v>
      </c>
      <c r="N156" s="7">
        <v>4.9329999999999998</v>
      </c>
      <c r="O156" s="7">
        <v>4.8949999999999996</v>
      </c>
    </row>
    <row r="157" spans="1:15" x14ac:dyDescent="0.25">
      <c r="A157" s="5" t="s">
        <v>169</v>
      </c>
      <c r="B157" s="5">
        <v>55</v>
      </c>
      <c r="C157" s="5" t="s">
        <v>2</v>
      </c>
      <c r="D157" s="6">
        <v>101</v>
      </c>
      <c r="E157" s="7">
        <v>20.555</v>
      </c>
      <c r="F157" s="7">
        <v>5.55</v>
      </c>
      <c r="G157" s="7">
        <v>7.1269999999999998</v>
      </c>
      <c r="H157" s="7">
        <v>4.3339999999999996</v>
      </c>
      <c r="I157" s="7">
        <v>4.2709999999999999</v>
      </c>
      <c r="J157" s="7">
        <v>5.1449999999999996</v>
      </c>
      <c r="K157" s="7">
        <v>4.6390000000000002</v>
      </c>
      <c r="L157" s="7">
        <v>5.4</v>
      </c>
      <c r="M157" s="7">
        <v>5.157</v>
      </c>
      <c r="N157" s="7">
        <v>4.9989999999999997</v>
      </c>
      <c r="O157" s="7">
        <v>5.0679999999999996</v>
      </c>
    </row>
    <row r="158" spans="1:15" x14ac:dyDescent="0.25">
      <c r="A158" s="5" t="s">
        <v>170</v>
      </c>
      <c r="B158" s="5">
        <v>23</v>
      </c>
      <c r="C158" s="5" t="s">
        <v>2</v>
      </c>
      <c r="D158" s="6">
        <v>130</v>
      </c>
      <c r="E158" s="7">
        <v>26.204999999999998</v>
      </c>
      <c r="F158" s="7">
        <v>6.3920000000000003</v>
      </c>
      <c r="G158" s="7">
        <v>2.6760000000000002</v>
      </c>
      <c r="H158" s="7">
        <v>5.1289999999999996</v>
      </c>
      <c r="I158" s="7">
        <v>5.5730000000000004</v>
      </c>
      <c r="J158" s="7">
        <v>4.5759999999999996</v>
      </c>
      <c r="K158" s="7">
        <v>4.9950000000000001</v>
      </c>
      <c r="L158" s="7">
        <v>4.1890000000000001</v>
      </c>
      <c r="M158" s="7">
        <v>5.1559999999999997</v>
      </c>
      <c r="N158" s="7">
        <v>5.4139999999999997</v>
      </c>
      <c r="O158" s="7">
        <v>5.1040000000000001</v>
      </c>
    </row>
    <row r="159" spans="1:15" x14ac:dyDescent="0.25">
      <c r="A159" s="5" t="s">
        <v>171</v>
      </c>
      <c r="B159" s="5">
        <v>40</v>
      </c>
      <c r="C159" s="5" t="s">
        <v>2</v>
      </c>
      <c r="D159" s="6">
        <v>91</v>
      </c>
      <c r="E159" s="7">
        <v>18.094999999999999</v>
      </c>
      <c r="F159" s="7">
        <v>4.3810000000000002</v>
      </c>
      <c r="G159" s="7">
        <v>5.8220000000000001</v>
      </c>
      <c r="H159" s="7">
        <v>5.39</v>
      </c>
      <c r="I159" s="7">
        <v>5.7119999999999997</v>
      </c>
      <c r="J159" s="7">
        <v>6.4939999999999998</v>
      </c>
      <c r="K159" s="7">
        <v>4.8220000000000001</v>
      </c>
      <c r="L159" s="7">
        <v>5.0259999999999998</v>
      </c>
      <c r="M159" s="7">
        <v>5.2359999999999998</v>
      </c>
      <c r="N159" s="7">
        <v>5.3760000000000003</v>
      </c>
      <c r="O159" s="7">
        <v>4.6360000000000001</v>
      </c>
    </row>
    <row r="160" spans="1:15" x14ac:dyDescent="0.25">
      <c r="A160" s="5" t="s">
        <v>172</v>
      </c>
      <c r="B160" s="5">
        <v>64</v>
      </c>
      <c r="C160" s="5" t="s">
        <v>2</v>
      </c>
      <c r="D160" s="6">
        <v>101</v>
      </c>
      <c r="E160" s="7">
        <v>20.035</v>
      </c>
      <c r="F160" s="7">
        <v>4.9870000000000001</v>
      </c>
      <c r="G160" s="7">
        <v>5.2069999999999999</v>
      </c>
      <c r="H160" s="7">
        <v>4.5119999999999996</v>
      </c>
      <c r="I160" s="7">
        <v>5.3</v>
      </c>
      <c r="J160" s="7">
        <v>5.5880000000000001</v>
      </c>
      <c r="K160" s="7">
        <v>5.0629999999999997</v>
      </c>
      <c r="L160" s="7">
        <v>3.8250000000000002</v>
      </c>
      <c r="M160" s="7">
        <v>5.7039999999999997</v>
      </c>
      <c r="N160" s="7">
        <v>5.5789999999999997</v>
      </c>
      <c r="O160" s="7">
        <v>5.1820000000000004</v>
      </c>
    </row>
    <row r="161" spans="1:15" x14ac:dyDescent="0.25">
      <c r="A161" s="5" t="s">
        <v>173</v>
      </c>
      <c r="B161" s="5">
        <v>63</v>
      </c>
      <c r="C161" s="5" t="s">
        <v>2</v>
      </c>
      <c r="D161" s="6">
        <v>108</v>
      </c>
      <c r="E161" s="7">
        <v>21.710999999999999</v>
      </c>
      <c r="F161" s="7">
        <v>5.774</v>
      </c>
      <c r="G161" s="7">
        <v>4.68</v>
      </c>
      <c r="H161" s="7">
        <v>6.4610000000000003</v>
      </c>
      <c r="I161" s="7">
        <v>4.9770000000000003</v>
      </c>
      <c r="J161" s="7">
        <v>4.5190000000000001</v>
      </c>
      <c r="K161" s="7">
        <v>5.2080000000000002</v>
      </c>
      <c r="L161" s="7">
        <v>4.702</v>
      </c>
      <c r="M161" s="7">
        <v>5.4290000000000003</v>
      </c>
      <c r="N161" s="7">
        <v>4.7409999999999997</v>
      </c>
      <c r="O161" s="7">
        <v>4.9580000000000002</v>
      </c>
    </row>
    <row r="162" spans="1:15" x14ac:dyDescent="0.25">
      <c r="A162" s="5" t="s">
        <v>174</v>
      </c>
      <c r="B162" s="5">
        <v>29</v>
      </c>
      <c r="C162" s="5" t="s">
        <v>2</v>
      </c>
      <c r="D162" s="6">
        <v>119</v>
      </c>
      <c r="E162" s="7">
        <v>24.004000000000001</v>
      </c>
      <c r="F162" s="7">
        <v>6.6289999999999996</v>
      </c>
      <c r="G162" s="7">
        <v>5.4809999999999999</v>
      </c>
      <c r="H162" s="7">
        <v>6.5620000000000003</v>
      </c>
      <c r="I162" s="7">
        <v>6.5640000000000001</v>
      </c>
      <c r="J162" s="7">
        <v>4.9969999999999999</v>
      </c>
      <c r="K162" s="7">
        <v>4.33</v>
      </c>
      <c r="L162" s="7">
        <v>5.5529999999999999</v>
      </c>
      <c r="M162" s="7">
        <v>5.54</v>
      </c>
      <c r="N162" s="7">
        <v>5.3520000000000003</v>
      </c>
      <c r="O162" s="7">
        <v>5.1749999999999998</v>
      </c>
    </row>
    <row r="163" spans="1:15" x14ac:dyDescent="0.25">
      <c r="A163" s="5" t="s">
        <v>175</v>
      </c>
      <c r="B163" s="5">
        <v>30</v>
      </c>
      <c r="C163" s="5" t="s">
        <v>3</v>
      </c>
      <c r="D163" s="6">
        <v>84</v>
      </c>
      <c r="E163" s="7">
        <v>17.297999999999998</v>
      </c>
      <c r="F163" s="7">
        <v>3.59</v>
      </c>
      <c r="G163" s="7">
        <v>5.7969999999999997</v>
      </c>
      <c r="H163" s="7">
        <v>4.4000000000000004</v>
      </c>
      <c r="I163" s="7">
        <v>4.4930000000000003</v>
      </c>
      <c r="J163" s="7">
        <v>5.6470000000000002</v>
      </c>
      <c r="K163" s="7">
        <v>4.9779999999999998</v>
      </c>
      <c r="L163" s="7">
        <v>5.1159999999999997</v>
      </c>
      <c r="M163" s="7">
        <v>4.6779999999999999</v>
      </c>
      <c r="N163" s="7">
        <v>4.8070000000000004</v>
      </c>
      <c r="O163" s="7">
        <v>5.1260000000000003</v>
      </c>
    </row>
    <row r="164" spans="1:15" x14ac:dyDescent="0.25">
      <c r="A164" s="5" t="s">
        <v>176</v>
      </c>
      <c r="B164" s="5">
        <v>79</v>
      </c>
      <c r="C164" s="5" t="s">
        <v>2</v>
      </c>
      <c r="D164" s="6">
        <v>72</v>
      </c>
      <c r="E164" s="7">
        <v>14.824</v>
      </c>
      <c r="F164" s="7">
        <v>3.2530000000000001</v>
      </c>
      <c r="G164" s="7">
        <v>7.7949999999999999</v>
      </c>
      <c r="H164" s="7">
        <v>5.4660000000000002</v>
      </c>
      <c r="I164" s="7">
        <v>6.7779999999999996</v>
      </c>
      <c r="J164" s="7">
        <v>5.4550000000000001</v>
      </c>
      <c r="K164" s="7">
        <v>6.1360000000000001</v>
      </c>
      <c r="L164" s="7">
        <v>5.6820000000000004</v>
      </c>
      <c r="M164" s="7">
        <v>4.5119999999999996</v>
      </c>
      <c r="N164" s="7">
        <v>5.5049999999999999</v>
      </c>
      <c r="O164" s="7">
        <v>5.0990000000000002</v>
      </c>
    </row>
    <row r="165" spans="1:15" x14ac:dyDescent="0.25">
      <c r="A165" s="5" t="s">
        <v>177</v>
      </c>
      <c r="B165" s="5">
        <v>77</v>
      </c>
      <c r="C165" s="5" t="s">
        <v>3</v>
      </c>
      <c r="D165" s="6">
        <v>102</v>
      </c>
      <c r="E165" s="7">
        <v>20.207000000000001</v>
      </c>
      <c r="F165" s="7">
        <v>4.5279999999999996</v>
      </c>
      <c r="G165" s="7">
        <v>4.4359999999999999</v>
      </c>
      <c r="H165" s="7">
        <v>6.46</v>
      </c>
      <c r="I165" s="7">
        <v>5.28</v>
      </c>
      <c r="J165" s="7">
        <v>5.6020000000000003</v>
      </c>
      <c r="K165" s="7">
        <v>4.657</v>
      </c>
      <c r="L165" s="7">
        <v>5.16</v>
      </c>
      <c r="M165" s="7">
        <v>4.6189999999999998</v>
      </c>
      <c r="N165" s="7">
        <v>4.7300000000000004</v>
      </c>
      <c r="O165" s="7">
        <v>5.141</v>
      </c>
    </row>
    <row r="166" spans="1:15" x14ac:dyDescent="0.25">
      <c r="A166" s="5" t="s">
        <v>178</v>
      </c>
      <c r="B166" s="5">
        <v>60</v>
      </c>
      <c r="C166" s="5" t="s">
        <v>2</v>
      </c>
      <c r="D166" s="6">
        <v>100</v>
      </c>
      <c r="E166" s="7">
        <v>19.963999999999999</v>
      </c>
      <c r="F166" s="7">
        <v>4.9400000000000004</v>
      </c>
      <c r="G166" s="7">
        <v>5.69</v>
      </c>
      <c r="H166" s="7">
        <v>3.9430000000000001</v>
      </c>
      <c r="I166" s="7">
        <v>6.1619999999999999</v>
      </c>
      <c r="J166" s="7">
        <v>4.9109999999999996</v>
      </c>
      <c r="K166" s="7">
        <v>4.2140000000000004</v>
      </c>
      <c r="L166" s="7">
        <v>4.1399999999999997</v>
      </c>
      <c r="M166" s="7">
        <v>4.601</v>
      </c>
      <c r="N166" s="7">
        <v>4.7939999999999996</v>
      </c>
      <c r="O166" s="7">
        <v>5.1020000000000003</v>
      </c>
    </row>
    <row r="167" spans="1:15" x14ac:dyDescent="0.25">
      <c r="A167" s="5" t="s">
        <v>179</v>
      </c>
      <c r="B167" s="5">
        <v>82</v>
      </c>
      <c r="C167" s="5" t="s">
        <v>2</v>
      </c>
      <c r="D167" s="6">
        <v>106</v>
      </c>
      <c r="E167" s="7">
        <v>21.439</v>
      </c>
      <c r="F167" s="7">
        <v>5.4390000000000001</v>
      </c>
      <c r="G167" s="7">
        <v>5.9370000000000003</v>
      </c>
      <c r="H167" s="7">
        <v>6.4390000000000001</v>
      </c>
      <c r="I167" s="7">
        <v>3.92</v>
      </c>
      <c r="J167" s="7">
        <v>5.4660000000000002</v>
      </c>
      <c r="K167" s="7">
        <v>5.2469999999999999</v>
      </c>
      <c r="L167" s="7">
        <v>4.8890000000000002</v>
      </c>
      <c r="M167" s="7">
        <v>5.1349999999999998</v>
      </c>
      <c r="N167" s="7">
        <v>5.1189999999999998</v>
      </c>
      <c r="O167" s="7">
        <v>4.8140000000000001</v>
      </c>
    </row>
    <row r="168" spans="1:15" x14ac:dyDescent="0.25">
      <c r="A168" s="5" t="s">
        <v>180</v>
      </c>
      <c r="B168" s="5">
        <v>22</v>
      </c>
      <c r="C168" s="5" t="s">
        <v>3</v>
      </c>
      <c r="D168" s="6">
        <v>105</v>
      </c>
      <c r="E168" s="7">
        <v>21.38</v>
      </c>
      <c r="F168" s="7">
        <v>5.2009999999999996</v>
      </c>
      <c r="G168" s="7">
        <v>5.048</v>
      </c>
      <c r="H168" s="7">
        <v>3.9649999999999999</v>
      </c>
      <c r="I168" s="7">
        <v>5.4340000000000002</v>
      </c>
      <c r="J168" s="7">
        <v>6.6390000000000002</v>
      </c>
      <c r="K168" s="7">
        <v>5.0119999999999996</v>
      </c>
      <c r="L168" s="7">
        <v>4.4820000000000002</v>
      </c>
      <c r="M168" s="7">
        <v>5.1920000000000002</v>
      </c>
      <c r="N168" s="7">
        <v>4.843</v>
      </c>
      <c r="O168" s="7">
        <v>5.1180000000000003</v>
      </c>
    </row>
    <row r="169" spans="1:15" x14ac:dyDescent="0.25">
      <c r="A169" s="5" t="s">
        <v>181</v>
      </c>
      <c r="B169" s="5">
        <v>54</v>
      </c>
      <c r="C169" s="5" t="s">
        <v>2</v>
      </c>
      <c r="D169" s="6">
        <v>102</v>
      </c>
      <c r="E169" s="7">
        <v>20.734000000000002</v>
      </c>
      <c r="F169" s="7">
        <v>4.4169999999999998</v>
      </c>
      <c r="G169" s="7">
        <v>5.1920000000000002</v>
      </c>
      <c r="H169" s="7">
        <v>5.8140000000000001</v>
      </c>
      <c r="I169" s="7">
        <v>5.1539999999999999</v>
      </c>
      <c r="J169" s="7">
        <v>4.883</v>
      </c>
      <c r="K169" s="7">
        <v>4.4589999999999996</v>
      </c>
      <c r="L169" s="7">
        <v>4.8499999999999996</v>
      </c>
      <c r="M169" s="7">
        <v>5.0250000000000004</v>
      </c>
      <c r="N169" s="7">
        <v>5.5819999999999999</v>
      </c>
      <c r="O169" s="7">
        <v>4.95</v>
      </c>
    </row>
    <row r="170" spans="1:15" x14ac:dyDescent="0.25">
      <c r="A170" s="5" t="s">
        <v>182</v>
      </c>
      <c r="B170" s="5">
        <v>48</v>
      </c>
      <c r="C170" s="5" t="s">
        <v>2</v>
      </c>
      <c r="D170" s="6">
        <v>106</v>
      </c>
      <c r="E170" s="7">
        <v>21.177</v>
      </c>
      <c r="F170" s="7">
        <v>5.7649999999999997</v>
      </c>
      <c r="G170" s="7">
        <v>6.05</v>
      </c>
      <c r="H170" s="7">
        <v>5.2290000000000001</v>
      </c>
      <c r="I170" s="7">
        <v>4.9740000000000002</v>
      </c>
      <c r="J170" s="7">
        <v>5.0730000000000004</v>
      </c>
      <c r="K170" s="7">
        <v>6.3979999999999997</v>
      </c>
      <c r="L170" s="7">
        <v>4.952</v>
      </c>
      <c r="M170" s="7">
        <v>4.58</v>
      </c>
      <c r="N170" s="7">
        <v>4.9130000000000003</v>
      </c>
      <c r="O170" s="7">
        <v>4.87</v>
      </c>
    </row>
    <row r="171" spans="1:15" x14ac:dyDescent="0.25">
      <c r="A171" s="5" t="s">
        <v>183</v>
      </c>
      <c r="B171" s="5">
        <v>26</v>
      </c>
      <c r="C171" s="5" t="s">
        <v>3</v>
      </c>
      <c r="D171" s="6">
        <v>112</v>
      </c>
      <c r="E171" s="7">
        <v>21.952999999999999</v>
      </c>
      <c r="F171" s="7">
        <v>5.141</v>
      </c>
      <c r="G171" s="7">
        <v>4.6790000000000003</v>
      </c>
      <c r="H171" s="7">
        <v>4.617</v>
      </c>
      <c r="I171" s="7">
        <v>4.1429999999999998</v>
      </c>
      <c r="J171" s="7">
        <v>4.6639999999999997</v>
      </c>
      <c r="K171" s="7">
        <v>4.9509999999999996</v>
      </c>
      <c r="L171" s="7">
        <v>5.0869999999999997</v>
      </c>
      <c r="M171" s="7">
        <v>4.8609999999999998</v>
      </c>
      <c r="N171" s="7">
        <v>5.2169999999999996</v>
      </c>
      <c r="O171" s="7">
        <v>5.2709999999999999</v>
      </c>
    </row>
    <row r="172" spans="1:15" x14ac:dyDescent="0.25">
      <c r="A172" s="5" t="s">
        <v>184</v>
      </c>
      <c r="B172" s="5">
        <v>68</v>
      </c>
      <c r="C172" s="5" t="s">
        <v>2</v>
      </c>
      <c r="D172" s="6">
        <v>100</v>
      </c>
      <c r="E172" s="7">
        <v>19.643999999999998</v>
      </c>
      <c r="F172" s="7">
        <v>4.6269999999999998</v>
      </c>
      <c r="G172" s="7">
        <v>5.47</v>
      </c>
      <c r="H172" s="7">
        <v>4.5979999999999999</v>
      </c>
      <c r="I172" s="7">
        <v>4.2549999999999999</v>
      </c>
      <c r="J172" s="7">
        <v>4.8879999999999999</v>
      </c>
      <c r="K172" s="7">
        <v>5.4749999999999996</v>
      </c>
      <c r="L172" s="7">
        <v>4.8869999999999996</v>
      </c>
      <c r="M172" s="7">
        <v>5.3339999999999996</v>
      </c>
      <c r="N172" s="7">
        <v>5.1619999999999999</v>
      </c>
      <c r="O172" s="7">
        <v>5.2380000000000004</v>
      </c>
    </row>
    <row r="173" spans="1:15" x14ac:dyDescent="0.25">
      <c r="A173" s="5" t="s">
        <v>185</v>
      </c>
      <c r="B173" s="5">
        <v>46</v>
      </c>
      <c r="C173" s="5" t="s">
        <v>2</v>
      </c>
      <c r="D173" s="6">
        <v>97</v>
      </c>
      <c r="E173" s="7">
        <v>19.497</v>
      </c>
      <c r="F173" s="7">
        <v>5.1050000000000004</v>
      </c>
      <c r="G173" s="7">
        <v>5.8769999999999998</v>
      </c>
      <c r="H173" s="7">
        <v>5.5469999999999997</v>
      </c>
      <c r="I173" s="7">
        <v>4.3659999999999997</v>
      </c>
      <c r="J173" s="7">
        <v>4.9080000000000004</v>
      </c>
      <c r="K173" s="7">
        <v>4.6760000000000002</v>
      </c>
      <c r="L173" s="7">
        <v>5.0460000000000003</v>
      </c>
      <c r="M173" s="7">
        <v>5.2140000000000004</v>
      </c>
      <c r="N173" s="7">
        <v>5.1139999999999999</v>
      </c>
      <c r="O173" s="7">
        <v>5.0910000000000002</v>
      </c>
    </row>
    <row r="174" spans="1:15" x14ac:dyDescent="0.25">
      <c r="A174" s="5" t="s">
        <v>186</v>
      </c>
      <c r="B174" s="5">
        <v>57</v>
      </c>
      <c r="C174" s="5" t="s">
        <v>2</v>
      </c>
      <c r="D174" s="6">
        <v>112</v>
      </c>
      <c r="E174" s="7">
        <v>22.521999999999998</v>
      </c>
      <c r="F174" s="7">
        <v>6.2709999999999999</v>
      </c>
      <c r="G174" s="7">
        <v>5.3529999999999998</v>
      </c>
      <c r="H174" s="7">
        <v>5.3440000000000003</v>
      </c>
      <c r="I174" s="7">
        <v>4.1660000000000004</v>
      </c>
      <c r="J174" s="7">
        <v>6.0869999999999997</v>
      </c>
      <c r="K174" s="7">
        <v>4.0970000000000004</v>
      </c>
      <c r="L174" s="7">
        <v>4.9139999999999997</v>
      </c>
      <c r="M174" s="7">
        <v>4.91</v>
      </c>
      <c r="N174" s="7">
        <v>5.069</v>
      </c>
      <c r="O174" s="7">
        <v>4.7759999999999998</v>
      </c>
    </row>
    <row r="175" spans="1:15" x14ac:dyDescent="0.25">
      <c r="A175" s="5" t="s">
        <v>187</v>
      </c>
      <c r="B175" s="5">
        <v>58</v>
      </c>
      <c r="C175" s="5" t="s">
        <v>3</v>
      </c>
      <c r="D175" s="6">
        <v>110</v>
      </c>
      <c r="E175" s="7">
        <v>21.609000000000002</v>
      </c>
      <c r="F175" s="7">
        <v>5.4989999999999997</v>
      </c>
      <c r="G175" s="7">
        <v>4.7949999999999999</v>
      </c>
      <c r="H175" s="7">
        <v>6.2030000000000003</v>
      </c>
      <c r="I175" s="7">
        <v>5.9290000000000003</v>
      </c>
      <c r="J175" s="7">
        <v>4.2770000000000001</v>
      </c>
      <c r="K175" s="7">
        <v>4.694</v>
      </c>
      <c r="L175" s="7">
        <v>5.0069999999999997</v>
      </c>
      <c r="M175" s="7">
        <v>5.258</v>
      </c>
      <c r="N175" s="7">
        <v>4.9619999999999997</v>
      </c>
      <c r="O175" s="7">
        <v>5.016</v>
      </c>
    </row>
    <row r="176" spans="1:15" x14ac:dyDescent="0.25">
      <c r="A176" s="5" t="s">
        <v>188</v>
      </c>
      <c r="B176" s="5">
        <v>28</v>
      </c>
      <c r="C176" s="5" t="s">
        <v>2</v>
      </c>
      <c r="D176" s="6">
        <v>101</v>
      </c>
      <c r="E176" s="7">
        <v>20.216000000000001</v>
      </c>
      <c r="F176" s="7">
        <v>4.6029999999999998</v>
      </c>
      <c r="G176" s="7">
        <v>5.2270000000000003</v>
      </c>
      <c r="H176" s="7">
        <v>5.2759999999999998</v>
      </c>
      <c r="I176" s="7">
        <v>5.0039999999999996</v>
      </c>
      <c r="J176" s="7">
        <v>5.851</v>
      </c>
      <c r="K176" s="7">
        <v>4.8070000000000004</v>
      </c>
      <c r="L176" s="7">
        <v>4.585</v>
      </c>
      <c r="M176" s="7">
        <v>4.6189999999999998</v>
      </c>
      <c r="N176" s="7">
        <v>5.0659999999999998</v>
      </c>
      <c r="O176" s="7">
        <v>5.093</v>
      </c>
    </row>
    <row r="177" spans="1:15" x14ac:dyDescent="0.25">
      <c r="A177" s="5" t="s">
        <v>189</v>
      </c>
      <c r="B177" s="5">
        <v>40</v>
      </c>
      <c r="C177" s="5" t="s">
        <v>2</v>
      </c>
      <c r="D177" s="6">
        <v>100</v>
      </c>
      <c r="E177" s="7">
        <v>20.225000000000001</v>
      </c>
      <c r="F177" s="7">
        <v>3.21</v>
      </c>
      <c r="G177" s="7">
        <v>3.254</v>
      </c>
      <c r="H177" s="7">
        <v>6.976</v>
      </c>
      <c r="I177" s="7">
        <v>3.5790000000000002</v>
      </c>
      <c r="J177" s="7">
        <v>5.157</v>
      </c>
      <c r="K177" s="7">
        <v>5.5620000000000003</v>
      </c>
      <c r="L177" s="7">
        <v>4.085</v>
      </c>
      <c r="M177" s="7">
        <v>4.4450000000000003</v>
      </c>
      <c r="N177" s="7">
        <v>5.1660000000000004</v>
      </c>
      <c r="O177" s="7">
        <v>5.0030000000000001</v>
      </c>
    </row>
    <row r="178" spans="1:15" x14ac:dyDescent="0.25">
      <c r="A178" s="5" t="s">
        <v>190</v>
      </c>
      <c r="B178" s="5">
        <v>24</v>
      </c>
      <c r="C178" s="5" t="s">
        <v>2</v>
      </c>
      <c r="D178" s="6">
        <v>102</v>
      </c>
      <c r="E178" s="7">
        <v>19.989999999999998</v>
      </c>
      <c r="F178" s="7">
        <v>4.7329999999999997</v>
      </c>
      <c r="G178" s="7">
        <v>5.6479999999999997</v>
      </c>
      <c r="H178" s="7">
        <v>5.3239999999999998</v>
      </c>
      <c r="I178" s="7">
        <v>6.1340000000000003</v>
      </c>
      <c r="J178" s="7">
        <v>5.1959999999999997</v>
      </c>
      <c r="K178" s="7">
        <v>4.6079999999999997</v>
      </c>
      <c r="L178" s="7">
        <v>5.3650000000000002</v>
      </c>
      <c r="M178" s="7">
        <v>5.0389999999999997</v>
      </c>
      <c r="N178" s="7">
        <v>4.7930000000000001</v>
      </c>
      <c r="O178" s="7">
        <v>4.9379999999999997</v>
      </c>
    </row>
    <row r="179" spans="1:15" x14ac:dyDescent="0.25">
      <c r="A179" s="5" t="s">
        <v>191</v>
      </c>
      <c r="B179" s="5">
        <v>63</v>
      </c>
      <c r="C179" s="5" t="s">
        <v>2</v>
      </c>
      <c r="D179" s="6">
        <v>100</v>
      </c>
      <c r="E179" s="7">
        <v>20.393999999999998</v>
      </c>
      <c r="F179" s="7">
        <v>5.1779999999999999</v>
      </c>
      <c r="G179" s="7">
        <v>6.4240000000000004</v>
      </c>
      <c r="H179" s="7">
        <v>3.794</v>
      </c>
      <c r="I179" s="7">
        <v>5.0789999999999997</v>
      </c>
      <c r="J179" s="7">
        <v>4.5460000000000003</v>
      </c>
      <c r="K179" s="7">
        <v>4.8639999999999999</v>
      </c>
      <c r="L179" s="7">
        <v>4.8929999999999998</v>
      </c>
      <c r="M179" s="7">
        <v>4.6900000000000004</v>
      </c>
      <c r="N179" s="7">
        <v>5.0949999999999998</v>
      </c>
      <c r="O179" s="7">
        <v>5.34</v>
      </c>
    </row>
    <row r="180" spans="1:15" x14ac:dyDescent="0.25">
      <c r="A180" s="5" t="s">
        <v>192</v>
      </c>
      <c r="B180" s="5">
        <v>38</v>
      </c>
      <c r="C180" s="5" t="s">
        <v>3</v>
      </c>
      <c r="D180" s="6">
        <v>107</v>
      </c>
      <c r="E180" s="7">
        <v>21.265999999999998</v>
      </c>
      <c r="F180" s="7">
        <v>4.5659999999999998</v>
      </c>
      <c r="G180" s="7">
        <v>4.2480000000000002</v>
      </c>
      <c r="H180" s="7">
        <v>4.8959999999999999</v>
      </c>
      <c r="I180" s="7">
        <v>5.9329999999999998</v>
      </c>
      <c r="J180" s="7">
        <v>3.8559999999999999</v>
      </c>
      <c r="K180" s="7">
        <v>5.4420000000000002</v>
      </c>
      <c r="L180" s="7">
        <v>5.1449999999999996</v>
      </c>
      <c r="M180" s="7">
        <v>4.9889999999999999</v>
      </c>
      <c r="N180" s="7">
        <v>5.3090000000000002</v>
      </c>
      <c r="O180" s="7">
        <v>5.3710000000000004</v>
      </c>
    </row>
    <row r="181" spans="1:15" x14ac:dyDescent="0.25">
      <c r="A181" s="5" t="s">
        <v>193</v>
      </c>
      <c r="B181" s="5">
        <v>53</v>
      </c>
      <c r="C181" s="5" t="s">
        <v>3</v>
      </c>
      <c r="D181" s="6">
        <v>113</v>
      </c>
      <c r="E181" s="7">
        <v>23.047999999999998</v>
      </c>
      <c r="F181" s="7">
        <v>5.4649999999999999</v>
      </c>
      <c r="G181" s="7">
        <v>4.4820000000000002</v>
      </c>
      <c r="H181" s="7">
        <v>4.3719999999999999</v>
      </c>
      <c r="I181" s="7">
        <v>5.0350000000000001</v>
      </c>
      <c r="J181" s="7">
        <v>4.6630000000000003</v>
      </c>
      <c r="K181" s="7">
        <v>5.1180000000000003</v>
      </c>
      <c r="L181" s="7">
        <v>5.09</v>
      </c>
      <c r="M181" s="7">
        <v>5.2709999999999999</v>
      </c>
      <c r="N181" s="7">
        <v>5.2380000000000004</v>
      </c>
      <c r="O181" s="7">
        <v>5.0439999999999996</v>
      </c>
    </row>
    <row r="182" spans="1:15" x14ac:dyDescent="0.25">
      <c r="A182" s="5" t="s">
        <v>194</v>
      </c>
      <c r="B182" s="5">
        <v>71</v>
      </c>
      <c r="C182" s="5" t="s">
        <v>2</v>
      </c>
      <c r="D182" s="6">
        <v>96</v>
      </c>
      <c r="E182" s="7">
        <v>19.010000000000002</v>
      </c>
      <c r="F182" s="7">
        <v>3.879</v>
      </c>
      <c r="G182" s="7">
        <v>4.3410000000000002</v>
      </c>
      <c r="H182" s="7">
        <v>6.7439999999999998</v>
      </c>
      <c r="I182" s="7">
        <v>4.8410000000000002</v>
      </c>
      <c r="J182" s="7">
        <v>4.3499999999999996</v>
      </c>
      <c r="K182" s="7">
        <v>4.641</v>
      </c>
      <c r="L182" s="7">
        <v>5.8</v>
      </c>
      <c r="M182" s="7">
        <v>5.1310000000000002</v>
      </c>
      <c r="N182" s="7">
        <v>5.29</v>
      </c>
      <c r="O182" s="7">
        <v>5.0149999999999997</v>
      </c>
    </row>
    <row r="183" spans="1:15" x14ac:dyDescent="0.25">
      <c r="A183" s="5" t="s">
        <v>195</v>
      </c>
      <c r="B183" s="5">
        <v>74</v>
      </c>
      <c r="C183" s="5" t="s">
        <v>2</v>
      </c>
      <c r="D183" s="6">
        <v>107</v>
      </c>
      <c r="E183" s="7">
        <v>21.033999999999999</v>
      </c>
      <c r="F183" s="7">
        <v>4.641</v>
      </c>
      <c r="G183" s="7">
        <v>4.0810000000000004</v>
      </c>
      <c r="H183" s="7">
        <v>4.657</v>
      </c>
      <c r="I183" s="7">
        <v>5.9560000000000004</v>
      </c>
      <c r="J183" s="7">
        <v>5.258</v>
      </c>
      <c r="K183" s="7">
        <v>4.1890000000000001</v>
      </c>
      <c r="L183" s="7">
        <v>5.4130000000000003</v>
      </c>
      <c r="M183" s="7">
        <v>5.0359999999999996</v>
      </c>
      <c r="N183" s="7">
        <v>5.2160000000000002</v>
      </c>
      <c r="O183" s="7">
        <v>5.1189999999999998</v>
      </c>
    </row>
    <row r="184" spans="1:15" x14ac:dyDescent="0.25">
      <c r="A184" s="5" t="s">
        <v>196</v>
      </c>
      <c r="B184" s="5">
        <v>26</v>
      </c>
      <c r="C184" s="5" t="s">
        <v>3</v>
      </c>
      <c r="D184" s="6">
        <v>106</v>
      </c>
      <c r="E184" s="7">
        <v>21.036999999999999</v>
      </c>
      <c r="F184" s="7">
        <v>5.532</v>
      </c>
      <c r="G184" s="7">
        <v>5.6660000000000004</v>
      </c>
      <c r="H184" s="7">
        <v>6.8620000000000001</v>
      </c>
      <c r="I184" s="7">
        <v>4.1619999999999999</v>
      </c>
      <c r="J184" s="7">
        <v>5.8920000000000003</v>
      </c>
      <c r="K184" s="7">
        <v>5.5869999999999997</v>
      </c>
      <c r="L184" s="7">
        <v>4.9269999999999996</v>
      </c>
      <c r="M184" s="7">
        <v>4.9770000000000003</v>
      </c>
      <c r="N184" s="7">
        <v>4.6959999999999997</v>
      </c>
      <c r="O184" s="7">
        <v>5.4409999999999998</v>
      </c>
    </row>
    <row r="185" spans="1:15" x14ac:dyDescent="0.25">
      <c r="A185" s="5" t="s">
        <v>197</v>
      </c>
      <c r="B185" s="5">
        <v>80</v>
      </c>
      <c r="C185" s="5" t="s">
        <v>3</v>
      </c>
      <c r="D185" s="6">
        <v>89</v>
      </c>
      <c r="E185" s="7">
        <v>17.765999999999998</v>
      </c>
      <c r="F185" s="7">
        <v>3.3559999999999999</v>
      </c>
      <c r="G185" s="7">
        <v>5.0780000000000003</v>
      </c>
      <c r="H185" s="7">
        <v>5.0679999999999996</v>
      </c>
      <c r="I185" s="7">
        <v>5.9619999999999997</v>
      </c>
      <c r="J185" s="7">
        <v>5.1239999999999997</v>
      </c>
      <c r="K185" s="7">
        <v>5.5949999999999998</v>
      </c>
      <c r="L185" s="7">
        <v>4.7539999999999996</v>
      </c>
      <c r="M185" s="7">
        <v>4.8289999999999997</v>
      </c>
      <c r="N185" s="7">
        <v>4.7649999999999997</v>
      </c>
      <c r="O185" s="7">
        <v>5.1619999999999999</v>
      </c>
    </row>
    <row r="186" spans="1:15" x14ac:dyDescent="0.25">
      <c r="A186" s="5" t="s">
        <v>198</v>
      </c>
      <c r="B186" s="5">
        <v>71</v>
      </c>
      <c r="C186" s="5" t="s">
        <v>2</v>
      </c>
      <c r="D186" s="6">
        <v>114</v>
      </c>
      <c r="E186" s="7">
        <v>22.661999999999999</v>
      </c>
      <c r="F186" s="7">
        <v>5.4669999999999996</v>
      </c>
      <c r="G186" s="7">
        <v>4.6100000000000003</v>
      </c>
      <c r="H186" s="7">
        <v>4.5720000000000001</v>
      </c>
      <c r="I186" s="7">
        <v>6.5039999999999996</v>
      </c>
      <c r="J186" s="7">
        <v>5.0750000000000002</v>
      </c>
      <c r="K186" s="7">
        <v>5.6059999999999999</v>
      </c>
      <c r="L186" s="7">
        <v>5.141</v>
      </c>
      <c r="M186" s="7">
        <v>5.1639999999999997</v>
      </c>
      <c r="N186" s="7">
        <v>4.867</v>
      </c>
      <c r="O186" s="7">
        <v>4.9470000000000001</v>
      </c>
    </row>
    <row r="187" spans="1:15" x14ac:dyDescent="0.25">
      <c r="A187" s="5" t="s">
        <v>199</v>
      </c>
      <c r="B187" s="5">
        <v>72</v>
      </c>
      <c r="C187" s="5" t="s">
        <v>3</v>
      </c>
      <c r="D187" s="6">
        <v>108</v>
      </c>
      <c r="E187" s="7">
        <v>21.523</v>
      </c>
      <c r="F187" s="7">
        <v>5.1120000000000001</v>
      </c>
      <c r="G187" s="7">
        <v>4.4569999999999999</v>
      </c>
      <c r="H187" s="7">
        <v>4.0289999999999999</v>
      </c>
      <c r="I187" s="7">
        <v>4.8120000000000003</v>
      </c>
      <c r="J187" s="7">
        <v>5.1520000000000001</v>
      </c>
      <c r="K187" s="7">
        <v>5.5519999999999996</v>
      </c>
      <c r="L187" s="7">
        <v>5.2510000000000003</v>
      </c>
      <c r="M187" s="7">
        <v>4.9260000000000002</v>
      </c>
      <c r="N187" s="7">
        <v>5.18</v>
      </c>
      <c r="O187" s="7">
        <v>5.2830000000000004</v>
      </c>
    </row>
    <row r="188" spans="1:15" x14ac:dyDescent="0.25">
      <c r="A188" s="5" t="s">
        <v>200</v>
      </c>
      <c r="B188" s="5">
        <v>57</v>
      </c>
      <c r="C188" s="5" t="s">
        <v>2</v>
      </c>
      <c r="D188" s="6">
        <v>123</v>
      </c>
      <c r="E188" s="7">
        <v>24.719000000000001</v>
      </c>
      <c r="F188" s="7">
        <v>6.4969999999999999</v>
      </c>
      <c r="G188" s="7">
        <v>4.3209999999999997</v>
      </c>
      <c r="H188" s="7">
        <v>4.4790000000000001</v>
      </c>
      <c r="I188" s="7">
        <v>4.1589999999999998</v>
      </c>
      <c r="J188" s="7">
        <v>4.6390000000000002</v>
      </c>
      <c r="K188" s="7">
        <v>5.5330000000000004</v>
      </c>
      <c r="L188" s="7">
        <v>5.1520000000000001</v>
      </c>
      <c r="M188" s="7">
        <v>4.8869999999999996</v>
      </c>
      <c r="N188" s="7">
        <v>4.9889999999999999</v>
      </c>
      <c r="O188" s="7">
        <v>4.9320000000000004</v>
      </c>
    </row>
    <row r="189" spans="1:15" x14ac:dyDescent="0.25">
      <c r="A189" s="5" t="s">
        <v>201</v>
      </c>
      <c r="B189" s="5">
        <v>32</v>
      </c>
      <c r="C189" s="5" t="s">
        <v>3</v>
      </c>
      <c r="D189" s="6">
        <v>95</v>
      </c>
      <c r="E189" s="7">
        <v>18.939</v>
      </c>
      <c r="F189" s="7">
        <v>4.4130000000000003</v>
      </c>
      <c r="G189" s="7">
        <v>5.5860000000000003</v>
      </c>
      <c r="H189" s="7">
        <v>3.2309999999999999</v>
      </c>
      <c r="I189" s="7">
        <v>5.6390000000000002</v>
      </c>
      <c r="J189" s="7">
        <v>4.7750000000000004</v>
      </c>
      <c r="K189" s="7">
        <v>5.4450000000000003</v>
      </c>
      <c r="L189" s="7">
        <v>5.5789999999999997</v>
      </c>
      <c r="M189" s="7">
        <v>6.0140000000000002</v>
      </c>
      <c r="N189" s="7">
        <v>5.4039999999999999</v>
      </c>
      <c r="O189" s="7">
        <v>5.024</v>
      </c>
    </row>
    <row r="190" spans="1:15" x14ac:dyDescent="0.25">
      <c r="A190" s="5" t="s">
        <v>202</v>
      </c>
      <c r="B190" s="5">
        <v>38</v>
      </c>
      <c r="C190" s="5" t="s">
        <v>3</v>
      </c>
      <c r="D190" s="6">
        <v>90</v>
      </c>
      <c r="E190" s="7">
        <v>17.975999999999999</v>
      </c>
      <c r="F190" s="7">
        <v>3.2810000000000001</v>
      </c>
      <c r="G190" s="7">
        <v>4.8239999999999998</v>
      </c>
      <c r="H190" s="7">
        <v>5.3310000000000004</v>
      </c>
      <c r="I190" s="7">
        <v>4.2619999999999996</v>
      </c>
      <c r="J190" s="7">
        <v>5.2590000000000003</v>
      </c>
      <c r="K190" s="7">
        <v>4.4169999999999998</v>
      </c>
      <c r="L190" s="7">
        <v>5.609</v>
      </c>
      <c r="M190" s="7">
        <v>4.5229999999999997</v>
      </c>
      <c r="N190" s="7">
        <v>4.8979999999999997</v>
      </c>
      <c r="O190" s="7">
        <v>4.8559999999999999</v>
      </c>
    </row>
    <row r="191" spans="1:15" x14ac:dyDescent="0.25">
      <c r="A191" s="5" t="s">
        <v>203</v>
      </c>
      <c r="B191" s="5">
        <v>64</v>
      </c>
      <c r="C191" s="5" t="s">
        <v>3</v>
      </c>
      <c r="D191" s="6">
        <v>116</v>
      </c>
      <c r="E191" s="7">
        <v>22.591000000000001</v>
      </c>
      <c r="F191" s="7">
        <v>5.7409999999999997</v>
      </c>
      <c r="G191" s="7">
        <v>4.8849999999999998</v>
      </c>
      <c r="H191" s="7">
        <v>4.84</v>
      </c>
      <c r="I191" s="7">
        <v>6.2709999999999999</v>
      </c>
      <c r="J191" s="7">
        <v>5.4939999999999998</v>
      </c>
      <c r="K191" s="7">
        <v>4.7110000000000003</v>
      </c>
      <c r="L191" s="7">
        <v>5.2370000000000001</v>
      </c>
      <c r="M191" s="7">
        <v>4.7779999999999996</v>
      </c>
      <c r="N191" s="7">
        <v>5.1710000000000003</v>
      </c>
      <c r="O191" s="7">
        <v>4.8460000000000001</v>
      </c>
    </row>
    <row r="192" spans="1:15" x14ac:dyDescent="0.25">
      <c r="A192" s="5" t="s">
        <v>204</v>
      </c>
      <c r="B192" s="5">
        <v>70</v>
      </c>
      <c r="C192" s="5" t="s">
        <v>3</v>
      </c>
      <c r="D192" s="6">
        <v>115</v>
      </c>
      <c r="E192" s="7">
        <v>23.14</v>
      </c>
      <c r="F192" s="7">
        <v>6.0880000000000001</v>
      </c>
      <c r="G192" s="7">
        <v>4.9329999999999998</v>
      </c>
      <c r="H192" s="7">
        <v>6.8339999999999996</v>
      </c>
      <c r="I192" s="7">
        <v>4.641</v>
      </c>
      <c r="J192" s="7">
        <v>4.5810000000000004</v>
      </c>
      <c r="K192" s="7">
        <v>5.2720000000000002</v>
      </c>
      <c r="L192" s="7">
        <v>5.21</v>
      </c>
      <c r="M192" s="7">
        <v>4.8719999999999999</v>
      </c>
      <c r="N192" s="7">
        <v>4.5220000000000002</v>
      </c>
      <c r="O192" s="7">
        <v>4.7290000000000001</v>
      </c>
    </row>
    <row r="193" spans="1:15" x14ac:dyDescent="0.25">
      <c r="A193" s="5" t="s">
        <v>205</v>
      </c>
      <c r="B193" s="5">
        <v>26</v>
      </c>
      <c r="C193" s="5" t="s">
        <v>2</v>
      </c>
      <c r="D193" s="6">
        <v>110</v>
      </c>
      <c r="E193" s="7">
        <v>21.968</v>
      </c>
      <c r="F193" s="7">
        <v>5.7569999999999997</v>
      </c>
      <c r="G193" s="7">
        <v>6.0220000000000002</v>
      </c>
      <c r="H193" s="7">
        <v>6.9729999999999999</v>
      </c>
      <c r="I193" s="7">
        <v>4.5720000000000001</v>
      </c>
      <c r="J193" s="7">
        <v>4.5999999999999996</v>
      </c>
      <c r="K193" s="7">
        <v>5.8840000000000003</v>
      </c>
      <c r="L193" s="7">
        <v>4.6189999999999998</v>
      </c>
      <c r="M193" s="7">
        <v>5.4930000000000003</v>
      </c>
      <c r="N193" s="7">
        <v>4.7759999999999998</v>
      </c>
      <c r="O193" s="7">
        <v>5.3209999999999997</v>
      </c>
    </row>
    <row r="194" spans="1:15" x14ac:dyDescent="0.25">
      <c r="A194" s="5" t="s">
        <v>206</v>
      </c>
      <c r="B194" s="5">
        <v>69</v>
      </c>
      <c r="C194" s="5" t="s">
        <v>3</v>
      </c>
      <c r="D194" s="6">
        <v>123</v>
      </c>
      <c r="E194" s="7">
        <v>25.173999999999999</v>
      </c>
      <c r="F194" s="7">
        <v>6.63</v>
      </c>
      <c r="G194" s="7">
        <v>4.7699999999999996</v>
      </c>
      <c r="H194" s="7">
        <v>4.431</v>
      </c>
      <c r="I194" s="7">
        <v>5.806</v>
      </c>
      <c r="J194" s="7">
        <v>5.3789999999999996</v>
      </c>
      <c r="K194" s="7">
        <v>5.343</v>
      </c>
      <c r="L194" s="7">
        <v>5.4690000000000003</v>
      </c>
      <c r="M194" s="7">
        <v>5.1310000000000002</v>
      </c>
      <c r="N194" s="7">
        <v>4.899</v>
      </c>
      <c r="O194" s="7">
        <v>4.78</v>
      </c>
    </row>
    <row r="195" spans="1:15" x14ac:dyDescent="0.25">
      <c r="A195" s="5" t="s">
        <v>207</v>
      </c>
      <c r="B195" s="5">
        <v>74</v>
      </c>
      <c r="C195" s="5" t="s">
        <v>3</v>
      </c>
      <c r="D195" s="6">
        <v>88</v>
      </c>
      <c r="E195" s="7">
        <v>17.265000000000001</v>
      </c>
      <c r="F195" s="7">
        <v>3.625</v>
      </c>
      <c r="G195" s="7">
        <v>4.6399999999999997</v>
      </c>
      <c r="H195" s="7">
        <v>4.867</v>
      </c>
      <c r="I195" s="7">
        <v>6.734</v>
      </c>
      <c r="J195" s="7">
        <v>4.7679999999999998</v>
      </c>
      <c r="K195" s="7">
        <v>4.508</v>
      </c>
      <c r="L195" s="7">
        <v>5.39</v>
      </c>
      <c r="M195" s="7">
        <v>5.3789999999999996</v>
      </c>
      <c r="N195" s="7">
        <v>4.9539999999999997</v>
      </c>
      <c r="O195" s="7">
        <v>5.1689999999999996</v>
      </c>
    </row>
    <row r="196" spans="1:15" x14ac:dyDescent="0.25">
      <c r="A196" s="5" t="s">
        <v>208</v>
      </c>
      <c r="B196" s="5">
        <v>43</v>
      </c>
      <c r="C196" s="5" t="s">
        <v>2</v>
      </c>
      <c r="D196" s="6">
        <v>92</v>
      </c>
      <c r="E196" s="7">
        <v>17.756</v>
      </c>
      <c r="F196" s="7">
        <v>3.948</v>
      </c>
      <c r="G196" s="7">
        <v>5.359</v>
      </c>
      <c r="H196" s="7">
        <v>4.9530000000000003</v>
      </c>
      <c r="I196" s="7">
        <v>5.1310000000000002</v>
      </c>
      <c r="J196" s="7">
        <v>3.91</v>
      </c>
      <c r="K196" s="7">
        <v>5.4859999999999998</v>
      </c>
      <c r="L196" s="7">
        <v>5.9329999999999998</v>
      </c>
      <c r="M196" s="7">
        <v>4.9000000000000004</v>
      </c>
      <c r="N196" s="7">
        <v>5.3220000000000001</v>
      </c>
      <c r="O196" s="7">
        <v>4.8330000000000002</v>
      </c>
    </row>
    <row r="197" spans="1:15" x14ac:dyDescent="0.25">
      <c r="A197" s="5" t="s">
        <v>209</v>
      </c>
      <c r="B197" s="5">
        <v>58</v>
      </c>
      <c r="C197" s="5" t="s">
        <v>3</v>
      </c>
      <c r="D197" s="6">
        <v>109</v>
      </c>
      <c r="E197" s="7">
        <v>22.02</v>
      </c>
      <c r="F197" s="7">
        <v>5.4779999999999998</v>
      </c>
      <c r="G197" s="7">
        <v>4.3819999999999997</v>
      </c>
      <c r="H197" s="7">
        <v>5.1429999999999998</v>
      </c>
      <c r="I197" s="7">
        <v>5.9180000000000001</v>
      </c>
      <c r="J197" s="7">
        <v>4.1269999999999998</v>
      </c>
      <c r="K197" s="7">
        <v>5.8170000000000002</v>
      </c>
      <c r="L197" s="7">
        <v>5.5419999999999998</v>
      </c>
      <c r="M197" s="7">
        <v>5.4610000000000003</v>
      </c>
      <c r="N197" s="7">
        <v>4.8109999999999999</v>
      </c>
      <c r="O197" s="7">
        <v>5.01</v>
      </c>
    </row>
    <row r="198" spans="1:15" x14ac:dyDescent="0.25">
      <c r="A198" s="5" t="s">
        <v>210</v>
      </c>
      <c r="B198" s="5">
        <v>52</v>
      </c>
      <c r="C198" s="5" t="s">
        <v>3</v>
      </c>
      <c r="D198" s="6">
        <v>120</v>
      </c>
      <c r="E198" s="7">
        <v>24.123000000000001</v>
      </c>
      <c r="F198" s="7">
        <v>6.2220000000000004</v>
      </c>
      <c r="G198" s="7">
        <v>4.8490000000000002</v>
      </c>
      <c r="H198" s="7">
        <v>5.3659999999999997</v>
      </c>
      <c r="I198" s="7">
        <v>4.6929999999999996</v>
      </c>
      <c r="J198" s="7">
        <v>4.915</v>
      </c>
      <c r="K198" s="7">
        <v>4.7169999999999996</v>
      </c>
      <c r="L198" s="7">
        <v>5.1449999999999996</v>
      </c>
      <c r="M198" s="7">
        <v>5.141</v>
      </c>
      <c r="N198" s="7">
        <v>4.7850000000000001</v>
      </c>
      <c r="O198" s="7">
        <v>4.8979999999999997</v>
      </c>
    </row>
    <row r="199" spans="1:15" x14ac:dyDescent="0.25">
      <c r="A199" s="5" t="s">
        <v>211</v>
      </c>
      <c r="B199" s="5">
        <v>80</v>
      </c>
      <c r="C199" s="5" t="s">
        <v>2</v>
      </c>
      <c r="D199" s="6">
        <v>127</v>
      </c>
      <c r="E199" s="7">
        <v>25.041</v>
      </c>
      <c r="F199" s="7">
        <v>7.3710000000000004</v>
      </c>
      <c r="G199" s="7">
        <v>4.5359999999999996</v>
      </c>
      <c r="H199" s="7">
        <v>4.9649999999999999</v>
      </c>
      <c r="I199" s="7">
        <v>6.2969999999999997</v>
      </c>
      <c r="J199" s="7">
        <v>5.2</v>
      </c>
      <c r="K199" s="7">
        <v>4.4459999999999997</v>
      </c>
      <c r="L199" s="7">
        <v>4.4560000000000004</v>
      </c>
      <c r="M199" s="7">
        <v>5.4279999999999999</v>
      </c>
      <c r="N199" s="7">
        <v>5.0199999999999996</v>
      </c>
      <c r="O199" s="7">
        <v>4.8840000000000003</v>
      </c>
    </row>
    <row r="200" spans="1:15" x14ac:dyDescent="0.25">
      <c r="A200" s="5" t="s">
        <v>212</v>
      </c>
      <c r="B200" s="5">
        <v>42</v>
      </c>
      <c r="C200" s="5" t="s">
        <v>3</v>
      </c>
      <c r="D200" s="6">
        <v>105</v>
      </c>
      <c r="E200" s="7">
        <v>20.454999999999998</v>
      </c>
      <c r="F200" s="7">
        <v>5.1150000000000002</v>
      </c>
      <c r="G200" s="7">
        <v>5.4459999999999997</v>
      </c>
      <c r="H200" s="7">
        <v>4.8369999999999997</v>
      </c>
      <c r="I200" s="7">
        <v>4.5819999999999999</v>
      </c>
      <c r="J200" s="7">
        <v>5.7389999999999999</v>
      </c>
      <c r="K200" s="7">
        <v>4.6890000000000001</v>
      </c>
      <c r="L200" s="7">
        <v>4.8239999999999998</v>
      </c>
      <c r="M200" s="7">
        <v>5.2830000000000004</v>
      </c>
      <c r="N200" s="7">
        <v>5.5149999999999997</v>
      </c>
      <c r="O200" s="7">
        <v>4.9429999999999996</v>
      </c>
    </row>
    <row r="201" spans="1:15" x14ac:dyDescent="0.25">
      <c r="A201" s="5" t="s">
        <v>213</v>
      </c>
      <c r="B201" s="5">
        <v>55</v>
      </c>
      <c r="C201" s="5" t="s">
        <v>2</v>
      </c>
      <c r="D201" s="6">
        <v>98</v>
      </c>
      <c r="E201" s="7">
        <v>20.148</v>
      </c>
      <c r="F201" s="7">
        <v>5.2789999999999999</v>
      </c>
      <c r="G201" s="7">
        <v>6.117</v>
      </c>
      <c r="H201" s="7">
        <v>4.6980000000000004</v>
      </c>
      <c r="I201" s="7">
        <v>4.2939999999999996</v>
      </c>
      <c r="J201" s="7">
        <v>5.2850000000000001</v>
      </c>
      <c r="K201" s="7">
        <v>5.4550000000000001</v>
      </c>
      <c r="L201" s="7">
        <v>5.992</v>
      </c>
      <c r="M201" s="7">
        <v>5.0970000000000004</v>
      </c>
      <c r="N201" s="7">
        <v>4.91</v>
      </c>
      <c r="O201" s="7">
        <v>5.1269999999999998</v>
      </c>
    </row>
    <row r="202" spans="1:15" x14ac:dyDescent="0.25">
      <c r="A202" s="5" t="s">
        <v>214</v>
      </c>
      <c r="B202" s="5">
        <v>26</v>
      </c>
      <c r="C202" s="5" t="s">
        <v>2</v>
      </c>
      <c r="D202" s="6">
        <v>112</v>
      </c>
      <c r="E202" s="7">
        <v>22.904</v>
      </c>
      <c r="F202" s="7">
        <v>5.7519999999999998</v>
      </c>
      <c r="G202" s="7">
        <v>4.8609999999999998</v>
      </c>
      <c r="H202" s="7">
        <v>6.2050000000000001</v>
      </c>
      <c r="I202" s="7">
        <v>6.4160000000000004</v>
      </c>
      <c r="J202" s="7">
        <v>4.6269999999999998</v>
      </c>
      <c r="K202" s="7">
        <v>5.7060000000000004</v>
      </c>
      <c r="L202" s="7">
        <v>5.7249999999999996</v>
      </c>
      <c r="M202" s="7">
        <v>4.9370000000000003</v>
      </c>
      <c r="N202" s="7">
        <v>4.7409999999999997</v>
      </c>
      <c r="O202" s="7">
        <v>5.2439999999999998</v>
      </c>
    </row>
    <row r="203" spans="1:15" x14ac:dyDescent="0.25">
      <c r="A203" s="5" t="s">
        <v>215</v>
      </c>
      <c r="B203" s="5">
        <v>24</v>
      </c>
      <c r="C203" s="5" t="s">
        <v>2</v>
      </c>
      <c r="D203" s="6">
        <v>94</v>
      </c>
      <c r="E203" s="7">
        <v>17.914000000000001</v>
      </c>
      <c r="F203" s="7">
        <v>4.74</v>
      </c>
      <c r="G203" s="7">
        <v>5.7640000000000002</v>
      </c>
      <c r="H203" s="7">
        <v>3.5310000000000001</v>
      </c>
      <c r="I203" s="7">
        <v>4.9119999999999999</v>
      </c>
      <c r="J203" s="7">
        <v>5.6529999999999996</v>
      </c>
      <c r="K203" s="7">
        <v>5.2169999999999996</v>
      </c>
      <c r="L203" s="7">
        <v>5.1079999999999997</v>
      </c>
      <c r="M203" s="7">
        <v>4.4800000000000004</v>
      </c>
      <c r="N203" s="7">
        <v>5.13</v>
      </c>
      <c r="O203" s="7">
        <v>4.9240000000000004</v>
      </c>
    </row>
    <row r="204" spans="1:15" x14ac:dyDescent="0.25">
      <c r="A204" s="5" t="s">
        <v>216</v>
      </c>
      <c r="B204" s="5">
        <v>51</v>
      </c>
      <c r="C204" s="5" t="s">
        <v>2</v>
      </c>
      <c r="D204" s="6">
        <v>105</v>
      </c>
      <c r="E204" s="7">
        <v>20.837</v>
      </c>
      <c r="F204" s="7">
        <v>4.9740000000000002</v>
      </c>
      <c r="G204" s="7">
        <v>4.9390000000000001</v>
      </c>
      <c r="H204" s="7">
        <v>5.899</v>
      </c>
      <c r="I204" s="7">
        <v>5.5960000000000001</v>
      </c>
      <c r="J204" s="7">
        <v>4.5270000000000001</v>
      </c>
      <c r="K204" s="7">
        <v>4.1680000000000001</v>
      </c>
      <c r="L204" s="7">
        <v>5.0149999999999997</v>
      </c>
      <c r="M204" s="7">
        <v>5.08</v>
      </c>
      <c r="N204" s="7">
        <v>5.1280000000000001</v>
      </c>
      <c r="O204" s="7">
        <v>5.1890000000000001</v>
      </c>
    </row>
    <row r="205" spans="1:15" x14ac:dyDescent="0.25">
      <c r="A205" s="5" t="s">
        <v>217</v>
      </c>
      <c r="B205" s="5">
        <v>34</v>
      </c>
      <c r="C205" s="5" t="s">
        <v>3</v>
      </c>
      <c r="D205" s="6">
        <v>103</v>
      </c>
      <c r="E205" s="7">
        <v>21.193000000000001</v>
      </c>
      <c r="F205" s="7">
        <v>5.0970000000000004</v>
      </c>
      <c r="G205" s="7">
        <v>5.8040000000000003</v>
      </c>
      <c r="H205" s="7">
        <v>4.2960000000000003</v>
      </c>
      <c r="I205" s="7">
        <v>5.2770000000000001</v>
      </c>
      <c r="J205" s="7">
        <v>4.8979999999999997</v>
      </c>
      <c r="K205" s="7">
        <v>4.8319999999999999</v>
      </c>
      <c r="L205" s="7">
        <v>4.8360000000000003</v>
      </c>
      <c r="M205" s="7">
        <v>5.0679999999999996</v>
      </c>
      <c r="N205" s="7">
        <v>4.5439999999999996</v>
      </c>
      <c r="O205" s="7">
        <v>4.7130000000000001</v>
      </c>
    </row>
    <row r="206" spans="1:15" x14ac:dyDescent="0.25">
      <c r="A206" s="5" t="s">
        <v>218</v>
      </c>
      <c r="B206" s="5">
        <v>60</v>
      </c>
      <c r="C206" s="5" t="s">
        <v>2</v>
      </c>
      <c r="D206" s="6">
        <v>111</v>
      </c>
      <c r="E206" s="7">
        <v>22.03</v>
      </c>
      <c r="F206" s="7">
        <v>5.1440000000000001</v>
      </c>
      <c r="G206" s="7">
        <v>4.4400000000000004</v>
      </c>
      <c r="H206" s="7">
        <v>5.91</v>
      </c>
      <c r="I206" s="7">
        <v>5.351</v>
      </c>
      <c r="J206" s="7">
        <v>4.806</v>
      </c>
      <c r="K206" s="7">
        <v>4.2759999999999998</v>
      </c>
      <c r="L206" s="7">
        <v>5.0529999999999999</v>
      </c>
      <c r="M206" s="7">
        <v>5.133</v>
      </c>
      <c r="N206" s="7">
        <v>5.4489999999999998</v>
      </c>
      <c r="O206" s="7">
        <v>4.4489999999999998</v>
      </c>
    </row>
    <row r="207" spans="1:15" x14ac:dyDescent="0.25">
      <c r="A207" s="5" t="s">
        <v>219</v>
      </c>
      <c r="B207" s="5">
        <v>76</v>
      </c>
      <c r="C207" s="5" t="s">
        <v>3</v>
      </c>
      <c r="D207" s="6">
        <v>124</v>
      </c>
      <c r="E207" s="7">
        <v>24.625</v>
      </c>
      <c r="F207" s="7">
        <v>6.8559999999999999</v>
      </c>
      <c r="G207" s="7">
        <v>4.8970000000000002</v>
      </c>
      <c r="H207" s="7">
        <v>4.7610000000000001</v>
      </c>
      <c r="I207" s="7">
        <v>4.1130000000000004</v>
      </c>
      <c r="J207" s="7">
        <v>4.7850000000000001</v>
      </c>
      <c r="K207" s="7">
        <v>6.1180000000000003</v>
      </c>
      <c r="L207" s="7">
        <v>5.133</v>
      </c>
      <c r="M207" s="7">
        <v>4.9260000000000002</v>
      </c>
      <c r="N207" s="7">
        <v>4.9889999999999999</v>
      </c>
      <c r="O207" s="7">
        <v>4.9829999999999997</v>
      </c>
    </row>
    <row r="208" spans="1:15" x14ac:dyDescent="0.25">
      <c r="A208" s="5" t="s">
        <v>220</v>
      </c>
      <c r="B208" s="5">
        <v>68</v>
      </c>
      <c r="C208" s="5" t="s">
        <v>3</v>
      </c>
      <c r="D208" s="6">
        <v>115</v>
      </c>
      <c r="E208" s="7">
        <v>22.899000000000001</v>
      </c>
      <c r="F208" s="7">
        <v>6.1</v>
      </c>
      <c r="G208" s="7">
        <v>5.6849999999999996</v>
      </c>
      <c r="H208" s="7">
        <v>6.2080000000000002</v>
      </c>
      <c r="I208" s="7">
        <v>6.8650000000000002</v>
      </c>
      <c r="J208" s="7">
        <v>4.165</v>
      </c>
      <c r="K208" s="7">
        <v>5.64</v>
      </c>
      <c r="L208" s="7">
        <v>4.109</v>
      </c>
      <c r="M208" s="7">
        <v>5.0449999999999999</v>
      </c>
      <c r="N208" s="7">
        <v>4.7640000000000002</v>
      </c>
      <c r="O208" s="7">
        <v>5.2210000000000001</v>
      </c>
    </row>
    <row r="209" spans="1:15" x14ac:dyDescent="0.25">
      <c r="A209" s="5" t="s">
        <v>221</v>
      </c>
      <c r="B209" s="5">
        <v>71</v>
      </c>
      <c r="C209" s="5" t="s">
        <v>3</v>
      </c>
      <c r="D209" s="6">
        <v>100</v>
      </c>
      <c r="E209" s="7">
        <v>19.600999999999999</v>
      </c>
      <c r="F209" s="7">
        <v>4.6360000000000001</v>
      </c>
      <c r="G209" s="7">
        <v>5.4580000000000002</v>
      </c>
      <c r="H209" s="7">
        <v>4.2880000000000003</v>
      </c>
      <c r="I209" s="7">
        <v>5.944</v>
      </c>
      <c r="J209" s="7">
        <v>4.8600000000000003</v>
      </c>
      <c r="K209" s="7">
        <v>5.0190000000000001</v>
      </c>
      <c r="L209" s="7">
        <v>5.4180000000000001</v>
      </c>
      <c r="M209" s="7">
        <v>4.774</v>
      </c>
      <c r="N209" s="7">
        <v>5.1890000000000001</v>
      </c>
      <c r="O209" s="7">
        <v>4.8929999999999998</v>
      </c>
    </row>
    <row r="210" spans="1:15" x14ac:dyDescent="0.25">
      <c r="A210" s="5" t="s">
        <v>222</v>
      </c>
      <c r="B210" s="5">
        <v>41</v>
      </c>
      <c r="C210" s="5" t="s">
        <v>3</v>
      </c>
      <c r="D210" s="6">
        <v>108</v>
      </c>
      <c r="E210" s="7">
        <v>20.992999999999999</v>
      </c>
      <c r="F210" s="7">
        <v>5.4720000000000004</v>
      </c>
      <c r="G210" s="7">
        <v>6.6139999999999999</v>
      </c>
      <c r="H210" s="7">
        <v>3.8450000000000002</v>
      </c>
      <c r="I210" s="7">
        <v>5.1059999999999999</v>
      </c>
      <c r="J210" s="7">
        <v>4.3170000000000002</v>
      </c>
      <c r="K210" s="7">
        <v>4.8929999999999998</v>
      </c>
      <c r="L210" s="7">
        <v>4.2510000000000003</v>
      </c>
      <c r="M210" s="7">
        <v>5.218</v>
      </c>
      <c r="N210" s="7">
        <v>4.8609999999999998</v>
      </c>
      <c r="O210" s="7">
        <v>5.1360000000000001</v>
      </c>
    </row>
    <row r="211" spans="1:15" x14ac:dyDescent="0.25">
      <c r="A211" s="5" t="s">
        <v>223</v>
      </c>
      <c r="B211" s="5">
        <v>42</v>
      </c>
      <c r="C211" s="5" t="s">
        <v>3</v>
      </c>
      <c r="D211" s="6">
        <v>95</v>
      </c>
      <c r="E211" s="7">
        <v>19.375</v>
      </c>
      <c r="F211" s="7">
        <v>4.1609999999999996</v>
      </c>
      <c r="G211" s="7">
        <v>5.0229999999999997</v>
      </c>
      <c r="H211" s="7">
        <v>5.6970000000000001</v>
      </c>
      <c r="I211" s="7">
        <v>6.12</v>
      </c>
      <c r="J211" s="7">
        <v>5.5209999999999999</v>
      </c>
      <c r="K211" s="7">
        <v>4.3440000000000003</v>
      </c>
      <c r="L211" s="7">
        <v>4.3659999999999997</v>
      </c>
      <c r="M211" s="7">
        <v>4.306</v>
      </c>
      <c r="N211" s="7">
        <v>4.9749999999999996</v>
      </c>
      <c r="O211" s="7">
        <v>4.7880000000000003</v>
      </c>
    </row>
    <row r="212" spans="1:15" x14ac:dyDescent="0.25">
      <c r="A212" s="5" t="s">
        <v>224</v>
      </c>
      <c r="B212" s="5">
        <v>69</v>
      </c>
      <c r="C212" s="5" t="s">
        <v>3</v>
      </c>
      <c r="D212" s="6">
        <v>103</v>
      </c>
      <c r="E212" s="7">
        <v>19.943999999999999</v>
      </c>
      <c r="F212" s="7">
        <v>4.476</v>
      </c>
      <c r="G212" s="7">
        <v>4.9950000000000001</v>
      </c>
      <c r="H212" s="7">
        <v>5.08</v>
      </c>
      <c r="I212" s="7">
        <v>4.2619999999999996</v>
      </c>
      <c r="J212" s="7">
        <v>5.008</v>
      </c>
      <c r="K212" s="7">
        <v>4.7629999999999999</v>
      </c>
      <c r="L212" s="7">
        <v>4.9450000000000003</v>
      </c>
      <c r="M212" s="7">
        <v>5.5590000000000002</v>
      </c>
      <c r="N212" s="7">
        <v>5.0970000000000004</v>
      </c>
      <c r="O212" s="7">
        <v>4.8079999999999998</v>
      </c>
    </row>
    <row r="213" spans="1:15" x14ac:dyDescent="0.25">
      <c r="A213" s="5" t="s">
        <v>225</v>
      </c>
      <c r="B213" s="5">
        <v>50</v>
      </c>
      <c r="C213" s="5" t="s">
        <v>3</v>
      </c>
      <c r="D213" s="6">
        <v>89</v>
      </c>
      <c r="E213" s="7">
        <v>17.888000000000002</v>
      </c>
      <c r="F213" s="7">
        <v>3.6110000000000002</v>
      </c>
      <c r="G213" s="7">
        <v>5.9420000000000002</v>
      </c>
      <c r="H213" s="7">
        <v>4.726</v>
      </c>
      <c r="I213" s="7">
        <v>5.1550000000000002</v>
      </c>
      <c r="J213" s="7">
        <v>5.6829999999999998</v>
      </c>
      <c r="K213" s="7">
        <v>4.1760000000000002</v>
      </c>
      <c r="L213" s="7">
        <v>5.21</v>
      </c>
      <c r="M213" s="7">
        <v>4.63</v>
      </c>
      <c r="N213" s="7">
        <v>4.5449999999999999</v>
      </c>
      <c r="O213" s="7">
        <v>5.0129999999999999</v>
      </c>
    </row>
    <row r="214" spans="1:15" x14ac:dyDescent="0.25">
      <c r="A214" s="5" t="s">
        <v>226</v>
      </c>
      <c r="B214" s="5">
        <v>66</v>
      </c>
      <c r="C214" s="5" t="s">
        <v>3</v>
      </c>
      <c r="D214" s="6">
        <v>114</v>
      </c>
      <c r="E214" s="7">
        <v>23.116</v>
      </c>
      <c r="F214" s="7">
        <v>5.0039999999999996</v>
      </c>
      <c r="G214" s="7">
        <v>3.54</v>
      </c>
      <c r="H214" s="7">
        <v>4.1829999999999998</v>
      </c>
      <c r="I214" s="7">
        <v>4.7679999999999998</v>
      </c>
      <c r="J214" s="7">
        <v>5.702</v>
      </c>
      <c r="K214" s="7">
        <v>5.4249999999999998</v>
      </c>
      <c r="L214" s="7">
        <v>4.242</v>
      </c>
      <c r="M214" s="7">
        <v>4.7190000000000003</v>
      </c>
      <c r="N214" s="7">
        <v>4.9710000000000001</v>
      </c>
      <c r="O214" s="7">
        <v>5.0970000000000004</v>
      </c>
    </row>
    <row r="215" spans="1:15" x14ac:dyDescent="0.25">
      <c r="A215" s="5" t="s">
        <v>227</v>
      </c>
      <c r="B215" s="5">
        <v>46</v>
      </c>
      <c r="C215" s="5" t="s">
        <v>3</v>
      </c>
      <c r="D215" s="6">
        <v>89</v>
      </c>
      <c r="E215" s="7">
        <v>17.283000000000001</v>
      </c>
      <c r="F215" s="7">
        <v>3.5950000000000002</v>
      </c>
      <c r="G215" s="7">
        <v>5.2939999999999996</v>
      </c>
      <c r="H215" s="7">
        <v>4.0599999999999996</v>
      </c>
      <c r="I215" s="7">
        <v>5.2229999999999999</v>
      </c>
      <c r="J215" s="7">
        <v>4.8810000000000002</v>
      </c>
      <c r="K215" s="7">
        <v>5.0430000000000001</v>
      </c>
      <c r="L215" s="7">
        <v>4.13</v>
      </c>
      <c r="M215" s="7">
        <v>5.218</v>
      </c>
      <c r="N215" s="7">
        <v>5.2080000000000002</v>
      </c>
      <c r="O215" s="7">
        <v>5.4279999999999999</v>
      </c>
    </row>
    <row r="216" spans="1:15" x14ac:dyDescent="0.25">
      <c r="A216" s="5" t="s">
        <v>228</v>
      </c>
      <c r="B216" s="5">
        <v>80</v>
      </c>
      <c r="C216" s="5" t="s">
        <v>3</v>
      </c>
      <c r="D216" s="6">
        <v>121</v>
      </c>
      <c r="E216" s="7">
        <v>23.870999999999999</v>
      </c>
      <c r="F216" s="7">
        <v>7.6289999999999996</v>
      </c>
      <c r="G216" s="7">
        <v>7.1070000000000002</v>
      </c>
      <c r="H216" s="7">
        <v>5.55</v>
      </c>
      <c r="I216" s="7">
        <v>4.4210000000000003</v>
      </c>
      <c r="J216" s="7">
        <v>5.5519999999999996</v>
      </c>
      <c r="K216" s="7">
        <v>4.3780000000000001</v>
      </c>
      <c r="L216" s="7">
        <v>5.7930000000000001</v>
      </c>
      <c r="M216" s="7">
        <v>5.6280000000000001</v>
      </c>
      <c r="N216" s="7">
        <v>5.1859999999999999</v>
      </c>
      <c r="O216" s="7">
        <v>5.1449999999999996</v>
      </c>
    </row>
    <row r="217" spans="1:15" x14ac:dyDescent="0.25">
      <c r="A217" s="5" t="s">
        <v>229</v>
      </c>
      <c r="B217" s="5">
        <v>39</v>
      </c>
      <c r="C217" s="5" t="s">
        <v>2</v>
      </c>
      <c r="D217" s="6">
        <v>118</v>
      </c>
      <c r="E217" s="7">
        <v>24.032</v>
      </c>
      <c r="F217" s="7">
        <v>5.82</v>
      </c>
      <c r="G217" s="7">
        <v>5.024</v>
      </c>
      <c r="H217" s="7">
        <v>6.2910000000000004</v>
      </c>
      <c r="I217" s="7">
        <v>6.02</v>
      </c>
      <c r="J217" s="7">
        <v>5.3310000000000004</v>
      </c>
      <c r="K217" s="7">
        <v>4.4139999999999997</v>
      </c>
      <c r="L217" s="7">
        <v>5.335</v>
      </c>
      <c r="M217" s="7">
        <v>5.5170000000000003</v>
      </c>
      <c r="N217" s="7">
        <v>5.157</v>
      </c>
      <c r="O217" s="7">
        <v>4.9980000000000002</v>
      </c>
    </row>
    <row r="218" spans="1:15" x14ac:dyDescent="0.25">
      <c r="A218" s="5" t="s">
        <v>230</v>
      </c>
      <c r="B218" s="5">
        <v>45</v>
      </c>
      <c r="C218" s="5" t="s">
        <v>2</v>
      </c>
      <c r="D218" s="6">
        <v>97</v>
      </c>
      <c r="E218" s="7">
        <v>19.18</v>
      </c>
      <c r="F218" s="7">
        <v>4.5</v>
      </c>
      <c r="G218" s="7">
        <v>6.2670000000000003</v>
      </c>
      <c r="H218" s="7">
        <v>4.96</v>
      </c>
      <c r="I218" s="7">
        <v>4.1539999999999999</v>
      </c>
      <c r="J218" s="7">
        <v>5.0629999999999997</v>
      </c>
      <c r="K218" s="7">
        <v>4.8689999999999998</v>
      </c>
      <c r="L218" s="7">
        <v>4.9539999999999997</v>
      </c>
      <c r="M218" s="7">
        <v>5.3869999999999996</v>
      </c>
      <c r="N218" s="7">
        <v>5.3010000000000002</v>
      </c>
      <c r="O218" s="7">
        <v>5.024</v>
      </c>
    </row>
    <row r="219" spans="1:15" x14ac:dyDescent="0.25">
      <c r="A219" s="5" t="s">
        <v>231</v>
      </c>
      <c r="B219" s="5">
        <v>66</v>
      </c>
      <c r="C219" s="5" t="s">
        <v>3</v>
      </c>
      <c r="D219" s="6">
        <v>106</v>
      </c>
      <c r="E219" s="7">
        <v>21.628</v>
      </c>
      <c r="F219" s="7">
        <v>4.4820000000000002</v>
      </c>
      <c r="G219" s="7">
        <v>3.6720000000000002</v>
      </c>
      <c r="H219" s="7">
        <v>6.6929999999999996</v>
      </c>
      <c r="I219" s="7">
        <v>3.9630000000000001</v>
      </c>
      <c r="J219" s="7">
        <v>5.4329999999999998</v>
      </c>
      <c r="K219" s="7">
        <v>4.6740000000000004</v>
      </c>
      <c r="L219" s="7">
        <v>4.875</v>
      </c>
      <c r="M219" s="7">
        <v>5.3540000000000001</v>
      </c>
      <c r="N219" s="7">
        <v>4.7320000000000002</v>
      </c>
      <c r="O219" s="7">
        <v>4.843</v>
      </c>
    </row>
    <row r="220" spans="1:15" x14ac:dyDescent="0.25">
      <c r="A220" s="5" t="s">
        <v>232</v>
      </c>
      <c r="B220" s="5">
        <v>66</v>
      </c>
      <c r="C220" s="5" t="s">
        <v>2</v>
      </c>
      <c r="D220" s="6">
        <v>84</v>
      </c>
      <c r="E220" s="7">
        <v>17.23</v>
      </c>
      <c r="F220" s="7">
        <v>3.1970000000000001</v>
      </c>
      <c r="G220" s="7">
        <v>5.6070000000000002</v>
      </c>
      <c r="H220" s="7">
        <v>4.9889999999999999</v>
      </c>
      <c r="I220" s="7">
        <v>4.6539999999999999</v>
      </c>
      <c r="J220" s="7">
        <v>4.6059999999999999</v>
      </c>
      <c r="K220" s="7">
        <v>4.5810000000000004</v>
      </c>
      <c r="L220" s="7">
        <v>4.8170000000000002</v>
      </c>
      <c r="M220" s="7">
        <v>5.1929999999999996</v>
      </c>
      <c r="N220" s="7">
        <v>5.3019999999999996</v>
      </c>
      <c r="O220" s="7">
        <v>5.2220000000000004</v>
      </c>
    </row>
    <row r="221" spans="1:15" x14ac:dyDescent="0.25">
      <c r="A221" s="5" t="s">
        <v>233</v>
      </c>
      <c r="B221" s="5">
        <v>37</v>
      </c>
      <c r="C221" s="5" t="s">
        <v>2</v>
      </c>
      <c r="D221" s="6">
        <v>117</v>
      </c>
      <c r="E221" s="7">
        <v>23.495999999999999</v>
      </c>
      <c r="F221" s="7">
        <v>5.9880000000000004</v>
      </c>
      <c r="G221" s="7">
        <v>5.2050000000000001</v>
      </c>
      <c r="H221" s="7">
        <v>4.7640000000000002</v>
      </c>
      <c r="I221" s="7">
        <v>4.8010000000000002</v>
      </c>
      <c r="J221" s="7">
        <v>3.7719999999999998</v>
      </c>
      <c r="K221" s="7">
        <v>5.2050000000000001</v>
      </c>
      <c r="L221" s="7">
        <v>5.0709999999999997</v>
      </c>
      <c r="M221" s="7">
        <v>5.3129999999999997</v>
      </c>
      <c r="N221" s="7">
        <v>4.6130000000000004</v>
      </c>
      <c r="O221" s="7">
        <v>5.0590000000000002</v>
      </c>
    </row>
    <row r="222" spans="1:15" x14ac:dyDescent="0.25">
      <c r="A222" s="5" t="s">
        <v>234</v>
      </c>
      <c r="B222" s="5">
        <v>80</v>
      </c>
      <c r="C222" s="5" t="s">
        <v>2</v>
      </c>
      <c r="D222" s="6">
        <v>90</v>
      </c>
      <c r="E222" s="7">
        <v>17.678999999999998</v>
      </c>
      <c r="F222" s="7">
        <v>4.6390000000000002</v>
      </c>
      <c r="G222" s="7">
        <v>6.9119999999999999</v>
      </c>
      <c r="H222" s="7">
        <v>4.5709999999999997</v>
      </c>
      <c r="I222" s="7">
        <v>6.2990000000000004</v>
      </c>
      <c r="J222" s="7">
        <v>4.5759999999999996</v>
      </c>
      <c r="K222" s="7">
        <v>4.21</v>
      </c>
      <c r="L222" s="7">
        <v>5.0940000000000003</v>
      </c>
      <c r="M222" s="7">
        <v>5.5730000000000004</v>
      </c>
      <c r="N222" s="7">
        <v>4.8979999999999997</v>
      </c>
      <c r="O222" s="7">
        <v>4.8769999999999998</v>
      </c>
    </row>
    <row r="223" spans="1:15" x14ac:dyDescent="0.25">
      <c r="A223" s="5" t="s">
        <v>235</v>
      </c>
      <c r="B223" s="5">
        <v>78</v>
      </c>
      <c r="C223" s="5" t="s">
        <v>3</v>
      </c>
      <c r="D223" s="6">
        <v>113</v>
      </c>
      <c r="E223" s="7">
        <v>22.452999999999999</v>
      </c>
      <c r="F223" s="7">
        <v>6.133</v>
      </c>
      <c r="G223" s="7">
        <v>5.4370000000000003</v>
      </c>
      <c r="H223" s="7">
        <v>7.2519999999999998</v>
      </c>
      <c r="I223" s="7">
        <v>4.4409999999999998</v>
      </c>
      <c r="J223" s="7">
        <v>5.6079999999999997</v>
      </c>
      <c r="K223" s="7">
        <v>4.9589999999999996</v>
      </c>
      <c r="L223" s="7">
        <v>5.4770000000000003</v>
      </c>
      <c r="M223" s="7">
        <v>4.9580000000000002</v>
      </c>
      <c r="N223" s="7">
        <v>4.8220000000000001</v>
      </c>
      <c r="O223" s="7">
        <v>5.1509999999999998</v>
      </c>
    </row>
    <row r="224" spans="1:15" x14ac:dyDescent="0.25">
      <c r="A224" s="5" t="s">
        <v>236</v>
      </c>
      <c r="B224" s="5">
        <v>66</v>
      </c>
      <c r="C224" s="5" t="s">
        <v>3</v>
      </c>
      <c r="D224" s="6">
        <v>102</v>
      </c>
      <c r="E224" s="7">
        <v>20.501999999999999</v>
      </c>
      <c r="F224" s="7">
        <v>5.4089999999999998</v>
      </c>
      <c r="G224" s="7">
        <v>5.593</v>
      </c>
      <c r="H224" s="7">
        <v>4.6070000000000002</v>
      </c>
      <c r="I224" s="7">
        <v>5.34</v>
      </c>
      <c r="J224" s="7">
        <v>5.81</v>
      </c>
      <c r="K224" s="7">
        <v>5.94</v>
      </c>
      <c r="L224" s="7">
        <v>5.1589999999999998</v>
      </c>
      <c r="M224" s="7">
        <v>4.8019999999999996</v>
      </c>
      <c r="N224" s="7">
        <v>4.7619999999999996</v>
      </c>
      <c r="O224" s="7">
        <v>4.9359999999999999</v>
      </c>
    </row>
    <row r="225" spans="1:15" x14ac:dyDescent="0.25">
      <c r="A225" s="5" t="s">
        <v>237</v>
      </c>
      <c r="B225" s="5">
        <v>28</v>
      </c>
      <c r="C225" s="5" t="s">
        <v>3</v>
      </c>
      <c r="D225" s="6">
        <v>122</v>
      </c>
      <c r="E225" s="7">
        <v>24.332999999999998</v>
      </c>
      <c r="F225" s="7">
        <v>5.819</v>
      </c>
      <c r="G225" s="7">
        <v>3.427</v>
      </c>
      <c r="H225" s="7">
        <v>4.9969999999999999</v>
      </c>
      <c r="I225" s="7">
        <v>5.032</v>
      </c>
      <c r="J225" s="7">
        <v>5.3780000000000001</v>
      </c>
      <c r="K225" s="7">
        <v>5.2270000000000003</v>
      </c>
      <c r="L225" s="7">
        <v>5.1120000000000001</v>
      </c>
      <c r="M225" s="7">
        <v>4.835</v>
      </c>
      <c r="N225" s="7">
        <v>4.8719999999999999</v>
      </c>
      <c r="O225" s="7">
        <v>5.1609999999999996</v>
      </c>
    </row>
    <row r="226" spans="1:15" x14ac:dyDescent="0.25">
      <c r="A226" s="5" t="s">
        <v>238</v>
      </c>
      <c r="B226" s="5">
        <v>30</v>
      </c>
      <c r="C226" s="5" t="s">
        <v>3</v>
      </c>
      <c r="D226" s="6">
        <v>104</v>
      </c>
      <c r="E226" s="7">
        <v>21.134</v>
      </c>
      <c r="F226" s="7">
        <v>5.32</v>
      </c>
      <c r="G226" s="7">
        <v>6.4610000000000003</v>
      </c>
      <c r="H226" s="7">
        <v>4.8639999999999999</v>
      </c>
      <c r="I226" s="7">
        <v>4.8</v>
      </c>
      <c r="J226" s="7">
        <v>3.919</v>
      </c>
      <c r="K226" s="7">
        <v>4.452</v>
      </c>
      <c r="L226" s="7">
        <v>4.7869999999999999</v>
      </c>
      <c r="M226" s="7">
        <v>4.2930000000000001</v>
      </c>
      <c r="N226" s="7">
        <v>5.0309999999999997</v>
      </c>
      <c r="O226" s="7">
        <v>5.2869999999999999</v>
      </c>
    </row>
    <row r="227" spans="1:15" x14ac:dyDescent="0.25">
      <c r="A227" s="5" t="s">
        <v>239</v>
      </c>
      <c r="B227" s="5">
        <v>68</v>
      </c>
      <c r="C227" s="5" t="s">
        <v>2</v>
      </c>
      <c r="D227" s="6">
        <v>125</v>
      </c>
      <c r="E227" s="7">
        <v>24.454999999999998</v>
      </c>
      <c r="F227" s="7">
        <v>7.415</v>
      </c>
      <c r="G227" s="7">
        <v>4.5019999999999998</v>
      </c>
      <c r="H227" s="7">
        <v>5.9889999999999999</v>
      </c>
      <c r="I227" s="7">
        <v>4.5119999999999996</v>
      </c>
      <c r="J227" s="7">
        <v>5.4649999999999999</v>
      </c>
      <c r="K227" s="7">
        <v>4.0430000000000001</v>
      </c>
      <c r="L227" s="7">
        <v>4.6459999999999999</v>
      </c>
      <c r="M227" s="7">
        <v>4.7910000000000004</v>
      </c>
      <c r="N227" s="7">
        <v>4.5890000000000004</v>
      </c>
      <c r="O227" s="7">
        <v>4.5330000000000004</v>
      </c>
    </row>
    <row r="228" spans="1:15" x14ac:dyDescent="0.25">
      <c r="A228" s="5" t="s">
        <v>240</v>
      </c>
      <c r="B228" s="5">
        <v>73</v>
      </c>
      <c r="C228" s="5" t="s">
        <v>2</v>
      </c>
      <c r="D228" s="6">
        <v>108</v>
      </c>
      <c r="E228" s="7">
        <v>21.068000000000001</v>
      </c>
      <c r="F228" s="7">
        <v>4.8860000000000001</v>
      </c>
      <c r="G228" s="7">
        <v>4.5350000000000001</v>
      </c>
      <c r="H228" s="7">
        <v>4.7389999999999999</v>
      </c>
      <c r="I228" s="7">
        <v>4.3869999999999996</v>
      </c>
      <c r="J228" s="7">
        <v>5.048</v>
      </c>
      <c r="K228" s="7">
        <v>4.7</v>
      </c>
      <c r="L228" s="7">
        <v>4.7279999999999998</v>
      </c>
      <c r="M228" s="7">
        <v>4.8479999999999999</v>
      </c>
      <c r="N228" s="7">
        <v>4.9450000000000003</v>
      </c>
      <c r="O228" s="7">
        <v>5.0039999999999996</v>
      </c>
    </row>
    <row r="229" spans="1:15" x14ac:dyDescent="0.25">
      <c r="A229" s="5" t="s">
        <v>241</v>
      </c>
      <c r="B229" s="5">
        <v>79</v>
      </c>
      <c r="C229" s="5" t="s">
        <v>2</v>
      </c>
      <c r="D229" s="6">
        <v>92</v>
      </c>
      <c r="E229" s="7">
        <v>18.463999999999999</v>
      </c>
      <c r="F229" s="7">
        <v>5.1180000000000003</v>
      </c>
      <c r="G229" s="7">
        <v>6.9119999999999999</v>
      </c>
      <c r="H229" s="7">
        <v>4.6660000000000004</v>
      </c>
      <c r="I229" s="7">
        <v>4</v>
      </c>
      <c r="J229" s="7">
        <v>5.5449999999999999</v>
      </c>
      <c r="K229" s="7">
        <v>5.3179999999999996</v>
      </c>
      <c r="L229" s="7">
        <v>4.7969999999999997</v>
      </c>
      <c r="M229" s="7">
        <v>5.1210000000000004</v>
      </c>
      <c r="N229" s="7">
        <v>5.0410000000000004</v>
      </c>
      <c r="O229" s="7">
        <v>4.8040000000000003</v>
      </c>
    </row>
    <row r="230" spans="1:15" x14ac:dyDescent="0.25">
      <c r="A230" s="5" t="s">
        <v>242</v>
      </c>
      <c r="B230" s="5">
        <v>49</v>
      </c>
      <c r="C230" s="5" t="s">
        <v>2</v>
      </c>
      <c r="D230" s="6">
        <v>110</v>
      </c>
      <c r="E230" s="7">
        <v>21.824999999999999</v>
      </c>
      <c r="F230" s="7">
        <v>6</v>
      </c>
      <c r="G230" s="7">
        <v>5.931</v>
      </c>
      <c r="H230" s="7">
        <v>5.52</v>
      </c>
      <c r="I230" s="7">
        <v>5.2930000000000001</v>
      </c>
      <c r="J230" s="7">
        <v>5.423</v>
      </c>
      <c r="K230" s="7">
        <v>4.2190000000000003</v>
      </c>
      <c r="L230" s="7">
        <v>5.2569999999999997</v>
      </c>
      <c r="M230" s="7">
        <v>5.4630000000000001</v>
      </c>
      <c r="N230" s="7">
        <v>4.5490000000000004</v>
      </c>
      <c r="O230" s="7">
        <v>5.1180000000000003</v>
      </c>
    </row>
    <row r="231" spans="1:15" x14ac:dyDescent="0.25">
      <c r="A231" s="5" t="s">
        <v>243</v>
      </c>
      <c r="B231" s="5">
        <v>47</v>
      </c>
      <c r="C231" s="5" t="s">
        <v>3</v>
      </c>
      <c r="D231" s="6">
        <v>101</v>
      </c>
      <c r="E231" s="7">
        <v>19.977</v>
      </c>
      <c r="F231" s="7">
        <v>4.6420000000000003</v>
      </c>
      <c r="G231" s="7">
        <v>4.8140000000000001</v>
      </c>
      <c r="H231" s="7">
        <v>4.5910000000000002</v>
      </c>
      <c r="I231" s="7">
        <v>5.0759999999999996</v>
      </c>
      <c r="J231" s="7">
        <v>5.2670000000000003</v>
      </c>
      <c r="K231" s="7">
        <v>5.5430000000000001</v>
      </c>
      <c r="L231" s="7">
        <v>5.2460000000000004</v>
      </c>
      <c r="M231" s="7">
        <v>5.1980000000000004</v>
      </c>
      <c r="N231" s="7">
        <v>4.5860000000000003</v>
      </c>
      <c r="O231" s="7">
        <v>4.7679999999999998</v>
      </c>
    </row>
    <row r="232" spans="1:15" x14ac:dyDescent="0.25">
      <c r="A232" s="5" t="s">
        <v>244</v>
      </c>
      <c r="B232" s="5">
        <v>46</v>
      </c>
      <c r="C232" s="5" t="s">
        <v>3</v>
      </c>
      <c r="D232" s="6">
        <v>108</v>
      </c>
      <c r="E232" s="7">
        <v>20.97</v>
      </c>
      <c r="F232" s="7">
        <v>4.9450000000000003</v>
      </c>
      <c r="G232" s="7">
        <v>3.9529999999999998</v>
      </c>
      <c r="H232" s="7">
        <v>4.4009999999999998</v>
      </c>
      <c r="I232" s="7">
        <v>4.8970000000000002</v>
      </c>
      <c r="J232" s="7">
        <v>5.8630000000000004</v>
      </c>
      <c r="K232" s="7">
        <v>4.3899999999999997</v>
      </c>
      <c r="L232" s="7">
        <v>5.0369999999999999</v>
      </c>
      <c r="M232" s="7">
        <v>4.835</v>
      </c>
      <c r="N232" s="7">
        <v>4.758</v>
      </c>
      <c r="O232" s="7">
        <v>5.1159999999999997</v>
      </c>
    </row>
    <row r="233" spans="1:15" x14ac:dyDescent="0.25">
      <c r="A233" s="5" t="s">
        <v>245</v>
      </c>
      <c r="B233" s="5">
        <v>66</v>
      </c>
      <c r="C233" s="5" t="s">
        <v>3</v>
      </c>
      <c r="D233" s="6">
        <v>102</v>
      </c>
      <c r="E233" s="7">
        <v>20.407</v>
      </c>
      <c r="F233" s="7">
        <v>5.2409999999999997</v>
      </c>
      <c r="G233" s="7">
        <v>5.9630000000000001</v>
      </c>
      <c r="H233" s="7">
        <v>6.0270000000000001</v>
      </c>
      <c r="I233" s="7">
        <v>5.59</v>
      </c>
      <c r="J233" s="7">
        <v>5.4669999999999996</v>
      </c>
      <c r="K233" s="7">
        <v>3.78</v>
      </c>
      <c r="L233" s="7">
        <v>4.7050000000000001</v>
      </c>
      <c r="M233" s="7">
        <v>5.1059999999999999</v>
      </c>
      <c r="N233" s="7">
        <v>4.7720000000000002</v>
      </c>
      <c r="O233" s="7">
        <v>4.78</v>
      </c>
    </row>
    <row r="234" spans="1:15" x14ac:dyDescent="0.25">
      <c r="A234" s="5" t="s">
        <v>246</v>
      </c>
      <c r="B234" s="5">
        <v>62</v>
      </c>
      <c r="C234" s="5" t="s">
        <v>2</v>
      </c>
      <c r="D234" s="6">
        <v>77</v>
      </c>
      <c r="E234" s="7">
        <v>15.381</v>
      </c>
      <c r="F234" s="7">
        <v>2.2650000000000001</v>
      </c>
      <c r="G234" s="7">
        <v>4.9359999999999999</v>
      </c>
      <c r="H234" s="7">
        <v>5.7610000000000001</v>
      </c>
      <c r="I234" s="7">
        <v>4.4850000000000003</v>
      </c>
      <c r="J234" s="7">
        <v>5.3949999999999996</v>
      </c>
      <c r="K234" s="7">
        <v>5.6609999999999996</v>
      </c>
      <c r="L234" s="7">
        <v>4.0529999999999999</v>
      </c>
      <c r="M234" s="7">
        <v>5.09</v>
      </c>
      <c r="N234" s="7">
        <v>5.2649999999999997</v>
      </c>
      <c r="O234" s="7">
        <v>5.25</v>
      </c>
    </row>
    <row r="235" spans="1:15" x14ac:dyDescent="0.25">
      <c r="A235" s="5" t="s">
        <v>247</v>
      </c>
      <c r="B235" s="5">
        <v>47</v>
      </c>
      <c r="C235" s="5" t="s">
        <v>3</v>
      </c>
      <c r="D235" s="6">
        <v>117</v>
      </c>
      <c r="E235" s="7">
        <v>23.632999999999999</v>
      </c>
      <c r="F235" s="7">
        <v>5.194</v>
      </c>
      <c r="G235" s="7">
        <v>3.4860000000000002</v>
      </c>
      <c r="H235" s="7">
        <v>5.1619999999999999</v>
      </c>
      <c r="I235" s="7">
        <v>6.2030000000000003</v>
      </c>
      <c r="J235" s="7">
        <v>5.36</v>
      </c>
      <c r="K235" s="7">
        <v>5.7910000000000004</v>
      </c>
      <c r="L235" s="7">
        <v>5.2590000000000003</v>
      </c>
      <c r="M235" s="7">
        <v>4.6260000000000003</v>
      </c>
      <c r="N235" s="7">
        <v>4.8209999999999997</v>
      </c>
      <c r="O235" s="7">
        <v>4.9800000000000004</v>
      </c>
    </row>
    <row r="236" spans="1:15" x14ac:dyDescent="0.25">
      <c r="A236" s="5" t="s">
        <v>248</v>
      </c>
      <c r="B236" s="5">
        <v>33</v>
      </c>
      <c r="C236" s="5" t="s">
        <v>3</v>
      </c>
      <c r="D236" s="6">
        <v>97</v>
      </c>
      <c r="E236" s="7">
        <v>19.425000000000001</v>
      </c>
      <c r="F236" s="7">
        <v>4.8550000000000004</v>
      </c>
      <c r="G236" s="7">
        <v>6.5720000000000001</v>
      </c>
      <c r="H236" s="7">
        <v>4.4649999999999999</v>
      </c>
      <c r="I236" s="7">
        <v>5.399</v>
      </c>
      <c r="J236" s="7">
        <v>5.7160000000000002</v>
      </c>
      <c r="K236" s="7">
        <v>4.0620000000000003</v>
      </c>
      <c r="L236" s="7">
        <v>5.9539999999999997</v>
      </c>
      <c r="M236" s="7">
        <v>5.4779999999999998</v>
      </c>
      <c r="N236" s="7">
        <v>4.9139999999999997</v>
      </c>
      <c r="O236" s="7">
        <v>5.0540000000000003</v>
      </c>
    </row>
    <row r="237" spans="1:15" x14ac:dyDescent="0.25">
      <c r="A237" s="5" t="s">
        <v>249</v>
      </c>
      <c r="B237" s="5">
        <v>57</v>
      </c>
      <c r="C237" s="5" t="s">
        <v>2</v>
      </c>
      <c r="D237" s="6">
        <v>111</v>
      </c>
      <c r="E237" s="7">
        <v>22.152999999999999</v>
      </c>
      <c r="F237" s="7">
        <v>6.4550000000000001</v>
      </c>
      <c r="G237" s="7">
        <v>5.8940000000000001</v>
      </c>
      <c r="H237" s="7">
        <v>5.444</v>
      </c>
      <c r="I237" s="7">
        <v>5.5990000000000002</v>
      </c>
      <c r="J237" s="7">
        <v>4.6059999999999999</v>
      </c>
      <c r="K237" s="7">
        <v>4.6790000000000003</v>
      </c>
      <c r="L237" s="7">
        <v>3.8730000000000002</v>
      </c>
      <c r="M237" s="7">
        <v>4.5890000000000004</v>
      </c>
      <c r="N237" s="7">
        <v>4.8869999999999996</v>
      </c>
      <c r="O237" s="7">
        <v>4.8710000000000004</v>
      </c>
    </row>
    <row r="238" spans="1:15" x14ac:dyDescent="0.25">
      <c r="A238" s="5" t="s">
        <v>250</v>
      </c>
      <c r="B238" s="5">
        <v>36</v>
      </c>
      <c r="C238" s="5" t="s">
        <v>2</v>
      </c>
      <c r="D238" s="6">
        <v>100</v>
      </c>
      <c r="E238" s="7">
        <v>20.419</v>
      </c>
      <c r="F238" s="7">
        <v>4.6029999999999998</v>
      </c>
      <c r="G238" s="7">
        <v>4.9829999999999997</v>
      </c>
      <c r="H238" s="7">
        <v>5.4950000000000001</v>
      </c>
      <c r="I238" s="7">
        <v>4.6379999999999999</v>
      </c>
      <c r="J238" s="7">
        <v>4.3810000000000002</v>
      </c>
      <c r="K238" s="7">
        <v>5.8230000000000004</v>
      </c>
      <c r="L238" s="7">
        <v>4.8090000000000002</v>
      </c>
      <c r="M238" s="7">
        <v>5.3319999999999999</v>
      </c>
      <c r="N238" s="7">
        <v>4.7729999999999997</v>
      </c>
      <c r="O238" s="7">
        <v>4.8840000000000003</v>
      </c>
    </row>
    <row r="239" spans="1:15" x14ac:dyDescent="0.25">
      <c r="A239" s="5" t="s">
        <v>251</v>
      </c>
      <c r="B239" s="5">
        <v>35</v>
      </c>
      <c r="C239" s="5" t="s">
        <v>3</v>
      </c>
      <c r="D239" s="6">
        <v>110</v>
      </c>
      <c r="E239" s="7">
        <v>21.532</v>
      </c>
      <c r="F239" s="7">
        <v>6.7290000000000001</v>
      </c>
      <c r="G239" s="7">
        <v>6.1849999999999996</v>
      </c>
      <c r="H239" s="7">
        <v>4.5369999999999999</v>
      </c>
      <c r="I239" s="7">
        <v>4.6749999999999998</v>
      </c>
      <c r="J239" s="7">
        <v>5.8150000000000004</v>
      </c>
      <c r="K239" s="7">
        <v>4.508</v>
      </c>
      <c r="L239" s="7">
        <v>5.4260000000000002</v>
      </c>
      <c r="M239" s="7">
        <v>4.4560000000000004</v>
      </c>
      <c r="N239" s="7">
        <v>4.6900000000000004</v>
      </c>
      <c r="O239" s="7">
        <v>5.2629999999999999</v>
      </c>
    </row>
    <row r="240" spans="1:15" x14ac:dyDescent="0.25">
      <c r="A240" s="5" t="s">
        <v>252</v>
      </c>
      <c r="B240" s="5">
        <v>36</v>
      </c>
      <c r="C240" s="5" t="s">
        <v>3</v>
      </c>
      <c r="D240" s="6">
        <v>111</v>
      </c>
      <c r="E240" s="7">
        <v>22.390999999999998</v>
      </c>
      <c r="F240" s="7">
        <v>5.2519999999999998</v>
      </c>
      <c r="G240" s="7">
        <v>4.7430000000000003</v>
      </c>
      <c r="H240" s="7">
        <v>4.1639999999999997</v>
      </c>
      <c r="I240" s="7">
        <v>4.9180000000000001</v>
      </c>
      <c r="J240" s="7">
        <v>5.0890000000000004</v>
      </c>
      <c r="K240" s="7">
        <v>4.4029999999999996</v>
      </c>
      <c r="L240" s="7">
        <v>5.2519999999999998</v>
      </c>
      <c r="M240" s="7">
        <v>4.5090000000000003</v>
      </c>
      <c r="N240" s="7">
        <v>5.0990000000000002</v>
      </c>
      <c r="O240" s="7">
        <v>5.3449999999999998</v>
      </c>
    </row>
    <row r="241" spans="1:15" x14ac:dyDescent="0.25">
      <c r="A241" s="5" t="s">
        <v>253</v>
      </c>
      <c r="B241" s="5">
        <v>64</v>
      </c>
      <c r="C241" s="5" t="s">
        <v>3</v>
      </c>
      <c r="D241" s="6">
        <v>93</v>
      </c>
      <c r="E241" s="7">
        <v>18.004999999999999</v>
      </c>
      <c r="F241" s="7">
        <v>4.3810000000000002</v>
      </c>
      <c r="G241" s="7">
        <v>5.2210000000000001</v>
      </c>
      <c r="H241" s="7">
        <v>7.0179999999999998</v>
      </c>
      <c r="I241" s="7">
        <v>6.1539999999999999</v>
      </c>
      <c r="J241" s="7">
        <v>5.1340000000000003</v>
      </c>
      <c r="K241" s="7">
        <v>5.2770000000000001</v>
      </c>
      <c r="L241" s="7">
        <v>4.8499999999999996</v>
      </c>
      <c r="M241" s="7">
        <v>5.2480000000000002</v>
      </c>
      <c r="N241" s="7">
        <v>5.1349999999999998</v>
      </c>
      <c r="O241" s="7">
        <v>4.9080000000000004</v>
      </c>
    </row>
    <row r="242" spans="1:15" x14ac:dyDescent="0.25">
      <c r="A242" s="5" t="s">
        <v>254</v>
      </c>
      <c r="B242" s="5">
        <v>83</v>
      </c>
      <c r="C242" s="5" t="s">
        <v>3</v>
      </c>
      <c r="D242" s="6">
        <v>118</v>
      </c>
      <c r="E242" s="7">
        <v>23.300999999999998</v>
      </c>
      <c r="F242" s="7">
        <v>5.976</v>
      </c>
      <c r="G242" s="7">
        <v>4.7510000000000003</v>
      </c>
      <c r="H242" s="7">
        <v>4.907</v>
      </c>
      <c r="I242" s="7">
        <v>5.6609999999999996</v>
      </c>
      <c r="J242" s="7">
        <v>5.2770000000000001</v>
      </c>
      <c r="K242" s="7">
        <v>5.7519999999999998</v>
      </c>
      <c r="L242" s="7">
        <v>5.0949999999999998</v>
      </c>
      <c r="M242" s="7">
        <v>5.04</v>
      </c>
      <c r="N242" s="7">
        <v>4.758</v>
      </c>
      <c r="O242" s="7">
        <v>5.3019999999999996</v>
      </c>
    </row>
    <row r="243" spans="1:15" x14ac:dyDescent="0.25">
      <c r="A243" s="5" t="s">
        <v>255</v>
      </c>
      <c r="B243" s="5">
        <v>55</v>
      </c>
      <c r="C243" s="5" t="s">
        <v>3</v>
      </c>
      <c r="D243" s="6">
        <v>109</v>
      </c>
      <c r="E243" s="7">
        <v>21.367999999999999</v>
      </c>
      <c r="F243" s="7">
        <v>5.1310000000000002</v>
      </c>
      <c r="G243" s="7">
        <v>5.0170000000000003</v>
      </c>
      <c r="H243" s="7">
        <v>5.8330000000000002</v>
      </c>
      <c r="I243" s="7">
        <v>4.968</v>
      </c>
      <c r="J243" s="7">
        <v>4.0069999999999997</v>
      </c>
      <c r="K243" s="7">
        <v>4.359</v>
      </c>
      <c r="L243" s="7">
        <v>5.18</v>
      </c>
      <c r="M243" s="7">
        <v>4.9279999999999999</v>
      </c>
      <c r="N243" s="7">
        <v>4.9489999999999998</v>
      </c>
      <c r="O243" s="7">
        <v>5.0380000000000003</v>
      </c>
    </row>
    <row r="244" spans="1:15" x14ac:dyDescent="0.25">
      <c r="A244" s="5" t="s">
        <v>256</v>
      </c>
      <c r="B244" s="5">
        <v>68</v>
      </c>
      <c r="C244" s="5" t="s">
        <v>3</v>
      </c>
      <c r="D244" s="6">
        <v>109</v>
      </c>
      <c r="E244" s="7">
        <v>22.079000000000001</v>
      </c>
      <c r="F244" s="7">
        <v>4.6360000000000001</v>
      </c>
      <c r="G244" s="7">
        <v>3.5990000000000002</v>
      </c>
      <c r="H244" s="7">
        <v>4.0359999999999996</v>
      </c>
      <c r="I244" s="7">
        <v>5.2469999999999999</v>
      </c>
      <c r="J244" s="7">
        <v>5.907</v>
      </c>
      <c r="K244" s="7">
        <v>5.0220000000000002</v>
      </c>
      <c r="L244" s="7">
        <v>5.3659999999999997</v>
      </c>
      <c r="M244" s="7">
        <v>5.4420000000000002</v>
      </c>
      <c r="N244" s="7">
        <v>4.7439999999999998</v>
      </c>
      <c r="O244" s="7">
        <v>4.7510000000000003</v>
      </c>
    </row>
    <row r="245" spans="1:15" x14ac:dyDescent="0.25">
      <c r="A245" s="5" t="s">
        <v>257</v>
      </c>
      <c r="B245" s="5">
        <v>80</v>
      </c>
      <c r="C245" s="5" t="s">
        <v>2</v>
      </c>
      <c r="D245" s="6">
        <v>97</v>
      </c>
      <c r="E245" s="7">
        <v>19.376999999999999</v>
      </c>
      <c r="F245" s="7">
        <v>4.907</v>
      </c>
      <c r="G245" s="7">
        <v>7.3150000000000004</v>
      </c>
      <c r="H245" s="7">
        <v>5.4550000000000001</v>
      </c>
      <c r="I245" s="7">
        <v>5.827</v>
      </c>
      <c r="J245" s="7">
        <v>3.1840000000000002</v>
      </c>
      <c r="K245" s="7">
        <v>5.3040000000000003</v>
      </c>
      <c r="L245" s="7">
        <v>4.9800000000000004</v>
      </c>
      <c r="M245" s="7">
        <v>4.7839999999999998</v>
      </c>
      <c r="N245" s="7">
        <v>4.6859999999999999</v>
      </c>
      <c r="O245" s="7">
        <v>4.9539999999999997</v>
      </c>
    </row>
    <row r="246" spans="1:15" x14ac:dyDescent="0.25">
      <c r="A246" s="5" t="s">
        <v>258</v>
      </c>
      <c r="B246" s="5">
        <v>21</v>
      </c>
      <c r="C246" s="5" t="s">
        <v>2</v>
      </c>
      <c r="D246" s="6">
        <v>107</v>
      </c>
      <c r="E246" s="7">
        <v>21.395</v>
      </c>
      <c r="F246" s="7">
        <v>5.49</v>
      </c>
      <c r="G246" s="7">
        <v>4.6120000000000001</v>
      </c>
      <c r="H246" s="7">
        <v>4.883</v>
      </c>
      <c r="I246" s="7">
        <v>6.0979999999999999</v>
      </c>
      <c r="J246" s="7">
        <v>5.4720000000000004</v>
      </c>
      <c r="K246" s="7">
        <v>4.0129999999999999</v>
      </c>
      <c r="L246" s="7">
        <v>4.9550000000000001</v>
      </c>
      <c r="M246" s="7">
        <v>5.32</v>
      </c>
      <c r="N246" s="7">
        <v>4.7530000000000001</v>
      </c>
      <c r="O246" s="7">
        <v>4.71</v>
      </c>
    </row>
    <row r="247" spans="1:15" x14ac:dyDescent="0.25">
      <c r="A247" s="5" t="s">
        <v>259</v>
      </c>
      <c r="B247" s="5">
        <v>41</v>
      </c>
      <c r="C247" s="5" t="s">
        <v>2</v>
      </c>
      <c r="D247" s="6">
        <v>125</v>
      </c>
      <c r="E247" s="7">
        <v>24.606000000000002</v>
      </c>
      <c r="F247" s="7">
        <v>6.4009999999999998</v>
      </c>
      <c r="G247" s="7">
        <v>3.8109999999999999</v>
      </c>
      <c r="H247" s="7">
        <v>4.8460000000000001</v>
      </c>
      <c r="I247" s="7">
        <v>5.3940000000000001</v>
      </c>
      <c r="J247" s="7">
        <v>5.0679999999999996</v>
      </c>
      <c r="K247" s="7">
        <v>4.3310000000000004</v>
      </c>
      <c r="L247" s="7">
        <v>4.7619999999999996</v>
      </c>
      <c r="M247" s="7">
        <v>5.5460000000000003</v>
      </c>
      <c r="N247" s="7">
        <v>4.9749999999999996</v>
      </c>
      <c r="O247" s="7">
        <v>5.109</v>
      </c>
    </row>
    <row r="248" spans="1:15" x14ac:dyDescent="0.25">
      <c r="A248" s="5" t="s">
        <v>260</v>
      </c>
      <c r="B248" s="5">
        <v>25</v>
      </c>
      <c r="C248" s="5" t="s">
        <v>3</v>
      </c>
      <c r="D248" s="6">
        <v>104</v>
      </c>
      <c r="E248" s="7">
        <v>20.693000000000001</v>
      </c>
      <c r="F248" s="7">
        <v>4.726</v>
      </c>
      <c r="G248" s="7">
        <v>4.4459999999999997</v>
      </c>
      <c r="H248" s="7">
        <v>4.07</v>
      </c>
      <c r="I248" s="7">
        <v>5.7190000000000003</v>
      </c>
      <c r="J248" s="7">
        <v>5.7140000000000004</v>
      </c>
      <c r="K248" s="7">
        <v>6.2309999999999999</v>
      </c>
      <c r="L248" s="7">
        <v>4.7320000000000002</v>
      </c>
      <c r="M248" s="7">
        <v>5.3419999999999996</v>
      </c>
      <c r="N248" s="7">
        <v>5.5919999999999996</v>
      </c>
      <c r="O248" s="7">
        <v>4.8460000000000001</v>
      </c>
    </row>
    <row r="249" spans="1:15" x14ac:dyDescent="0.25">
      <c r="A249" s="5" t="s">
        <v>261</v>
      </c>
      <c r="B249" s="5">
        <v>46</v>
      </c>
      <c r="C249" s="5" t="s">
        <v>2</v>
      </c>
      <c r="D249" s="6">
        <v>119</v>
      </c>
      <c r="E249" s="7">
        <v>23.527999999999999</v>
      </c>
      <c r="F249" s="7">
        <v>5.6760000000000002</v>
      </c>
      <c r="G249" s="7">
        <v>3.2850000000000001</v>
      </c>
      <c r="H249" s="7">
        <v>4.3079999999999998</v>
      </c>
      <c r="I249" s="7">
        <v>4.88</v>
      </c>
      <c r="J249" s="7">
        <v>4.601</v>
      </c>
      <c r="K249" s="7">
        <v>4.6020000000000003</v>
      </c>
      <c r="L249" s="7">
        <v>4.3710000000000004</v>
      </c>
      <c r="M249" s="7">
        <v>4.68</v>
      </c>
      <c r="N249" s="7">
        <v>4.9770000000000003</v>
      </c>
      <c r="O249" s="7">
        <v>4.7640000000000002</v>
      </c>
    </row>
    <row r="250" spans="1:15" x14ac:dyDescent="0.25">
      <c r="A250" s="5" t="s">
        <v>262</v>
      </c>
      <c r="B250" s="5">
        <v>72</v>
      </c>
      <c r="C250" s="5" t="s">
        <v>3</v>
      </c>
      <c r="D250" s="6">
        <v>100</v>
      </c>
      <c r="E250" s="7">
        <v>20.137</v>
      </c>
      <c r="F250" s="7">
        <v>5.1909999999999998</v>
      </c>
      <c r="G250" s="7">
        <v>5.3550000000000004</v>
      </c>
      <c r="H250" s="7">
        <v>5.34</v>
      </c>
      <c r="I250" s="7">
        <v>5.649</v>
      </c>
      <c r="J250" s="7">
        <v>4.62</v>
      </c>
      <c r="K250" s="7">
        <v>4.3129999999999997</v>
      </c>
      <c r="L250" s="7">
        <v>5.298</v>
      </c>
      <c r="M250" s="7">
        <v>4.8979999999999997</v>
      </c>
      <c r="N250" s="7">
        <v>5.2160000000000002</v>
      </c>
      <c r="O250" s="7">
        <v>5.1120000000000001</v>
      </c>
    </row>
    <row r="251" spans="1:15" x14ac:dyDescent="0.25">
      <c r="A251" s="5" t="s">
        <v>263</v>
      </c>
      <c r="B251" s="5">
        <v>20</v>
      </c>
      <c r="C251" s="5" t="s">
        <v>3</v>
      </c>
      <c r="D251" s="6">
        <v>112</v>
      </c>
      <c r="E251" s="7">
        <v>22.047000000000001</v>
      </c>
      <c r="F251" s="7">
        <v>5.67</v>
      </c>
      <c r="G251" s="7">
        <v>5.0250000000000004</v>
      </c>
      <c r="H251" s="7">
        <v>5.2220000000000004</v>
      </c>
      <c r="I251" s="7">
        <v>5.2409999999999997</v>
      </c>
      <c r="J251" s="7">
        <v>5.0170000000000003</v>
      </c>
      <c r="K251" s="7">
        <v>5.1349999999999998</v>
      </c>
      <c r="L251" s="7">
        <v>5.1989999999999998</v>
      </c>
      <c r="M251" s="7">
        <v>5.2469999999999999</v>
      </c>
      <c r="N251" s="7">
        <v>5.0490000000000004</v>
      </c>
      <c r="O251" s="7">
        <v>5.2240000000000002</v>
      </c>
    </row>
    <row r="252" spans="1:15" x14ac:dyDescent="0.25">
      <c r="A252" s="5" t="s">
        <v>264</v>
      </c>
      <c r="B252" s="5">
        <v>49</v>
      </c>
      <c r="C252" s="5" t="s">
        <v>2</v>
      </c>
      <c r="D252" s="6">
        <v>105</v>
      </c>
      <c r="E252" s="7">
        <v>21.474</v>
      </c>
      <c r="F252" s="7">
        <v>5.2080000000000002</v>
      </c>
      <c r="G252" s="7">
        <v>5.0129999999999999</v>
      </c>
      <c r="H252" s="7">
        <v>5.9139999999999997</v>
      </c>
      <c r="I252" s="7">
        <v>5.0599999999999996</v>
      </c>
      <c r="J252" s="7">
        <v>5.4909999999999997</v>
      </c>
      <c r="K252" s="7">
        <v>4.9029999999999996</v>
      </c>
      <c r="L252" s="7">
        <v>5.2460000000000004</v>
      </c>
      <c r="M252" s="7">
        <v>5.4740000000000002</v>
      </c>
      <c r="N252" s="7">
        <v>5.4550000000000001</v>
      </c>
      <c r="O252" s="7">
        <v>4.9560000000000004</v>
      </c>
    </row>
    <row r="253" spans="1:15" x14ac:dyDescent="0.25">
      <c r="A253" s="5" t="s">
        <v>265</v>
      </c>
      <c r="B253" s="5">
        <v>27</v>
      </c>
      <c r="C253" s="5" t="s">
        <v>3</v>
      </c>
      <c r="D253" s="6">
        <v>108</v>
      </c>
      <c r="E253" s="7">
        <v>21.003</v>
      </c>
      <c r="F253" s="7">
        <v>5.3280000000000003</v>
      </c>
      <c r="G253" s="7">
        <v>6.3449999999999998</v>
      </c>
      <c r="H253" s="7">
        <v>3.012</v>
      </c>
      <c r="I253" s="7">
        <v>6.2050000000000001</v>
      </c>
      <c r="J253" s="7">
        <v>5.0869999999999997</v>
      </c>
      <c r="K253" s="7">
        <v>4.1070000000000002</v>
      </c>
      <c r="L253" s="7">
        <v>4.3220000000000001</v>
      </c>
      <c r="M253" s="7">
        <v>5.1210000000000004</v>
      </c>
      <c r="N253" s="7">
        <v>4.7699999999999996</v>
      </c>
      <c r="O253" s="7">
        <v>4.9870000000000001</v>
      </c>
    </row>
    <row r="254" spans="1:15" x14ac:dyDescent="0.25">
      <c r="A254" s="5" t="s">
        <v>266</v>
      </c>
      <c r="B254" s="5">
        <v>51</v>
      </c>
      <c r="C254" s="5" t="s">
        <v>3</v>
      </c>
      <c r="D254" s="6">
        <v>95</v>
      </c>
      <c r="E254" s="7">
        <v>18.713000000000001</v>
      </c>
      <c r="F254" s="7">
        <v>4.1769999999999996</v>
      </c>
      <c r="G254" s="7">
        <v>5.2309999999999999</v>
      </c>
      <c r="H254" s="7">
        <v>5.81</v>
      </c>
      <c r="I254" s="7">
        <v>5.21</v>
      </c>
      <c r="J254" s="7">
        <v>5.3369999999999997</v>
      </c>
      <c r="K254" s="7">
        <v>5.18</v>
      </c>
      <c r="L254" s="7">
        <v>4.93</v>
      </c>
      <c r="M254" s="7">
        <v>5.306</v>
      </c>
      <c r="N254" s="7">
        <v>5.0730000000000004</v>
      </c>
      <c r="O254" s="7">
        <v>4.601</v>
      </c>
    </row>
    <row r="255" spans="1:15" x14ac:dyDescent="0.25">
      <c r="A255" s="5" t="s">
        <v>267</v>
      </c>
      <c r="B255" s="5">
        <v>72</v>
      </c>
      <c r="C255" s="5" t="s">
        <v>2</v>
      </c>
      <c r="D255" s="6">
        <v>105</v>
      </c>
      <c r="E255" s="7">
        <v>21.597000000000001</v>
      </c>
      <c r="F255" s="7">
        <v>5.3319999999999999</v>
      </c>
      <c r="G255" s="7">
        <v>5.5949999999999998</v>
      </c>
      <c r="H255" s="7">
        <v>5.0030000000000001</v>
      </c>
      <c r="I255" s="7">
        <v>5.7539999999999996</v>
      </c>
      <c r="J255" s="7">
        <v>4.875</v>
      </c>
      <c r="K255" s="7">
        <v>4.7469999999999999</v>
      </c>
      <c r="L255" s="7">
        <v>4.649</v>
      </c>
      <c r="M255" s="7">
        <v>5.1950000000000003</v>
      </c>
      <c r="N255" s="7">
        <v>4.8730000000000002</v>
      </c>
      <c r="O255" s="7">
        <v>4.8369999999999997</v>
      </c>
    </row>
    <row r="256" spans="1:15" x14ac:dyDescent="0.25">
      <c r="A256" s="5" t="s">
        <v>268</v>
      </c>
      <c r="B256" s="5">
        <v>49</v>
      </c>
      <c r="C256" s="5" t="s">
        <v>2</v>
      </c>
      <c r="D256" s="6">
        <v>110</v>
      </c>
      <c r="E256" s="7">
        <v>21.844999999999999</v>
      </c>
      <c r="F256" s="7">
        <v>5.3440000000000003</v>
      </c>
      <c r="G256" s="7">
        <v>4.8499999999999996</v>
      </c>
      <c r="H256" s="7">
        <v>4.24</v>
      </c>
      <c r="I256" s="7">
        <v>3.452</v>
      </c>
      <c r="J256" s="7">
        <v>6.0140000000000002</v>
      </c>
      <c r="K256" s="7">
        <v>4.6619999999999999</v>
      </c>
      <c r="L256" s="7">
        <v>5.0419999999999998</v>
      </c>
      <c r="M256" s="7">
        <v>4.7779999999999996</v>
      </c>
      <c r="N256" s="7">
        <v>5.4420000000000002</v>
      </c>
      <c r="O256" s="7">
        <v>5.0970000000000004</v>
      </c>
    </row>
    <row r="257" spans="1:15" x14ac:dyDescent="0.25">
      <c r="A257" s="5" t="s">
        <v>269</v>
      </c>
      <c r="B257" s="5">
        <v>67</v>
      </c>
      <c r="C257" s="5" t="s">
        <v>2</v>
      </c>
      <c r="D257" s="6">
        <v>98</v>
      </c>
      <c r="E257" s="7">
        <v>19.132000000000001</v>
      </c>
      <c r="F257" s="7">
        <v>5.38</v>
      </c>
      <c r="G257" s="7">
        <v>5.4889999999999999</v>
      </c>
      <c r="H257" s="7">
        <v>4.6390000000000002</v>
      </c>
      <c r="I257" s="7">
        <v>5.1130000000000004</v>
      </c>
      <c r="J257" s="7">
        <v>5.5060000000000002</v>
      </c>
      <c r="K257" s="7">
        <v>5.6669999999999998</v>
      </c>
      <c r="L257" s="7">
        <v>6.25</v>
      </c>
      <c r="M257" s="7">
        <v>5.0439999999999996</v>
      </c>
      <c r="N257" s="7">
        <v>4.8689999999999998</v>
      </c>
      <c r="O257" s="7">
        <v>5.0220000000000002</v>
      </c>
    </row>
    <row r="258" spans="1:15" x14ac:dyDescent="0.25">
      <c r="A258" s="5" t="s">
        <v>270</v>
      </c>
      <c r="B258" s="5">
        <v>24</v>
      </c>
      <c r="C258" s="5" t="s">
        <v>3</v>
      </c>
      <c r="D258" s="6">
        <v>118</v>
      </c>
      <c r="E258" s="7">
        <v>23.678000000000001</v>
      </c>
      <c r="F258" s="7">
        <v>6.0890000000000004</v>
      </c>
      <c r="G258" s="7">
        <v>4.49</v>
      </c>
      <c r="H258" s="7">
        <v>4.3330000000000002</v>
      </c>
      <c r="I258" s="7">
        <v>5.4039999999999999</v>
      </c>
      <c r="J258" s="7">
        <v>4.6550000000000002</v>
      </c>
      <c r="K258" s="7">
        <v>3.8279999999999998</v>
      </c>
      <c r="L258" s="7">
        <v>5</v>
      </c>
      <c r="M258" s="7">
        <v>5.0220000000000002</v>
      </c>
      <c r="N258" s="7">
        <v>5.8120000000000003</v>
      </c>
      <c r="O258" s="7">
        <v>5.2569999999999997</v>
      </c>
    </row>
    <row r="259" spans="1:15" x14ac:dyDescent="0.25">
      <c r="A259" s="5" t="s">
        <v>271</v>
      </c>
      <c r="B259" s="5">
        <v>25</v>
      </c>
      <c r="C259" s="5" t="s">
        <v>2</v>
      </c>
      <c r="D259" s="6">
        <v>118</v>
      </c>
      <c r="E259" s="7">
        <v>23.431000000000001</v>
      </c>
      <c r="F259" s="7">
        <v>5.9950000000000001</v>
      </c>
      <c r="G259" s="7">
        <v>4.6070000000000002</v>
      </c>
      <c r="H259" s="7">
        <v>6.1109999999999998</v>
      </c>
      <c r="I259" s="7">
        <v>6.1829999999999998</v>
      </c>
      <c r="J259" s="7">
        <v>5.2640000000000002</v>
      </c>
      <c r="K259" s="7">
        <v>5.4489999999999998</v>
      </c>
      <c r="L259" s="7">
        <v>4.9560000000000004</v>
      </c>
      <c r="M259" s="7">
        <v>5.1929999999999996</v>
      </c>
      <c r="N259" s="7">
        <v>5.4809999999999999</v>
      </c>
      <c r="O259" s="7">
        <v>5.0010000000000003</v>
      </c>
    </row>
    <row r="260" spans="1:15" x14ac:dyDescent="0.25">
      <c r="A260" s="5" t="s">
        <v>272</v>
      </c>
      <c r="B260" s="5">
        <v>82</v>
      </c>
      <c r="C260" s="5" t="s">
        <v>2</v>
      </c>
      <c r="D260" s="6">
        <v>119</v>
      </c>
      <c r="E260" s="7">
        <v>23.501999999999999</v>
      </c>
      <c r="F260" s="7">
        <v>5.2089999999999996</v>
      </c>
      <c r="G260" s="7">
        <v>3.2949999999999999</v>
      </c>
      <c r="H260" s="7">
        <v>5.5460000000000003</v>
      </c>
      <c r="I260" s="7">
        <v>4.774</v>
      </c>
      <c r="J260" s="7">
        <v>5.173</v>
      </c>
      <c r="K260" s="7">
        <v>5.4820000000000002</v>
      </c>
      <c r="L260" s="7">
        <v>5.585</v>
      </c>
      <c r="M260" s="7">
        <v>5.4480000000000004</v>
      </c>
      <c r="N260" s="7">
        <v>5.0810000000000004</v>
      </c>
      <c r="O260" s="7">
        <v>5.2480000000000002</v>
      </c>
    </row>
    <row r="261" spans="1:15" x14ac:dyDescent="0.25">
      <c r="A261" s="5" t="s">
        <v>273</v>
      </c>
      <c r="B261" s="5">
        <v>74</v>
      </c>
      <c r="C261" s="5" t="s">
        <v>3</v>
      </c>
      <c r="D261" s="6">
        <v>103</v>
      </c>
      <c r="E261" s="7">
        <v>20.21</v>
      </c>
      <c r="F261" s="7">
        <v>4.601</v>
      </c>
      <c r="G261" s="7">
        <v>4.569</v>
      </c>
      <c r="H261" s="7">
        <v>5.9669999999999996</v>
      </c>
      <c r="I261" s="7">
        <v>6.2770000000000001</v>
      </c>
      <c r="J261" s="7">
        <v>5.5430000000000001</v>
      </c>
      <c r="K261" s="7">
        <v>5.9009999999999998</v>
      </c>
      <c r="L261" s="7">
        <v>5.5110000000000001</v>
      </c>
      <c r="M261" s="7">
        <v>5.157</v>
      </c>
      <c r="N261" s="7">
        <v>4.6319999999999997</v>
      </c>
      <c r="O261" s="7">
        <v>5.0060000000000002</v>
      </c>
    </row>
    <row r="262" spans="1:15" x14ac:dyDescent="0.25">
      <c r="A262" s="5" t="s">
        <v>274</v>
      </c>
      <c r="B262" s="5">
        <v>84</v>
      </c>
      <c r="C262" s="5" t="s">
        <v>2</v>
      </c>
      <c r="D262" s="6">
        <v>118</v>
      </c>
      <c r="E262" s="7">
        <v>24.585999999999999</v>
      </c>
      <c r="F262" s="7">
        <v>5.5060000000000002</v>
      </c>
      <c r="G262" s="7">
        <v>3.911</v>
      </c>
      <c r="H262" s="7">
        <v>4.665</v>
      </c>
      <c r="I262" s="7">
        <v>4.5419999999999998</v>
      </c>
      <c r="J262" s="7">
        <v>4.3650000000000002</v>
      </c>
      <c r="K262" s="7">
        <v>4.0759999999999996</v>
      </c>
      <c r="L262" s="7">
        <v>4.7320000000000002</v>
      </c>
      <c r="M262" s="7">
        <v>5.798</v>
      </c>
      <c r="N262" s="7">
        <v>4.84</v>
      </c>
      <c r="O262" s="7">
        <v>5.048</v>
      </c>
    </row>
    <row r="263" spans="1:15" x14ac:dyDescent="0.25">
      <c r="A263" s="5" t="s">
        <v>275</v>
      </c>
      <c r="B263" s="5">
        <v>76</v>
      </c>
      <c r="C263" s="5" t="s">
        <v>2</v>
      </c>
      <c r="D263" s="6">
        <v>107</v>
      </c>
      <c r="E263" s="7">
        <v>21.31</v>
      </c>
      <c r="F263" s="7">
        <v>4.8719999999999999</v>
      </c>
      <c r="G263" s="7">
        <v>4.7309999999999999</v>
      </c>
      <c r="H263" s="7">
        <v>5.6429999999999998</v>
      </c>
      <c r="I263" s="7">
        <v>4.3029999999999999</v>
      </c>
      <c r="J263" s="7">
        <v>4.3710000000000004</v>
      </c>
      <c r="K263" s="7">
        <v>4.6180000000000003</v>
      </c>
      <c r="L263" s="7">
        <v>5.7380000000000004</v>
      </c>
      <c r="M263" s="7">
        <v>5.3550000000000004</v>
      </c>
      <c r="N263" s="7">
        <v>4.7969999999999997</v>
      </c>
      <c r="O263" s="7">
        <v>4.7539999999999996</v>
      </c>
    </row>
    <row r="264" spans="1:15" x14ac:dyDescent="0.25">
      <c r="A264" s="5" t="s">
        <v>276</v>
      </c>
      <c r="B264" s="5">
        <v>71</v>
      </c>
      <c r="C264" s="5" t="s">
        <v>2</v>
      </c>
      <c r="D264" s="6">
        <v>95</v>
      </c>
      <c r="E264" s="7">
        <v>18.314</v>
      </c>
      <c r="F264" s="7">
        <v>4.7450000000000001</v>
      </c>
      <c r="G264" s="7">
        <v>5.649</v>
      </c>
      <c r="H264" s="7">
        <v>5.1340000000000003</v>
      </c>
      <c r="I264" s="7">
        <v>5.6120000000000001</v>
      </c>
      <c r="J264" s="7">
        <v>4.5910000000000002</v>
      </c>
      <c r="K264" s="7">
        <v>4.3150000000000004</v>
      </c>
      <c r="L264" s="7">
        <v>5.7050000000000001</v>
      </c>
      <c r="M264" s="7">
        <v>4.9059999999999997</v>
      </c>
      <c r="N264" s="7">
        <v>5.157</v>
      </c>
      <c r="O264" s="7">
        <v>5.032</v>
      </c>
    </row>
    <row r="265" spans="1:15" x14ac:dyDescent="0.25">
      <c r="A265" s="5" t="s">
        <v>277</v>
      </c>
      <c r="B265" s="5">
        <v>84</v>
      </c>
      <c r="C265" s="5" t="s">
        <v>3</v>
      </c>
      <c r="D265" s="6">
        <v>104</v>
      </c>
      <c r="E265" s="7">
        <v>21.332000000000001</v>
      </c>
      <c r="F265" s="7">
        <v>4.9219999999999997</v>
      </c>
      <c r="G265" s="7">
        <v>4.7110000000000003</v>
      </c>
      <c r="H265" s="7">
        <v>5.9359999999999999</v>
      </c>
      <c r="I265" s="7">
        <v>5.8040000000000003</v>
      </c>
      <c r="J265" s="7">
        <v>4.5590000000000002</v>
      </c>
      <c r="K265" s="7">
        <v>5.8810000000000002</v>
      </c>
      <c r="L265" s="7">
        <v>4.5069999999999997</v>
      </c>
      <c r="M265" s="7">
        <v>5.1280000000000001</v>
      </c>
      <c r="N265" s="7">
        <v>4.6340000000000003</v>
      </c>
      <c r="O265" s="7">
        <v>4.8209999999999997</v>
      </c>
    </row>
    <row r="266" spans="1:15" x14ac:dyDescent="0.25">
      <c r="A266" s="5" t="s">
        <v>278</v>
      </c>
      <c r="B266" s="5">
        <v>68</v>
      </c>
      <c r="C266" s="5" t="s">
        <v>3</v>
      </c>
      <c r="D266" s="6">
        <v>93</v>
      </c>
      <c r="E266" s="7">
        <v>18.818000000000001</v>
      </c>
      <c r="F266" s="7">
        <v>4.6849999999999996</v>
      </c>
      <c r="G266" s="7">
        <v>6.226</v>
      </c>
      <c r="H266" s="7">
        <v>4.9649999999999999</v>
      </c>
      <c r="I266" s="7">
        <v>6.327</v>
      </c>
      <c r="J266" s="7">
        <v>5.5039999999999996</v>
      </c>
      <c r="K266" s="7">
        <v>5.9180000000000001</v>
      </c>
      <c r="L266" s="7">
        <v>5.0389999999999997</v>
      </c>
      <c r="M266" s="7">
        <v>5.8070000000000004</v>
      </c>
      <c r="N266" s="7">
        <v>5.29</v>
      </c>
      <c r="O266" s="7">
        <v>5.0369999999999999</v>
      </c>
    </row>
    <row r="267" spans="1:15" x14ac:dyDescent="0.25">
      <c r="A267" s="5" t="s">
        <v>279</v>
      </c>
      <c r="B267" s="5">
        <v>25</v>
      </c>
      <c r="C267" s="5" t="s">
        <v>3</v>
      </c>
      <c r="D267" s="6">
        <v>101</v>
      </c>
      <c r="E267" s="7">
        <v>19.927</v>
      </c>
      <c r="F267" s="7">
        <v>4.6920000000000002</v>
      </c>
      <c r="G267" s="7">
        <v>5.3929999999999998</v>
      </c>
      <c r="H267" s="7">
        <v>5.3639999999999999</v>
      </c>
      <c r="I267" s="7">
        <v>4.0730000000000004</v>
      </c>
      <c r="J267" s="7">
        <v>4.0890000000000004</v>
      </c>
      <c r="K267" s="7">
        <v>5.1260000000000003</v>
      </c>
      <c r="L267" s="7">
        <v>5.2709999999999999</v>
      </c>
      <c r="M267" s="7">
        <v>5.1070000000000002</v>
      </c>
      <c r="N267" s="7">
        <v>4.4939999999999998</v>
      </c>
      <c r="O267" s="7">
        <v>4.7629999999999999</v>
      </c>
    </row>
    <row r="268" spans="1:15" x14ac:dyDescent="0.25">
      <c r="A268" s="5" t="s">
        <v>280</v>
      </c>
      <c r="B268" s="5">
        <v>51</v>
      </c>
      <c r="C268" s="5" t="s">
        <v>3</v>
      </c>
      <c r="D268" s="6">
        <v>111</v>
      </c>
      <c r="E268" s="7">
        <v>21.867999999999999</v>
      </c>
      <c r="F268" s="7">
        <v>5.4009999999999998</v>
      </c>
      <c r="G268" s="7">
        <v>4.7359999999999998</v>
      </c>
      <c r="H268" s="7">
        <v>5.532</v>
      </c>
      <c r="I268" s="7">
        <v>4.766</v>
      </c>
      <c r="J268" s="7">
        <v>5.2450000000000001</v>
      </c>
      <c r="K268" s="7">
        <v>4.5309999999999997</v>
      </c>
      <c r="L268" s="7">
        <v>4.8440000000000003</v>
      </c>
      <c r="M268" s="7">
        <v>5.157</v>
      </c>
      <c r="N268" s="7">
        <v>4.7930000000000001</v>
      </c>
      <c r="O268" s="7">
        <v>4.8890000000000002</v>
      </c>
    </row>
    <row r="269" spans="1:15" x14ac:dyDescent="0.25">
      <c r="A269" s="5" t="s">
        <v>281</v>
      </c>
      <c r="B269" s="5">
        <v>52</v>
      </c>
      <c r="C269" s="5" t="s">
        <v>2</v>
      </c>
      <c r="D269" s="6">
        <v>102</v>
      </c>
      <c r="E269" s="7">
        <v>20.64</v>
      </c>
      <c r="F269" s="7">
        <v>4.8710000000000004</v>
      </c>
      <c r="G269" s="7">
        <v>5.7329999999999997</v>
      </c>
      <c r="H269" s="7">
        <v>4.5750000000000002</v>
      </c>
      <c r="I269" s="7">
        <v>4.0030000000000001</v>
      </c>
      <c r="J269" s="7">
        <v>5.0739999999999998</v>
      </c>
      <c r="K269" s="7">
        <v>4.2439999999999998</v>
      </c>
      <c r="L269" s="7">
        <v>4.9589999999999996</v>
      </c>
      <c r="M269" s="7">
        <v>5.09</v>
      </c>
      <c r="N269" s="7">
        <v>4.9340000000000002</v>
      </c>
      <c r="O269" s="7">
        <v>5.1719999999999997</v>
      </c>
    </row>
    <row r="270" spans="1:15" x14ac:dyDescent="0.25">
      <c r="A270" s="5" t="s">
        <v>282</v>
      </c>
      <c r="B270" s="5">
        <v>49</v>
      </c>
      <c r="C270" s="5" t="s">
        <v>3</v>
      </c>
      <c r="D270" s="6">
        <v>112</v>
      </c>
      <c r="E270" s="7">
        <v>22.312000000000001</v>
      </c>
      <c r="F270" s="7">
        <v>6.3280000000000003</v>
      </c>
      <c r="G270" s="7">
        <v>5.3179999999999996</v>
      </c>
      <c r="H270" s="7">
        <v>5.0529999999999999</v>
      </c>
      <c r="I270" s="7">
        <v>4.6440000000000001</v>
      </c>
      <c r="J270" s="7">
        <v>4.8330000000000002</v>
      </c>
      <c r="K270" s="7">
        <v>5.0720000000000001</v>
      </c>
      <c r="L270" s="7">
        <v>5.3630000000000004</v>
      </c>
      <c r="M270" s="7">
        <v>4.8520000000000003</v>
      </c>
      <c r="N270" s="7">
        <v>5.048</v>
      </c>
      <c r="O270" s="7">
        <v>4.7270000000000003</v>
      </c>
    </row>
    <row r="271" spans="1:15" x14ac:dyDescent="0.25">
      <c r="A271" s="5" t="s">
        <v>283</v>
      </c>
      <c r="B271" s="5">
        <v>63</v>
      </c>
      <c r="C271" s="5" t="s">
        <v>3</v>
      </c>
      <c r="D271" s="6">
        <v>114</v>
      </c>
      <c r="E271" s="7">
        <v>22.114000000000001</v>
      </c>
      <c r="F271" s="7">
        <v>5.6710000000000003</v>
      </c>
      <c r="G271" s="7">
        <v>4.3849999999999998</v>
      </c>
      <c r="H271" s="7">
        <v>4.7469999999999999</v>
      </c>
      <c r="I271" s="7">
        <v>5.7560000000000002</v>
      </c>
      <c r="J271" s="7">
        <v>3.8370000000000002</v>
      </c>
      <c r="K271" s="7">
        <v>4.7140000000000004</v>
      </c>
      <c r="L271" s="7">
        <v>4.3959999999999999</v>
      </c>
      <c r="M271" s="7">
        <v>4.7409999999999997</v>
      </c>
      <c r="N271" s="7">
        <v>5.0330000000000004</v>
      </c>
      <c r="O271" s="7">
        <v>4.9260000000000002</v>
      </c>
    </row>
    <row r="272" spans="1:15" x14ac:dyDescent="0.25">
      <c r="A272" s="5" t="s">
        <v>284</v>
      </c>
      <c r="B272" s="5">
        <v>33</v>
      </c>
      <c r="C272" s="5" t="s">
        <v>2</v>
      </c>
      <c r="D272" s="6">
        <v>92</v>
      </c>
      <c r="E272" s="7">
        <v>19.036999999999999</v>
      </c>
      <c r="F272" s="7">
        <v>4.3079999999999998</v>
      </c>
      <c r="G272" s="7">
        <v>6.0570000000000004</v>
      </c>
      <c r="H272" s="7">
        <v>5.2859999999999996</v>
      </c>
      <c r="I272" s="7">
        <v>5.6719999999999997</v>
      </c>
      <c r="J272" s="7">
        <v>5.3010000000000002</v>
      </c>
      <c r="K272" s="7">
        <v>4.6710000000000003</v>
      </c>
      <c r="L272" s="7">
        <v>4.79</v>
      </c>
      <c r="M272" s="7">
        <v>4.9180000000000001</v>
      </c>
      <c r="N272" s="7">
        <v>5.2649999999999997</v>
      </c>
      <c r="O272" s="7">
        <v>5.1390000000000002</v>
      </c>
    </row>
    <row r="273" spans="1:15" x14ac:dyDescent="0.25">
      <c r="A273" s="5" t="s">
        <v>285</v>
      </c>
      <c r="B273" s="5">
        <v>83</v>
      </c>
      <c r="C273" s="5" t="s">
        <v>2</v>
      </c>
      <c r="D273" s="6">
        <v>105</v>
      </c>
      <c r="E273" s="7">
        <v>20.844999999999999</v>
      </c>
      <c r="F273" s="7">
        <v>4.9509999999999996</v>
      </c>
      <c r="G273" s="7">
        <v>4.9649999999999999</v>
      </c>
      <c r="H273" s="7">
        <v>5.827</v>
      </c>
      <c r="I273" s="7">
        <v>4.9009999999999998</v>
      </c>
      <c r="J273" s="7">
        <v>4.6669999999999998</v>
      </c>
      <c r="K273" s="7">
        <v>4.444</v>
      </c>
      <c r="L273" s="7">
        <v>5.1369999999999996</v>
      </c>
      <c r="M273" s="7">
        <v>4.407</v>
      </c>
      <c r="N273" s="7">
        <v>5.1929999999999996</v>
      </c>
      <c r="O273" s="7">
        <v>4.6790000000000003</v>
      </c>
    </row>
    <row r="274" spans="1:15" x14ac:dyDescent="0.25">
      <c r="A274" s="5" t="s">
        <v>286</v>
      </c>
      <c r="B274" s="5">
        <v>54</v>
      </c>
      <c r="C274" s="5" t="s">
        <v>2</v>
      </c>
      <c r="D274" s="6">
        <v>104</v>
      </c>
      <c r="E274" s="7">
        <v>21.332999999999998</v>
      </c>
      <c r="F274" s="7">
        <v>4.673</v>
      </c>
      <c r="G274" s="7">
        <v>4.5469999999999997</v>
      </c>
      <c r="H274" s="7">
        <v>4.8289999999999997</v>
      </c>
      <c r="I274" s="7">
        <v>4.7720000000000002</v>
      </c>
      <c r="J274" s="7">
        <v>4.6989999999999998</v>
      </c>
      <c r="K274" s="7">
        <v>4.2709999999999999</v>
      </c>
      <c r="L274" s="7">
        <v>4.5720000000000001</v>
      </c>
      <c r="M274" s="7">
        <v>5.3140000000000001</v>
      </c>
      <c r="N274" s="7">
        <v>4.5309999999999997</v>
      </c>
      <c r="O274" s="7">
        <v>4.9080000000000004</v>
      </c>
    </row>
    <row r="275" spans="1:15" x14ac:dyDescent="0.25">
      <c r="A275" s="5" t="s">
        <v>287</v>
      </c>
      <c r="B275" s="5">
        <v>71</v>
      </c>
      <c r="C275" s="5" t="s">
        <v>3</v>
      </c>
      <c r="D275" s="6">
        <v>111</v>
      </c>
      <c r="E275" s="7">
        <v>22.655000000000001</v>
      </c>
      <c r="F275" s="7">
        <v>5.3029999999999999</v>
      </c>
      <c r="G275" s="7">
        <v>4.8490000000000002</v>
      </c>
      <c r="H275" s="7">
        <v>4.5090000000000003</v>
      </c>
      <c r="I275" s="7">
        <v>5.2990000000000004</v>
      </c>
      <c r="J275" s="7">
        <v>4.7080000000000002</v>
      </c>
      <c r="K275" s="7">
        <v>4.9409999999999998</v>
      </c>
      <c r="L275" s="7">
        <v>5.7510000000000003</v>
      </c>
      <c r="M275" s="7">
        <v>5.2110000000000003</v>
      </c>
      <c r="N275" s="7">
        <v>4.4279999999999999</v>
      </c>
      <c r="O275" s="7">
        <v>4.7290000000000001</v>
      </c>
    </row>
    <row r="276" spans="1:15" x14ac:dyDescent="0.25">
      <c r="A276" s="5" t="s">
        <v>288</v>
      </c>
      <c r="B276" s="5">
        <v>31</v>
      </c>
      <c r="C276" s="5" t="s">
        <v>3</v>
      </c>
      <c r="D276" s="6">
        <v>122</v>
      </c>
      <c r="E276" s="7">
        <v>24.042999999999999</v>
      </c>
      <c r="F276" s="7">
        <v>7.0570000000000004</v>
      </c>
      <c r="G276" s="7">
        <v>5.2329999999999997</v>
      </c>
      <c r="H276" s="7">
        <v>6.3490000000000002</v>
      </c>
      <c r="I276" s="7">
        <v>5.0540000000000003</v>
      </c>
      <c r="J276" s="7">
        <v>5.3310000000000004</v>
      </c>
      <c r="K276" s="7">
        <v>5.01</v>
      </c>
      <c r="L276" s="7">
        <v>5.2320000000000002</v>
      </c>
      <c r="M276" s="7">
        <v>4.8789999999999996</v>
      </c>
      <c r="N276" s="7">
        <v>5.2750000000000004</v>
      </c>
      <c r="O276" s="7">
        <v>5.4859999999999998</v>
      </c>
    </row>
    <row r="277" spans="1:15" x14ac:dyDescent="0.25">
      <c r="A277" s="5" t="s">
        <v>289</v>
      </c>
      <c r="B277" s="5">
        <v>72</v>
      </c>
      <c r="C277" s="5" t="s">
        <v>3</v>
      </c>
      <c r="D277" s="6">
        <v>125</v>
      </c>
      <c r="E277" s="7">
        <v>25.367999999999999</v>
      </c>
      <c r="F277" s="7">
        <v>6.7069999999999999</v>
      </c>
      <c r="G277" s="7">
        <v>4.532</v>
      </c>
      <c r="H277" s="7">
        <v>5.1870000000000003</v>
      </c>
      <c r="I277" s="7">
        <v>5.1130000000000004</v>
      </c>
      <c r="J277" s="7">
        <v>4.077</v>
      </c>
      <c r="K277" s="7">
        <v>5.0190000000000001</v>
      </c>
      <c r="L277" s="7">
        <v>5.532</v>
      </c>
      <c r="M277" s="7">
        <v>4.82</v>
      </c>
      <c r="N277" s="7">
        <v>5.0220000000000002</v>
      </c>
      <c r="O277" s="7">
        <v>4.7759999999999998</v>
      </c>
    </row>
    <row r="278" spans="1:15" x14ac:dyDescent="0.25">
      <c r="A278" s="5" t="s">
        <v>290</v>
      </c>
      <c r="B278" s="5">
        <v>65</v>
      </c>
      <c r="C278" s="5" t="s">
        <v>2</v>
      </c>
      <c r="D278" s="6">
        <v>107</v>
      </c>
      <c r="E278" s="7">
        <v>21.167999999999999</v>
      </c>
      <c r="F278" s="7">
        <v>5.5110000000000001</v>
      </c>
      <c r="G278" s="7">
        <v>5.9560000000000004</v>
      </c>
      <c r="H278" s="7">
        <v>4.6900000000000004</v>
      </c>
      <c r="I278" s="7">
        <v>5.14</v>
      </c>
      <c r="J278" s="7">
        <v>5.1349999999999998</v>
      </c>
      <c r="K278" s="7">
        <v>5.4930000000000003</v>
      </c>
      <c r="L278" s="7">
        <v>5.0220000000000002</v>
      </c>
      <c r="M278" s="7">
        <v>5.4790000000000001</v>
      </c>
      <c r="N278" s="7">
        <v>5.0990000000000002</v>
      </c>
      <c r="O278" s="7">
        <v>4.7480000000000002</v>
      </c>
    </row>
    <row r="279" spans="1:15" x14ac:dyDescent="0.25">
      <c r="A279" s="5" t="s">
        <v>291</v>
      </c>
      <c r="B279" s="5">
        <v>24</v>
      </c>
      <c r="C279" s="5" t="s">
        <v>2</v>
      </c>
      <c r="D279" s="6">
        <v>104</v>
      </c>
      <c r="E279" s="7">
        <v>20.135000000000002</v>
      </c>
      <c r="F279" s="7">
        <v>4.8120000000000003</v>
      </c>
      <c r="G279" s="7">
        <v>4.7290000000000001</v>
      </c>
      <c r="H279" s="7">
        <v>5.3520000000000003</v>
      </c>
      <c r="I279" s="7">
        <v>4.8499999999999996</v>
      </c>
      <c r="J279" s="7">
        <v>3.2160000000000002</v>
      </c>
      <c r="K279" s="7">
        <v>5.3890000000000002</v>
      </c>
      <c r="L279" s="7">
        <v>4.3879999999999999</v>
      </c>
      <c r="M279" s="7">
        <v>5.1639999999999997</v>
      </c>
      <c r="N279" s="7">
        <v>4.907</v>
      </c>
      <c r="O279" s="7">
        <v>4.9800000000000004</v>
      </c>
    </row>
    <row r="280" spans="1:15" x14ac:dyDescent="0.25">
      <c r="A280" s="5" t="s">
        <v>292</v>
      </c>
      <c r="B280" s="5">
        <v>24</v>
      </c>
      <c r="C280" s="5" t="s">
        <v>3</v>
      </c>
      <c r="D280" s="6">
        <v>98</v>
      </c>
      <c r="E280" s="7">
        <v>19.449000000000002</v>
      </c>
      <c r="F280" s="7">
        <v>4.4109999999999996</v>
      </c>
      <c r="G280" s="7">
        <v>5.1890000000000001</v>
      </c>
      <c r="H280" s="7">
        <v>4.891</v>
      </c>
      <c r="I280" s="7">
        <v>5.5209999999999999</v>
      </c>
      <c r="J280" s="7">
        <v>6.5750000000000002</v>
      </c>
      <c r="K280" s="7">
        <v>5.3250000000000002</v>
      </c>
      <c r="L280" s="7">
        <v>5.931</v>
      </c>
      <c r="M280" s="7">
        <v>5.3879999999999999</v>
      </c>
      <c r="N280" s="7">
        <v>5.0339999999999998</v>
      </c>
      <c r="O280" s="7">
        <v>5.0720000000000001</v>
      </c>
    </row>
    <row r="281" spans="1:15" x14ac:dyDescent="0.25">
      <c r="A281" s="5" t="s">
        <v>293</v>
      </c>
      <c r="B281" s="5">
        <v>50</v>
      </c>
      <c r="C281" s="5" t="s">
        <v>2</v>
      </c>
      <c r="D281" s="6">
        <v>121</v>
      </c>
      <c r="E281" s="7">
        <v>24.341999999999999</v>
      </c>
      <c r="F281" s="7">
        <v>6.1429999999999998</v>
      </c>
      <c r="G281" s="7">
        <v>4.9850000000000003</v>
      </c>
      <c r="H281" s="7">
        <v>4.2709999999999999</v>
      </c>
      <c r="I281" s="7">
        <v>4.415</v>
      </c>
      <c r="J281" s="7">
        <v>5.117</v>
      </c>
      <c r="K281" s="7">
        <v>5.1539999999999999</v>
      </c>
      <c r="L281" s="7">
        <v>5.26</v>
      </c>
      <c r="M281" s="7">
        <v>4.7140000000000004</v>
      </c>
      <c r="N281" s="7">
        <v>4.8380000000000001</v>
      </c>
      <c r="O281" s="7">
        <v>4.907</v>
      </c>
    </row>
    <row r="282" spans="1:15" x14ac:dyDescent="0.25">
      <c r="A282" s="5" t="s">
        <v>294</v>
      </c>
      <c r="B282" s="5">
        <v>40</v>
      </c>
      <c r="C282" s="5" t="s">
        <v>2</v>
      </c>
      <c r="D282" s="6">
        <v>103</v>
      </c>
      <c r="E282" s="7">
        <v>20.434999999999999</v>
      </c>
      <c r="F282" s="7">
        <v>5.13</v>
      </c>
      <c r="G282" s="7">
        <v>5.8070000000000004</v>
      </c>
      <c r="H282" s="7">
        <v>4.851</v>
      </c>
      <c r="I282" s="7">
        <v>5.3049999999999997</v>
      </c>
      <c r="J282" s="7">
        <v>4.5389999999999997</v>
      </c>
      <c r="K282" s="7">
        <v>4.9569999999999999</v>
      </c>
      <c r="L282" s="7">
        <v>5.0750000000000002</v>
      </c>
      <c r="M282" s="7">
        <v>4.6840000000000002</v>
      </c>
      <c r="N282" s="7">
        <v>4.9820000000000002</v>
      </c>
      <c r="O282" s="7">
        <v>4.8360000000000003</v>
      </c>
    </row>
    <row r="283" spans="1:15" x14ac:dyDescent="0.25">
      <c r="A283" s="5" t="s">
        <v>295</v>
      </c>
      <c r="B283" s="5">
        <v>36</v>
      </c>
      <c r="C283" s="5" t="s">
        <v>2</v>
      </c>
      <c r="D283" s="6">
        <v>102</v>
      </c>
      <c r="E283" s="7">
        <v>20.291</v>
      </c>
      <c r="F283" s="7">
        <v>5.5860000000000003</v>
      </c>
      <c r="G283" s="7">
        <v>6.5490000000000004</v>
      </c>
      <c r="H283" s="7">
        <v>4.8019999999999996</v>
      </c>
      <c r="I283" s="7">
        <v>5.694</v>
      </c>
      <c r="J283" s="7">
        <v>3.948</v>
      </c>
      <c r="K283" s="7">
        <v>5.5979999999999999</v>
      </c>
      <c r="L283" s="7">
        <v>5.5339999999999998</v>
      </c>
      <c r="M283" s="7">
        <v>5.1340000000000003</v>
      </c>
      <c r="N283" s="7">
        <v>5.0579999999999998</v>
      </c>
      <c r="O283" s="7">
        <v>4.9160000000000004</v>
      </c>
    </row>
    <row r="284" spans="1:15" x14ac:dyDescent="0.25">
      <c r="A284" s="5" t="s">
        <v>296</v>
      </c>
      <c r="B284" s="5">
        <v>36</v>
      </c>
      <c r="C284" s="5" t="s">
        <v>3</v>
      </c>
      <c r="D284" s="6">
        <v>113</v>
      </c>
      <c r="E284" s="7">
        <v>23.007000000000001</v>
      </c>
      <c r="F284" s="7">
        <v>5.1029999999999998</v>
      </c>
      <c r="G284" s="7">
        <v>3.4580000000000002</v>
      </c>
      <c r="H284" s="7">
        <v>4.2300000000000004</v>
      </c>
      <c r="I284" s="7">
        <v>3.2559999999999998</v>
      </c>
      <c r="J284" s="7">
        <v>5.468</v>
      </c>
      <c r="K284" s="7">
        <v>5.484</v>
      </c>
      <c r="L284" s="7">
        <v>6.3019999999999996</v>
      </c>
      <c r="M284" s="7">
        <v>4.6139999999999999</v>
      </c>
      <c r="N284" s="7">
        <v>4.992</v>
      </c>
      <c r="O284" s="7">
        <v>5.0810000000000004</v>
      </c>
    </row>
    <row r="285" spans="1:15" x14ac:dyDescent="0.25">
      <c r="A285" s="5" t="s">
        <v>297</v>
      </c>
      <c r="B285" s="5">
        <v>53</v>
      </c>
      <c r="C285" s="5" t="s">
        <v>2</v>
      </c>
      <c r="D285" s="6">
        <v>108</v>
      </c>
      <c r="E285" s="7">
        <v>21.638000000000002</v>
      </c>
      <c r="F285" s="7">
        <v>5.2649999999999997</v>
      </c>
      <c r="G285" s="7">
        <v>5.17</v>
      </c>
      <c r="H285" s="7">
        <v>6.0940000000000003</v>
      </c>
      <c r="I285" s="7">
        <v>5.8230000000000004</v>
      </c>
      <c r="J285" s="7">
        <v>5.9950000000000001</v>
      </c>
      <c r="K285" s="7">
        <v>4.5279999999999996</v>
      </c>
      <c r="L285" s="7">
        <v>5.0549999999999997</v>
      </c>
      <c r="M285" s="7">
        <v>5.4509999999999996</v>
      </c>
      <c r="N285" s="7">
        <v>4.4109999999999996</v>
      </c>
      <c r="O285" s="7">
        <v>5.1639999999999997</v>
      </c>
    </row>
    <row r="286" spans="1:15" x14ac:dyDescent="0.25">
      <c r="A286" s="5" t="s">
        <v>298</v>
      </c>
      <c r="B286" s="5">
        <v>46</v>
      </c>
      <c r="C286" s="5" t="s">
        <v>2</v>
      </c>
      <c r="D286" s="6">
        <v>97</v>
      </c>
      <c r="E286" s="7">
        <v>19.100000000000001</v>
      </c>
      <c r="F286" s="7">
        <v>5.0549999999999997</v>
      </c>
      <c r="G286" s="7">
        <v>6.1840000000000002</v>
      </c>
      <c r="H286" s="7">
        <v>5.3620000000000001</v>
      </c>
      <c r="I286" s="7">
        <v>3.7320000000000002</v>
      </c>
      <c r="J286" s="7">
        <v>4.0830000000000002</v>
      </c>
      <c r="K286" s="7">
        <v>5.7380000000000004</v>
      </c>
      <c r="L286" s="7">
        <v>5.1539999999999999</v>
      </c>
      <c r="M286" s="7">
        <v>4.9909999999999997</v>
      </c>
      <c r="N286" s="7">
        <v>5.343</v>
      </c>
      <c r="O286" s="7">
        <v>4.8840000000000003</v>
      </c>
    </row>
    <row r="287" spans="1:15" x14ac:dyDescent="0.25">
      <c r="A287" s="5" t="s">
        <v>299</v>
      </c>
      <c r="B287" s="5">
        <v>77</v>
      </c>
      <c r="C287" s="5" t="s">
        <v>3</v>
      </c>
      <c r="D287" s="6">
        <v>109</v>
      </c>
      <c r="E287" s="7">
        <v>22.05</v>
      </c>
      <c r="F287" s="7">
        <v>5.2210000000000001</v>
      </c>
      <c r="G287" s="7">
        <v>4.8380000000000001</v>
      </c>
      <c r="H287" s="7">
        <v>5.2279999999999998</v>
      </c>
      <c r="I287" s="7">
        <v>5.1159999999999997</v>
      </c>
      <c r="J287" s="7">
        <v>5.3330000000000002</v>
      </c>
      <c r="K287" s="7">
        <v>4.0640000000000001</v>
      </c>
      <c r="L287" s="7">
        <v>5.9729999999999999</v>
      </c>
      <c r="M287" s="7">
        <v>5.0620000000000003</v>
      </c>
      <c r="N287" s="7">
        <v>5.1920000000000002</v>
      </c>
      <c r="O287" s="7">
        <v>4.8650000000000002</v>
      </c>
    </row>
    <row r="288" spans="1:15" x14ac:dyDescent="0.25">
      <c r="A288" s="5" t="s">
        <v>300</v>
      </c>
      <c r="B288" s="5">
        <v>26</v>
      </c>
      <c r="C288" s="5" t="s">
        <v>3</v>
      </c>
      <c r="D288" s="6">
        <v>97</v>
      </c>
      <c r="E288" s="7">
        <v>19.47</v>
      </c>
      <c r="F288" s="7">
        <v>5.0910000000000002</v>
      </c>
      <c r="G288" s="7">
        <v>6.1539999999999999</v>
      </c>
      <c r="H288" s="7">
        <v>5.6260000000000003</v>
      </c>
      <c r="I288" s="7">
        <v>5.2560000000000002</v>
      </c>
      <c r="J288" s="7">
        <v>4.827</v>
      </c>
      <c r="K288" s="7">
        <v>5.1050000000000004</v>
      </c>
      <c r="L288" s="7">
        <v>5.125</v>
      </c>
      <c r="M288" s="7">
        <v>4.4340000000000002</v>
      </c>
      <c r="N288" s="7">
        <v>4.8680000000000003</v>
      </c>
      <c r="O288" s="7">
        <v>5.0789999999999997</v>
      </c>
    </row>
    <row r="289" spans="1:15" x14ac:dyDescent="0.25">
      <c r="A289" s="5" t="s">
        <v>301</v>
      </c>
      <c r="B289" s="5">
        <v>52</v>
      </c>
      <c r="C289" s="5" t="s">
        <v>2</v>
      </c>
      <c r="D289" s="6">
        <v>103</v>
      </c>
      <c r="E289" s="7">
        <v>19.702000000000002</v>
      </c>
      <c r="F289" s="7">
        <v>4.8499999999999996</v>
      </c>
      <c r="G289" s="7">
        <v>4.4139999999999997</v>
      </c>
      <c r="H289" s="7">
        <v>5.1130000000000004</v>
      </c>
      <c r="I289" s="7">
        <v>4.59</v>
      </c>
      <c r="J289" s="7">
        <v>6.056</v>
      </c>
      <c r="K289" s="7">
        <v>5.1520000000000001</v>
      </c>
      <c r="L289" s="7">
        <v>3.9289999999999998</v>
      </c>
      <c r="M289" s="7">
        <v>5.2009999999999996</v>
      </c>
      <c r="N289" s="7">
        <v>5.0510000000000002</v>
      </c>
      <c r="O289" s="7">
        <v>4.9009999999999998</v>
      </c>
    </row>
    <row r="290" spans="1:15" x14ac:dyDescent="0.25">
      <c r="A290" s="5" t="s">
        <v>302</v>
      </c>
      <c r="B290" s="5">
        <v>64</v>
      </c>
      <c r="C290" s="5" t="s">
        <v>2</v>
      </c>
      <c r="D290" s="6">
        <v>99</v>
      </c>
      <c r="E290" s="7">
        <v>19.952999999999999</v>
      </c>
      <c r="F290" s="7">
        <v>4.4390000000000001</v>
      </c>
      <c r="G290" s="7">
        <v>5.5369999999999999</v>
      </c>
      <c r="H290" s="7">
        <v>5.4489999999999998</v>
      </c>
      <c r="I290" s="7">
        <v>6.14</v>
      </c>
      <c r="J290" s="7">
        <v>5.7279999999999998</v>
      </c>
      <c r="K290" s="7">
        <v>5.9260000000000002</v>
      </c>
      <c r="L290" s="7">
        <v>5.1580000000000004</v>
      </c>
      <c r="M290" s="7">
        <v>4.524</v>
      </c>
      <c r="N290" s="7">
        <v>5.444</v>
      </c>
      <c r="O290" s="7">
        <v>4.9329999999999998</v>
      </c>
    </row>
    <row r="291" spans="1:15" x14ac:dyDescent="0.25">
      <c r="A291" s="5" t="s">
        <v>303</v>
      </c>
      <c r="B291" s="5">
        <v>37</v>
      </c>
      <c r="C291" s="5" t="s">
        <v>3</v>
      </c>
      <c r="D291" s="6">
        <v>80</v>
      </c>
      <c r="E291" s="7">
        <v>16.14</v>
      </c>
      <c r="F291" s="7">
        <v>3.2010000000000001</v>
      </c>
      <c r="G291" s="7">
        <v>5.4480000000000004</v>
      </c>
      <c r="H291" s="7">
        <v>6.3710000000000004</v>
      </c>
      <c r="I291" s="7">
        <v>5.3460000000000001</v>
      </c>
      <c r="J291" s="7">
        <v>5.3940000000000001</v>
      </c>
      <c r="K291" s="7">
        <v>4.7889999999999997</v>
      </c>
      <c r="L291" s="7">
        <v>5.0640000000000001</v>
      </c>
      <c r="M291" s="7">
        <v>4.5380000000000003</v>
      </c>
      <c r="N291" s="7">
        <v>4.8040000000000003</v>
      </c>
      <c r="O291" s="7">
        <v>5.2279999999999998</v>
      </c>
    </row>
    <row r="292" spans="1:15" x14ac:dyDescent="0.25">
      <c r="A292" s="5" t="s">
        <v>304</v>
      </c>
      <c r="B292" s="5">
        <v>28</v>
      </c>
      <c r="C292" s="5" t="s">
        <v>3</v>
      </c>
      <c r="D292" s="6">
        <v>104</v>
      </c>
      <c r="E292" s="7">
        <v>20.806999999999999</v>
      </c>
      <c r="F292" s="7">
        <v>4.5289999999999999</v>
      </c>
      <c r="G292" s="7">
        <v>4.71</v>
      </c>
      <c r="H292" s="7">
        <v>6.4290000000000003</v>
      </c>
      <c r="I292" s="7">
        <v>4.74</v>
      </c>
      <c r="J292" s="7">
        <v>5.617</v>
      </c>
      <c r="K292" s="7">
        <v>4.22</v>
      </c>
      <c r="L292" s="7">
        <v>4.8049999999999997</v>
      </c>
      <c r="M292" s="7">
        <v>5.2720000000000002</v>
      </c>
      <c r="N292" s="7">
        <v>5.2489999999999997</v>
      </c>
      <c r="O292" s="7">
        <v>5.0789999999999997</v>
      </c>
    </row>
    <row r="293" spans="1:15" x14ac:dyDescent="0.25">
      <c r="A293" s="5" t="s">
        <v>305</v>
      </c>
      <c r="B293" s="5">
        <v>25</v>
      </c>
      <c r="C293" s="5" t="s">
        <v>2</v>
      </c>
      <c r="D293" s="6">
        <v>104</v>
      </c>
      <c r="E293" s="7">
        <v>21.117999999999999</v>
      </c>
      <c r="F293" s="7">
        <v>4.0970000000000004</v>
      </c>
      <c r="G293" s="7">
        <v>4.016</v>
      </c>
      <c r="H293" s="7">
        <v>3.968</v>
      </c>
      <c r="I293" s="7">
        <v>5.5949999999999998</v>
      </c>
      <c r="J293" s="7">
        <v>4.16</v>
      </c>
      <c r="K293" s="7">
        <v>5.1740000000000004</v>
      </c>
      <c r="L293" s="7">
        <v>3.9689999999999999</v>
      </c>
      <c r="M293" s="7">
        <v>5.25</v>
      </c>
      <c r="N293" s="7">
        <v>4.4649999999999999</v>
      </c>
      <c r="O293" s="7">
        <v>5.306</v>
      </c>
    </row>
    <row r="294" spans="1:15" x14ac:dyDescent="0.25">
      <c r="A294" s="5" t="s">
        <v>306</v>
      </c>
      <c r="B294" s="5">
        <v>84</v>
      </c>
      <c r="C294" s="5" t="s">
        <v>2</v>
      </c>
      <c r="D294" s="6">
        <v>108</v>
      </c>
      <c r="E294" s="7">
        <v>21.36</v>
      </c>
      <c r="F294" s="7">
        <v>5.548</v>
      </c>
      <c r="G294" s="7">
        <v>4.7839999999999998</v>
      </c>
      <c r="H294" s="7">
        <v>3.9359999999999999</v>
      </c>
      <c r="I294" s="7">
        <v>4.0439999999999996</v>
      </c>
      <c r="J294" s="7">
        <v>5.2229999999999999</v>
      </c>
      <c r="K294" s="7">
        <v>3.5979999999999999</v>
      </c>
      <c r="L294" s="7">
        <v>5.3789999999999996</v>
      </c>
      <c r="M294" s="7">
        <v>5.3529999999999998</v>
      </c>
      <c r="N294" s="7">
        <v>5.1980000000000004</v>
      </c>
      <c r="O294" s="7">
        <v>4.9050000000000002</v>
      </c>
    </row>
    <row r="295" spans="1:15" x14ac:dyDescent="0.25">
      <c r="A295" s="5" t="s">
        <v>307</v>
      </c>
      <c r="B295" s="5">
        <v>29</v>
      </c>
      <c r="C295" s="5" t="s">
        <v>2</v>
      </c>
      <c r="D295" s="6">
        <v>94</v>
      </c>
      <c r="E295" s="7">
        <v>18.920000000000002</v>
      </c>
      <c r="F295" s="7">
        <v>4.2649999999999997</v>
      </c>
      <c r="G295" s="7">
        <v>5.9450000000000003</v>
      </c>
      <c r="H295" s="7">
        <v>4.2069999999999999</v>
      </c>
      <c r="I295" s="7">
        <v>5.1710000000000003</v>
      </c>
      <c r="J295" s="7">
        <v>5.5049999999999999</v>
      </c>
      <c r="K295" s="7">
        <v>4.9249999999999998</v>
      </c>
      <c r="L295" s="7">
        <v>5.6459999999999999</v>
      </c>
      <c r="M295" s="7">
        <v>5.0140000000000002</v>
      </c>
      <c r="N295" s="7">
        <v>5.2750000000000004</v>
      </c>
      <c r="O295" s="7">
        <v>4.7169999999999996</v>
      </c>
    </row>
    <row r="296" spans="1:15" x14ac:dyDescent="0.25">
      <c r="A296" s="5" t="s">
        <v>308</v>
      </c>
      <c r="B296" s="5">
        <v>37</v>
      </c>
      <c r="C296" s="5" t="s">
        <v>2</v>
      </c>
      <c r="D296" s="6">
        <v>124</v>
      </c>
      <c r="E296" s="7">
        <v>24.242000000000001</v>
      </c>
      <c r="F296" s="7">
        <v>6.476</v>
      </c>
      <c r="G296" s="7">
        <v>4.5389999999999997</v>
      </c>
      <c r="H296" s="7">
        <v>5.3860000000000001</v>
      </c>
      <c r="I296" s="7">
        <v>3.3420000000000001</v>
      </c>
      <c r="J296" s="7">
        <v>5.3360000000000003</v>
      </c>
      <c r="K296" s="7">
        <v>5.8650000000000002</v>
      </c>
      <c r="L296" s="7">
        <v>5.468</v>
      </c>
      <c r="M296" s="7">
        <v>5.0599999999999996</v>
      </c>
      <c r="N296" s="7">
        <v>4.7510000000000003</v>
      </c>
      <c r="O296" s="7">
        <v>5.101</v>
      </c>
    </row>
    <row r="297" spans="1:15" x14ac:dyDescent="0.25">
      <c r="A297" s="5" t="s">
        <v>309</v>
      </c>
      <c r="B297" s="5">
        <v>22</v>
      </c>
      <c r="C297" s="5" t="s">
        <v>3</v>
      </c>
      <c r="D297" s="6">
        <v>107</v>
      </c>
      <c r="E297" s="7">
        <v>21.545000000000002</v>
      </c>
      <c r="F297" s="7">
        <v>5.5060000000000002</v>
      </c>
      <c r="G297" s="7">
        <v>6.0469999999999997</v>
      </c>
      <c r="H297" s="7">
        <v>3.601</v>
      </c>
      <c r="I297" s="7">
        <v>5.1280000000000001</v>
      </c>
      <c r="J297" s="7">
        <v>5.07</v>
      </c>
      <c r="K297" s="7">
        <v>5.117</v>
      </c>
      <c r="L297" s="7">
        <v>4.319</v>
      </c>
      <c r="M297" s="7">
        <v>5.1470000000000002</v>
      </c>
      <c r="N297" s="7">
        <v>4.6849999999999996</v>
      </c>
      <c r="O297" s="7">
        <v>5.0110000000000001</v>
      </c>
    </row>
    <row r="298" spans="1:15" x14ac:dyDescent="0.25">
      <c r="A298" s="5" t="s">
        <v>310</v>
      </c>
      <c r="B298" s="5">
        <v>54</v>
      </c>
      <c r="C298" s="5" t="s">
        <v>2</v>
      </c>
      <c r="D298" s="6">
        <v>116</v>
      </c>
      <c r="E298" s="7">
        <v>23.896000000000001</v>
      </c>
      <c r="F298" s="7">
        <v>5.6929999999999996</v>
      </c>
      <c r="G298" s="7">
        <v>3.4889999999999999</v>
      </c>
      <c r="H298" s="7">
        <v>3.5329999999999999</v>
      </c>
      <c r="I298" s="7">
        <v>3.9510000000000001</v>
      </c>
      <c r="J298" s="7">
        <v>5.4139999999999997</v>
      </c>
      <c r="K298" s="7">
        <v>4.6100000000000003</v>
      </c>
      <c r="L298" s="7">
        <v>4.6390000000000002</v>
      </c>
      <c r="M298" s="7">
        <v>5.1029999999999998</v>
      </c>
      <c r="N298" s="7">
        <v>5.0869999999999997</v>
      </c>
      <c r="O298" s="7">
        <v>5.4359999999999999</v>
      </c>
    </row>
    <row r="299" spans="1:15" x14ac:dyDescent="0.25">
      <c r="A299" s="5" t="s">
        <v>311</v>
      </c>
      <c r="B299" s="5">
        <v>55</v>
      </c>
      <c r="C299" s="5" t="s">
        <v>2</v>
      </c>
      <c r="D299" s="6">
        <v>113</v>
      </c>
      <c r="E299" s="7">
        <v>22.245999999999999</v>
      </c>
      <c r="F299" s="7">
        <v>5.1349999999999998</v>
      </c>
      <c r="G299" s="7">
        <v>4.4000000000000004</v>
      </c>
      <c r="H299" s="7">
        <v>5.0060000000000002</v>
      </c>
      <c r="I299" s="7">
        <v>5.2910000000000004</v>
      </c>
      <c r="J299" s="7">
        <v>5.4409999999999998</v>
      </c>
      <c r="K299" s="7">
        <v>5.6660000000000004</v>
      </c>
      <c r="L299" s="7">
        <v>5.5039999999999996</v>
      </c>
      <c r="M299" s="7">
        <v>4.9390000000000001</v>
      </c>
      <c r="N299" s="7">
        <v>4.9770000000000003</v>
      </c>
      <c r="O299" s="7">
        <v>4.9960000000000004</v>
      </c>
    </row>
    <row r="300" spans="1:15" x14ac:dyDescent="0.25">
      <c r="A300" s="5" t="s">
        <v>312</v>
      </c>
      <c r="B300" s="5">
        <v>26</v>
      </c>
      <c r="C300" s="5" t="s">
        <v>3</v>
      </c>
      <c r="D300" s="6">
        <v>103</v>
      </c>
      <c r="E300" s="7">
        <v>20.329000000000001</v>
      </c>
      <c r="F300" s="7">
        <v>3.931</v>
      </c>
      <c r="G300" s="7">
        <v>3.93</v>
      </c>
      <c r="H300" s="7">
        <v>3.3439999999999999</v>
      </c>
      <c r="I300" s="7">
        <v>5.3490000000000002</v>
      </c>
      <c r="J300" s="7">
        <v>3.9350000000000001</v>
      </c>
      <c r="K300" s="7">
        <v>5.944</v>
      </c>
      <c r="L300" s="7">
        <v>4.87</v>
      </c>
      <c r="M300" s="7">
        <v>5.1059999999999999</v>
      </c>
      <c r="N300" s="7">
        <v>5.0739999999999998</v>
      </c>
      <c r="O300" s="7">
        <v>4.9249999999999998</v>
      </c>
    </row>
    <row r="301" spans="1:15" x14ac:dyDescent="0.25">
      <c r="A301" s="5" t="s">
        <v>313</v>
      </c>
      <c r="B301" s="5">
        <v>70</v>
      </c>
      <c r="C301" s="5" t="s">
        <v>2</v>
      </c>
      <c r="D301" s="6">
        <v>101</v>
      </c>
      <c r="E301" s="7">
        <v>19.946999999999999</v>
      </c>
      <c r="F301" s="7">
        <v>4.8319999999999999</v>
      </c>
      <c r="G301" s="7">
        <v>5.37</v>
      </c>
      <c r="H301" s="7">
        <v>4.6900000000000004</v>
      </c>
      <c r="I301" s="7">
        <v>5.0380000000000003</v>
      </c>
      <c r="J301" s="7">
        <v>5.1369999999999996</v>
      </c>
      <c r="K301" s="7">
        <v>5.3079999999999998</v>
      </c>
      <c r="L301" s="7">
        <v>4.8010000000000002</v>
      </c>
      <c r="M301" s="7">
        <v>5.1029999999999998</v>
      </c>
      <c r="N301" s="7">
        <v>4.8360000000000003</v>
      </c>
      <c r="O301" s="7">
        <v>4.7270000000000003</v>
      </c>
    </row>
    <row r="302" spans="1:15" x14ac:dyDescent="0.25">
      <c r="A302" s="5" t="s">
        <v>314</v>
      </c>
      <c r="B302" s="5">
        <v>61</v>
      </c>
      <c r="C302" s="5" t="s">
        <v>3</v>
      </c>
      <c r="D302" s="6">
        <v>98</v>
      </c>
      <c r="E302" s="7">
        <v>19.646000000000001</v>
      </c>
      <c r="F302" s="7">
        <v>4.5369999999999999</v>
      </c>
      <c r="G302" s="7">
        <v>5.5110000000000001</v>
      </c>
      <c r="H302" s="7">
        <v>5.0949999999999998</v>
      </c>
      <c r="I302" s="7">
        <v>5.3380000000000001</v>
      </c>
      <c r="J302" s="7">
        <v>4.3609999999999998</v>
      </c>
      <c r="K302" s="7">
        <v>4.5869999999999997</v>
      </c>
      <c r="L302" s="7">
        <v>3.9929999999999999</v>
      </c>
      <c r="M302" s="7">
        <v>5.1779999999999999</v>
      </c>
      <c r="N302" s="7">
        <v>4.8049999999999997</v>
      </c>
      <c r="O302" s="7">
        <v>5.0449999999999999</v>
      </c>
    </row>
    <row r="303" spans="1:15" x14ac:dyDescent="0.25">
      <c r="A303" s="5" t="s">
        <v>315</v>
      </c>
      <c r="B303" s="5">
        <v>41</v>
      </c>
      <c r="C303" s="5" t="s">
        <v>2</v>
      </c>
      <c r="D303" s="6">
        <v>89</v>
      </c>
      <c r="E303" s="7">
        <v>17.420999999999999</v>
      </c>
      <c r="F303" s="7">
        <v>3.7360000000000002</v>
      </c>
      <c r="G303" s="7">
        <v>5.6959999999999997</v>
      </c>
      <c r="H303" s="7">
        <v>4.8840000000000003</v>
      </c>
      <c r="I303" s="7">
        <v>5.3689999999999998</v>
      </c>
      <c r="J303" s="7">
        <v>5.6710000000000003</v>
      </c>
      <c r="K303" s="7">
        <v>4.9980000000000002</v>
      </c>
      <c r="L303" s="7">
        <v>4.4009999999999998</v>
      </c>
      <c r="M303" s="7">
        <v>4.6189999999999998</v>
      </c>
      <c r="N303" s="7">
        <v>4.2699999999999996</v>
      </c>
      <c r="O303" s="7">
        <v>5.2210000000000001</v>
      </c>
    </row>
    <row r="304" spans="1:15" x14ac:dyDescent="0.25">
      <c r="A304" s="5" t="s">
        <v>316</v>
      </c>
      <c r="B304" s="5">
        <v>47</v>
      </c>
      <c r="C304" s="5" t="s">
        <v>2</v>
      </c>
      <c r="D304" s="6">
        <v>113</v>
      </c>
      <c r="E304" s="7">
        <v>22.75</v>
      </c>
      <c r="F304" s="7">
        <v>5.42</v>
      </c>
      <c r="G304" s="7">
        <v>4.7709999999999999</v>
      </c>
      <c r="H304" s="7">
        <v>5.1150000000000002</v>
      </c>
      <c r="I304" s="7">
        <v>5.641</v>
      </c>
      <c r="J304" s="7">
        <v>4.3259999999999996</v>
      </c>
      <c r="K304" s="7">
        <v>6.423</v>
      </c>
      <c r="L304" s="7">
        <v>4.3</v>
      </c>
      <c r="M304" s="7">
        <v>5.4749999999999996</v>
      </c>
      <c r="N304" s="7">
        <v>4.5410000000000004</v>
      </c>
      <c r="O304" s="7">
        <v>5.2279999999999998</v>
      </c>
    </row>
    <row r="305" spans="1:15" x14ac:dyDescent="0.25">
      <c r="A305" s="5" t="s">
        <v>317</v>
      </c>
      <c r="B305" s="5">
        <v>76</v>
      </c>
      <c r="C305" s="5" t="s">
        <v>3</v>
      </c>
      <c r="D305" s="6">
        <v>93</v>
      </c>
      <c r="E305" s="7">
        <v>18.902000000000001</v>
      </c>
      <c r="F305" s="7">
        <v>4.6760000000000002</v>
      </c>
      <c r="G305" s="7">
        <v>5.5289999999999999</v>
      </c>
      <c r="H305" s="7">
        <v>5.1079999999999997</v>
      </c>
      <c r="I305" s="7">
        <v>5.1079999999999997</v>
      </c>
      <c r="J305" s="7">
        <v>4.3499999999999996</v>
      </c>
      <c r="K305" s="7">
        <v>5.2670000000000003</v>
      </c>
      <c r="L305" s="7">
        <v>4.8239999999999998</v>
      </c>
      <c r="M305" s="7">
        <v>5.2530000000000001</v>
      </c>
      <c r="N305" s="7">
        <v>5.1429999999999998</v>
      </c>
      <c r="O305" s="7">
        <v>4.718</v>
      </c>
    </row>
    <row r="306" spans="1:15" x14ac:dyDescent="0.25">
      <c r="A306" s="5" t="s">
        <v>318</v>
      </c>
      <c r="B306" s="5">
        <v>31</v>
      </c>
      <c r="C306" s="5" t="s">
        <v>3</v>
      </c>
      <c r="D306" s="6">
        <v>123</v>
      </c>
      <c r="E306" s="7">
        <v>24.79</v>
      </c>
      <c r="F306" s="7">
        <v>6.3410000000000002</v>
      </c>
      <c r="G306" s="7">
        <v>4.2169999999999996</v>
      </c>
      <c r="H306" s="7">
        <v>4.665</v>
      </c>
      <c r="I306" s="7">
        <v>4.8819999999999997</v>
      </c>
      <c r="J306" s="7">
        <v>4.383</v>
      </c>
      <c r="K306" s="7">
        <v>5.21</v>
      </c>
      <c r="L306" s="7">
        <v>5.367</v>
      </c>
      <c r="M306" s="7">
        <v>5.4089999999999998</v>
      </c>
      <c r="N306" s="7">
        <v>4.585</v>
      </c>
      <c r="O306" s="7">
        <v>4.8360000000000003</v>
      </c>
    </row>
    <row r="307" spans="1:15" x14ac:dyDescent="0.25">
      <c r="A307" s="5" t="s">
        <v>319</v>
      </c>
      <c r="B307" s="5">
        <v>26</v>
      </c>
      <c r="C307" s="5" t="s">
        <v>2</v>
      </c>
      <c r="D307" s="6">
        <v>118</v>
      </c>
      <c r="E307" s="7">
        <v>22.97</v>
      </c>
      <c r="F307" s="7">
        <v>6.2140000000000004</v>
      </c>
      <c r="G307" s="7">
        <v>4.78</v>
      </c>
      <c r="H307" s="7">
        <v>5.5709999999999997</v>
      </c>
      <c r="I307" s="7">
        <v>4.7510000000000003</v>
      </c>
      <c r="J307" s="7">
        <v>4.851</v>
      </c>
      <c r="K307" s="7">
        <v>5.2229999999999999</v>
      </c>
      <c r="L307" s="7">
        <v>5.4489999999999998</v>
      </c>
      <c r="M307" s="7">
        <v>5.2990000000000004</v>
      </c>
      <c r="N307" s="7">
        <v>5.0199999999999996</v>
      </c>
      <c r="O307" s="7">
        <v>4.976</v>
      </c>
    </row>
    <row r="308" spans="1:15" x14ac:dyDescent="0.25">
      <c r="A308" s="5" t="s">
        <v>320</v>
      </c>
      <c r="B308" s="5">
        <v>57</v>
      </c>
      <c r="C308" s="5" t="s">
        <v>2</v>
      </c>
      <c r="D308" s="6">
        <v>100</v>
      </c>
      <c r="E308" s="7">
        <v>20.355</v>
      </c>
      <c r="F308" s="7">
        <v>4.4969999999999999</v>
      </c>
      <c r="G308" s="7">
        <v>4.7859999999999996</v>
      </c>
      <c r="H308" s="7">
        <v>5.4329999999999998</v>
      </c>
      <c r="I308" s="7">
        <v>5.4420000000000002</v>
      </c>
      <c r="J308" s="7">
        <v>5.1440000000000001</v>
      </c>
      <c r="K308" s="7">
        <v>4.6379999999999999</v>
      </c>
      <c r="L308" s="7">
        <v>5.6059999999999999</v>
      </c>
      <c r="M308" s="7">
        <v>5.375</v>
      </c>
      <c r="N308" s="7">
        <v>4.7030000000000003</v>
      </c>
      <c r="O308" s="7">
        <v>4.8330000000000002</v>
      </c>
    </row>
    <row r="309" spans="1:15" x14ac:dyDescent="0.25">
      <c r="A309" s="5" t="s">
        <v>321</v>
      </c>
      <c r="B309" s="5">
        <v>83</v>
      </c>
      <c r="C309" s="5" t="s">
        <v>2</v>
      </c>
      <c r="D309" s="6">
        <v>97</v>
      </c>
      <c r="E309" s="7">
        <v>19.734000000000002</v>
      </c>
      <c r="F309" s="7">
        <v>3.8839999999999999</v>
      </c>
      <c r="G309" s="7">
        <v>4.5279999999999996</v>
      </c>
      <c r="H309" s="7">
        <v>5.28</v>
      </c>
      <c r="I309" s="7">
        <v>5.1379999999999999</v>
      </c>
      <c r="J309" s="7">
        <v>5.125</v>
      </c>
      <c r="K309" s="7">
        <v>4.5110000000000001</v>
      </c>
      <c r="L309" s="7">
        <v>4.9109999999999996</v>
      </c>
      <c r="M309" s="7">
        <v>4.899</v>
      </c>
      <c r="N309" s="7">
        <v>5.2930000000000001</v>
      </c>
      <c r="O309" s="7">
        <v>5.0890000000000004</v>
      </c>
    </row>
    <row r="310" spans="1:15" x14ac:dyDescent="0.25">
      <c r="A310" s="5" t="s">
        <v>322</v>
      </c>
      <c r="B310" s="5">
        <v>42</v>
      </c>
      <c r="C310" s="5" t="s">
        <v>3</v>
      </c>
      <c r="D310" s="6">
        <v>101</v>
      </c>
      <c r="E310" s="7">
        <v>20.495999999999999</v>
      </c>
      <c r="F310" s="7">
        <v>4.0780000000000003</v>
      </c>
      <c r="G310" s="7">
        <v>4.1349999999999998</v>
      </c>
      <c r="H310" s="7">
        <v>5.0590000000000002</v>
      </c>
      <c r="I310" s="7">
        <v>4.2649999999999997</v>
      </c>
      <c r="J310" s="7">
        <v>6.3639999999999999</v>
      </c>
      <c r="K310" s="7">
        <v>5.3220000000000001</v>
      </c>
      <c r="L310" s="7">
        <v>5.1890000000000001</v>
      </c>
      <c r="M310" s="7">
        <v>5.1959999999999997</v>
      </c>
      <c r="N310" s="7">
        <v>5.0570000000000004</v>
      </c>
      <c r="O310" s="7">
        <v>5.1050000000000004</v>
      </c>
    </row>
    <row r="311" spans="1:15" x14ac:dyDescent="0.25">
      <c r="A311" s="5" t="s">
        <v>323</v>
      </c>
      <c r="B311" s="5">
        <v>39</v>
      </c>
      <c r="C311" s="5" t="s">
        <v>2</v>
      </c>
      <c r="D311" s="6">
        <v>104</v>
      </c>
      <c r="E311" s="7">
        <v>20.933</v>
      </c>
      <c r="F311" s="7">
        <v>4.9989999999999997</v>
      </c>
      <c r="G311" s="7">
        <v>5.218</v>
      </c>
      <c r="H311" s="7">
        <v>4.6399999999999997</v>
      </c>
      <c r="I311" s="7">
        <v>5.1280000000000001</v>
      </c>
      <c r="J311" s="7">
        <v>4.6070000000000002</v>
      </c>
      <c r="K311" s="7">
        <v>4.7619999999999996</v>
      </c>
      <c r="L311" s="7">
        <v>4.9749999999999996</v>
      </c>
      <c r="M311" s="7">
        <v>5.2160000000000002</v>
      </c>
      <c r="N311" s="7">
        <v>5.4429999999999996</v>
      </c>
      <c r="O311" s="7">
        <v>4.9260000000000002</v>
      </c>
    </row>
    <row r="312" spans="1:15" x14ac:dyDescent="0.25">
      <c r="A312" s="5" t="s">
        <v>324</v>
      </c>
      <c r="B312" s="5">
        <v>21</v>
      </c>
      <c r="C312" s="5" t="s">
        <v>3</v>
      </c>
      <c r="D312" s="6">
        <v>102</v>
      </c>
      <c r="E312" s="7">
        <v>20.478000000000002</v>
      </c>
      <c r="F312" s="7">
        <v>5.1529999999999996</v>
      </c>
      <c r="G312" s="7">
        <v>5.5090000000000003</v>
      </c>
      <c r="H312" s="7">
        <v>5.3419999999999996</v>
      </c>
      <c r="I312" s="7">
        <v>5.6970000000000001</v>
      </c>
      <c r="J312" s="7">
        <v>4.9160000000000004</v>
      </c>
      <c r="K312" s="7">
        <v>4.82</v>
      </c>
      <c r="L312" s="7">
        <v>3.9209999999999998</v>
      </c>
      <c r="M312" s="7">
        <v>5.4459999999999997</v>
      </c>
      <c r="N312" s="7">
        <v>5.04</v>
      </c>
      <c r="O312" s="7">
        <v>5.181</v>
      </c>
    </row>
    <row r="313" spans="1:15" x14ac:dyDescent="0.25">
      <c r="A313" s="5" t="s">
        <v>325</v>
      </c>
      <c r="B313" s="5">
        <v>43</v>
      </c>
      <c r="C313" s="5" t="s">
        <v>3</v>
      </c>
      <c r="D313" s="6">
        <v>92</v>
      </c>
      <c r="E313" s="7">
        <v>18.768000000000001</v>
      </c>
      <c r="F313" s="7">
        <v>4.0960000000000001</v>
      </c>
      <c r="G313" s="7">
        <v>5.319</v>
      </c>
      <c r="H313" s="7">
        <v>6.3940000000000001</v>
      </c>
      <c r="I313" s="7">
        <v>4.306</v>
      </c>
      <c r="J313" s="7">
        <v>5.2649999999999997</v>
      </c>
      <c r="K313" s="7">
        <v>5.3289999999999997</v>
      </c>
      <c r="L313" s="7">
        <v>4.5149999999999997</v>
      </c>
      <c r="M313" s="7">
        <v>5.5579999999999998</v>
      </c>
      <c r="N313" s="7">
        <v>5.0469999999999997</v>
      </c>
      <c r="O313" s="7">
        <v>4.8970000000000002</v>
      </c>
    </row>
    <row r="314" spans="1:15" x14ac:dyDescent="0.25">
      <c r="A314" s="5" t="s">
        <v>326</v>
      </c>
      <c r="B314" s="5">
        <v>75</v>
      </c>
      <c r="C314" s="5" t="s">
        <v>2</v>
      </c>
      <c r="D314" s="6">
        <v>85</v>
      </c>
      <c r="E314" s="7">
        <v>17.684999999999999</v>
      </c>
      <c r="F314" s="7">
        <v>4.0620000000000003</v>
      </c>
      <c r="G314" s="7">
        <v>5.2510000000000003</v>
      </c>
      <c r="H314" s="7">
        <v>5.3019999999999996</v>
      </c>
      <c r="I314" s="7">
        <v>5.6859999999999999</v>
      </c>
      <c r="J314" s="7">
        <v>5.157</v>
      </c>
      <c r="K314" s="7">
        <v>5.4450000000000003</v>
      </c>
      <c r="L314" s="7">
        <v>4.6550000000000002</v>
      </c>
      <c r="M314" s="7">
        <v>5.2919999999999998</v>
      </c>
      <c r="N314" s="7">
        <v>4.8280000000000003</v>
      </c>
      <c r="O314" s="7">
        <v>5.1520000000000001</v>
      </c>
    </row>
    <row r="315" spans="1:15" x14ac:dyDescent="0.25">
      <c r="A315" s="5" t="s">
        <v>327</v>
      </c>
      <c r="B315" s="5">
        <v>46</v>
      </c>
      <c r="C315" s="5" t="s">
        <v>3</v>
      </c>
      <c r="D315" s="6">
        <v>112</v>
      </c>
      <c r="E315" s="7">
        <v>22.061</v>
      </c>
      <c r="F315" s="7">
        <v>5.4340000000000002</v>
      </c>
      <c r="G315" s="7">
        <v>4.0140000000000002</v>
      </c>
      <c r="H315" s="7">
        <v>6.3150000000000004</v>
      </c>
      <c r="I315" s="7">
        <v>5.7469999999999999</v>
      </c>
      <c r="J315" s="7">
        <v>5.4560000000000004</v>
      </c>
      <c r="K315" s="7">
        <v>4.5179999999999998</v>
      </c>
      <c r="L315" s="7">
        <v>5.4210000000000003</v>
      </c>
      <c r="M315" s="7">
        <v>5.1130000000000004</v>
      </c>
      <c r="N315" s="7">
        <v>4.8140000000000001</v>
      </c>
      <c r="O315" s="7">
        <v>4.9009999999999998</v>
      </c>
    </row>
    <row r="316" spans="1:15" x14ac:dyDescent="0.25">
      <c r="A316" s="5" t="s">
        <v>328</v>
      </c>
      <c r="B316" s="5">
        <v>54</v>
      </c>
      <c r="C316" s="5" t="s">
        <v>2</v>
      </c>
      <c r="D316" s="6">
        <v>110</v>
      </c>
      <c r="E316" s="7">
        <v>22.384</v>
      </c>
      <c r="F316" s="7">
        <v>4.8470000000000004</v>
      </c>
      <c r="G316" s="7">
        <v>3.6019999999999999</v>
      </c>
      <c r="H316" s="7">
        <v>4.8289999999999997</v>
      </c>
      <c r="I316" s="7">
        <v>4.9989999999999997</v>
      </c>
      <c r="J316" s="7">
        <v>4.2930000000000001</v>
      </c>
      <c r="K316" s="7">
        <v>5.41</v>
      </c>
      <c r="L316" s="7">
        <v>5.2690000000000001</v>
      </c>
      <c r="M316" s="7">
        <v>4.9530000000000003</v>
      </c>
      <c r="N316" s="7">
        <v>4.9640000000000004</v>
      </c>
      <c r="O316" s="7">
        <v>4.8689999999999998</v>
      </c>
    </row>
    <row r="317" spans="1:15" x14ac:dyDescent="0.25">
      <c r="A317" s="5" t="s">
        <v>329</v>
      </c>
      <c r="B317" s="5">
        <v>35</v>
      </c>
      <c r="C317" s="5" t="s">
        <v>2</v>
      </c>
      <c r="D317" s="6">
        <v>113</v>
      </c>
      <c r="E317" s="7">
        <v>22.568999999999999</v>
      </c>
      <c r="F317" s="7">
        <v>5.4020000000000001</v>
      </c>
      <c r="G317" s="7">
        <v>5.0220000000000002</v>
      </c>
      <c r="H317" s="7">
        <v>5.4020000000000001</v>
      </c>
      <c r="I317" s="7">
        <v>4.3890000000000002</v>
      </c>
      <c r="J317" s="7">
        <v>4.9729999999999999</v>
      </c>
      <c r="K317" s="7">
        <v>4.7359999999999998</v>
      </c>
      <c r="L317" s="7">
        <v>4.5730000000000004</v>
      </c>
      <c r="M317" s="7">
        <v>5.1289999999999996</v>
      </c>
      <c r="N317" s="7">
        <v>4.569</v>
      </c>
      <c r="O317" s="7">
        <v>5.242</v>
      </c>
    </row>
    <row r="318" spans="1:15" x14ac:dyDescent="0.25">
      <c r="A318" s="5" t="s">
        <v>330</v>
      </c>
      <c r="B318" s="5">
        <v>59</v>
      </c>
      <c r="C318" s="5" t="s">
        <v>2</v>
      </c>
      <c r="D318" s="6">
        <v>92</v>
      </c>
      <c r="E318" s="7">
        <v>18.353999999999999</v>
      </c>
      <c r="F318" s="7">
        <v>4.3470000000000004</v>
      </c>
      <c r="G318" s="7">
        <v>6.4320000000000004</v>
      </c>
      <c r="H318" s="7">
        <v>4.3079999999999998</v>
      </c>
      <c r="I318" s="7">
        <v>4.5389999999999997</v>
      </c>
      <c r="J318" s="7">
        <v>5.2850000000000001</v>
      </c>
      <c r="K318" s="7">
        <v>5.1420000000000003</v>
      </c>
      <c r="L318" s="7">
        <v>5.1159999999999997</v>
      </c>
      <c r="M318" s="7">
        <v>4.6879999999999997</v>
      </c>
      <c r="N318" s="7">
        <v>4.5199999999999996</v>
      </c>
      <c r="O318" s="7">
        <v>5.2080000000000002</v>
      </c>
    </row>
    <row r="319" spans="1:15" x14ac:dyDescent="0.25">
      <c r="A319" s="5" t="s">
        <v>331</v>
      </c>
      <c r="B319" s="5">
        <v>58</v>
      </c>
      <c r="C319" s="5" t="s">
        <v>2</v>
      </c>
      <c r="D319" s="6">
        <v>95</v>
      </c>
      <c r="E319" s="7">
        <v>18.452999999999999</v>
      </c>
      <c r="F319" s="7">
        <v>3.0419999999999998</v>
      </c>
      <c r="G319" s="7">
        <v>3.1429999999999998</v>
      </c>
      <c r="H319" s="7">
        <v>5.2119999999999997</v>
      </c>
      <c r="I319" s="7">
        <v>5.81</v>
      </c>
      <c r="J319" s="7">
        <v>4.1390000000000002</v>
      </c>
      <c r="K319" s="7">
        <v>5.8170000000000002</v>
      </c>
      <c r="L319" s="7">
        <v>5.2530000000000001</v>
      </c>
      <c r="M319" s="7">
        <v>5.2439999999999998</v>
      </c>
      <c r="N319" s="7">
        <v>4.9050000000000002</v>
      </c>
      <c r="O319" s="7">
        <v>5.157</v>
      </c>
    </row>
    <row r="320" spans="1:15" x14ac:dyDescent="0.25">
      <c r="A320" s="5" t="s">
        <v>332</v>
      </c>
      <c r="B320" s="5">
        <v>55</v>
      </c>
      <c r="C320" s="5" t="s">
        <v>2</v>
      </c>
      <c r="D320" s="6">
        <v>109</v>
      </c>
      <c r="E320" s="7">
        <v>21.699000000000002</v>
      </c>
      <c r="F320" s="7">
        <v>5.0679999999999996</v>
      </c>
      <c r="G320" s="7">
        <v>4.8129999999999997</v>
      </c>
      <c r="H320" s="7">
        <v>5.0279999999999996</v>
      </c>
      <c r="I320" s="7">
        <v>4.0810000000000004</v>
      </c>
      <c r="J320" s="7">
        <v>4.431</v>
      </c>
      <c r="K320" s="7">
        <v>5.0860000000000003</v>
      </c>
      <c r="L320" s="7">
        <v>4.774</v>
      </c>
      <c r="M320" s="7">
        <v>4.6070000000000002</v>
      </c>
      <c r="N320" s="7">
        <v>4.665</v>
      </c>
      <c r="O320" s="7">
        <v>5.1079999999999997</v>
      </c>
    </row>
    <row r="321" spans="1:15" x14ac:dyDescent="0.25">
      <c r="A321" s="5" t="s">
        <v>333</v>
      </c>
      <c r="B321" s="5">
        <v>51</v>
      </c>
      <c r="C321" s="5" t="s">
        <v>3</v>
      </c>
      <c r="D321" s="6">
        <v>104</v>
      </c>
      <c r="E321" s="7">
        <v>20.445</v>
      </c>
      <c r="F321" s="7">
        <v>4.9530000000000003</v>
      </c>
      <c r="G321" s="7">
        <v>4.8369999999999997</v>
      </c>
      <c r="H321" s="7">
        <v>2.492</v>
      </c>
      <c r="I321" s="7">
        <v>4.8520000000000003</v>
      </c>
      <c r="J321" s="7">
        <v>3.7490000000000001</v>
      </c>
      <c r="K321" s="7">
        <v>4.9550000000000001</v>
      </c>
      <c r="L321" s="7">
        <v>4.843</v>
      </c>
      <c r="M321" s="7">
        <v>5.1360000000000001</v>
      </c>
      <c r="N321" s="7">
        <v>5.2809999999999997</v>
      </c>
      <c r="O321" s="7">
        <v>4.9560000000000004</v>
      </c>
    </row>
    <row r="322" spans="1:15" x14ac:dyDescent="0.25">
      <c r="A322" s="5" t="s">
        <v>334</v>
      </c>
      <c r="B322" s="5">
        <v>34</v>
      </c>
      <c r="C322" s="5" t="s">
        <v>3</v>
      </c>
      <c r="D322" s="6">
        <v>95</v>
      </c>
      <c r="E322" s="7">
        <v>18.835000000000001</v>
      </c>
      <c r="F322" s="7">
        <v>4.3029999999999999</v>
      </c>
      <c r="G322" s="7">
        <v>4.9909999999999997</v>
      </c>
      <c r="H322" s="7">
        <v>5.0449999999999999</v>
      </c>
      <c r="I322" s="7">
        <v>5.2130000000000001</v>
      </c>
      <c r="J322" s="7">
        <v>4.93</v>
      </c>
      <c r="K322" s="7">
        <v>5.2519999999999998</v>
      </c>
      <c r="L322" s="7">
        <v>5.1120000000000001</v>
      </c>
      <c r="M322" s="7">
        <v>5.109</v>
      </c>
      <c r="N322" s="7">
        <v>4.8070000000000004</v>
      </c>
      <c r="O322" s="7">
        <v>5.3920000000000003</v>
      </c>
    </row>
    <row r="323" spans="1:15" x14ac:dyDescent="0.25">
      <c r="A323" s="5" t="s">
        <v>335</v>
      </c>
      <c r="B323" s="5">
        <v>54</v>
      </c>
      <c r="C323" s="5" t="s">
        <v>2</v>
      </c>
      <c r="D323" s="6">
        <v>116</v>
      </c>
      <c r="E323" s="7">
        <v>22.809000000000001</v>
      </c>
      <c r="F323" s="7">
        <v>5.4580000000000002</v>
      </c>
      <c r="G323" s="7">
        <v>3.8660000000000001</v>
      </c>
      <c r="H323" s="7">
        <v>5.8570000000000002</v>
      </c>
      <c r="I323" s="7">
        <v>4.4550000000000001</v>
      </c>
      <c r="J323" s="7">
        <v>3.78</v>
      </c>
      <c r="K323" s="7">
        <v>5.0019999999999998</v>
      </c>
      <c r="L323" s="7">
        <v>4.5869999999999997</v>
      </c>
      <c r="M323" s="7">
        <v>4.944</v>
      </c>
      <c r="N323" s="7">
        <v>4.9889999999999999</v>
      </c>
      <c r="O323" s="7">
        <v>4.8170000000000002</v>
      </c>
    </row>
    <row r="324" spans="1:15" x14ac:dyDescent="0.25">
      <c r="A324" s="5" t="s">
        <v>336</v>
      </c>
      <c r="B324" s="5">
        <v>42</v>
      </c>
      <c r="C324" s="5" t="s">
        <v>2</v>
      </c>
      <c r="D324" s="6">
        <v>110</v>
      </c>
      <c r="E324" s="7">
        <v>21.84</v>
      </c>
      <c r="F324" s="7">
        <v>5.0789999999999997</v>
      </c>
      <c r="G324" s="7">
        <v>4.3579999999999997</v>
      </c>
      <c r="H324" s="7">
        <v>3.8210000000000002</v>
      </c>
      <c r="I324" s="7">
        <v>5.0819999999999999</v>
      </c>
      <c r="J324" s="7">
        <v>5.319</v>
      </c>
      <c r="K324" s="7">
        <v>4.95</v>
      </c>
      <c r="L324" s="7">
        <v>5.8109999999999999</v>
      </c>
      <c r="M324" s="7">
        <v>5.3579999999999997</v>
      </c>
      <c r="N324" s="7">
        <v>4.63</v>
      </c>
      <c r="O324" s="7">
        <v>4.7380000000000004</v>
      </c>
    </row>
    <row r="325" spans="1:15" x14ac:dyDescent="0.25">
      <c r="A325" s="5" t="s">
        <v>337</v>
      </c>
      <c r="B325" s="5">
        <v>44</v>
      </c>
      <c r="C325" s="5" t="s">
        <v>3</v>
      </c>
      <c r="D325" s="6">
        <v>111</v>
      </c>
      <c r="E325" s="7">
        <v>22.055</v>
      </c>
      <c r="F325" s="7">
        <v>5.48</v>
      </c>
      <c r="G325" s="7">
        <v>4.0030000000000001</v>
      </c>
      <c r="H325" s="7">
        <v>5.1710000000000003</v>
      </c>
      <c r="I325" s="7">
        <v>5.391</v>
      </c>
      <c r="J325" s="7">
        <v>4.4050000000000002</v>
      </c>
      <c r="K325" s="7">
        <v>5.3070000000000004</v>
      </c>
      <c r="L325" s="7">
        <v>5.8579999999999997</v>
      </c>
      <c r="M325" s="7">
        <v>5.0350000000000001</v>
      </c>
      <c r="N325" s="7">
        <v>5.1020000000000003</v>
      </c>
      <c r="O325" s="7">
        <v>5.069</v>
      </c>
    </row>
    <row r="326" spans="1:15" x14ac:dyDescent="0.25">
      <c r="A326" s="5" t="s">
        <v>338</v>
      </c>
      <c r="B326" s="5">
        <v>74</v>
      </c>
      <c r="C326" s="5" t="s">
        <v>3</v>
      </c>
      <c r="D326" s="6">
        <v>73</v>
      </c>
      <c r="E326" s="7">
        <v>14.634</v>
      </c>
      <c r="F326" s="7">
        <v>2.64</v>
      </c>
      <c r="G326" s="7">
        <v>6.0289999999999999</v>
      </c>
      <c r="H326" s="7">
        <v>5.6929999999999996</v>
      </c>
      <c r="I326" s="7">
        <v>4.7</v>
      </c>
      <c r="J326" s="7">
        <v>4.5570000000000004</v>
      </c>
      <c r="K326" s="7">
        <v>6.0839999999999996</v>
      </c>
      <c r="L326" s="7">
        <v>5.3710000000000004</v>
      </c>
      <c r="M326" s="7">
        <v>4.9930000000000003</v>
      </c>
      <c r="N326" s="7">
        <v>5.4059999999999997</v>
      </c>
      <c r="O326" s="7">
        <v>4.944</v>
      </c>
    </row>
    <row r="327" spans="1:15" x14ac:dyDescent="0.25">
      <c r="A327" s="5" t="s">
        <v>339</v>
      </c>
      <c r="B327" s="5">
        <v>48</v>
      </c>
      <c r="C327" s="5" t="s">
        <v>3</v>
      </c>
      <c r="D327" s="6">
        <v>105</v>
      </c>
      <c r="E327" s="7">
        <v>20.425000000000001</v>
      </c>
      <c r="F327" s="7">
        <v>5.444</v>
      </c>
      <c r="G327" s="7">
        <v>6.0190000000000001</v>
      </c>
      <c r="H327" s="7">
        <v>5.5119999999999996</v>
      </c>
      <c r="I327" s="7">
        <v>4.9660000000000002</v>
      </c>
      <c r="J327" s="7">
        <v>4.9050000000000002</v>
      </c>
      <c r="K327" s="7">
        <v>4.9660000000000002</v>
      </c>
      <c r="L327" s="7">
        <v>4.548</v>
      </c>
      <c r="M327" s="7">
        <v>4.859</v>
      </c>
      <c r="N327" s="7">
        <v>4.9059999999999997</v>
      </c>
      <c r="O327" s="7">
        <v>5.0199999999999996</v>
      </c>
    </row>
    <row r="328" spans="1:15" x14ac:dyDescent="0.25">
      <c r="A328" s="5" t="s">
        <v>340</v>
      </c>
      <c r="B328" s="5">
        <v>23</v>
      </c>
      <c r="C328" s="5" t="s">
        <v>3</v>
      </c>
      <c r="D328" s="6">
        <v>101</v>
      </c>
      <c r="E328" s="7">
        <v>19.684999999999999</v>
      </c>
      <c r="F328" s="7">
        <v>4.6749999999999998</v>
      </c>
      <c r="G328" s="7">
        <v>4.7949999999999999</v>
      </c>
      <c r="H328" s="7">
        <v>5.5469999999999997</v>
      </c>
      <c r="I328" s="7">
        <v>4.9870000000000001</v>
      </c>
      <c r="J328" s="7">
        <v>3.9529999999999998</v>
      </c>
      <c r="K328" s="7">
        <v>4.3680000000000003</v>
      </c>
      <c r="L328" s="7">
        <v>5.109</v>
      </c>
      <c r="M328" s="7">
        <v>4.3360000000000003</v>
      </c>
      <c r="N328" s="7">
        <v>4.3639999999999999</v>
      </c>
      <c r="O328" s="7">
        <v>4.9779999999999998</v>
      </c>
    </row>
    <row r="329" spans="1:15" x14ac:dyDescent="0.25">
      <c r="A329" s="5" t="s">
        <v>341</v>
      </c>
      <c r="B329" s="5">
        <v>57</v>
      </c>
      <c r="C329" s="5" t="s">
        <v>2</v>
      </c>
      <c r="D329" s="6">
        <v>103</v>
      </c>
      <c r="E329" s="7">
        <v>20.728999999999999</v>
      </c>
      <c r="F329" s="7">
        <v>5.0970000000000004</v>
      </c>
      <c r="G329" s="7">
        <v>5.0650000000000004</v>
      </c>
      <c r="H329" s="7">
        <v>3.5630000000000002</v>
      </c>
      <c r="I329" s="7">
        <v>5.8890000000000002</v>
      </c>
      <c r="J329" s="7">
        <v>4.24</v>
      </c>
      <c r="K329" s="7">
        <v>5.0650000000000004</v>
      </c>
      <c r="L329" s="7">
        <v>5.3410000000000002</v>
      </c>
      <c r="M329" s="7">
        <v>4.798</v>
      </c>
      <c r="N329" s="7">
        <v>4.8479999999999999</v>
      </c>
      <c r="O329" s="7">
        <v>4.992</v>
      </c>
    </row>
    <row r="330" spans="1:15" x14ac:dyDescent="0.25">
      <c r="A330" s="5" t="s">
        <v>342</v>
      </c>
      <c r="B330" s="5">
        <v>29</v>
      </c>
      <c r="C330" s="5" t="s">
        <v>2</v>
      </c>
      <c r="D330" s="6">
        <v>122</v>
      </c>
      <c r="E330" s="7">
        <v>24.116</v>
      </c>
      <c r="F330" s="7">
        <v>6.1150000000000002</v>
      </c>
      <c r="G330" s="7">
        <v>3.7429999999999999</v>
      </c>
      <c r="H330" s="7">
        <v>4.431</v>
      </c>
      <c r="I330" s="7">
        <v>5.3209999999999997</v>
      </c>
      <c r="J330" s="7">
        <v>3.6760000000000002</v>
      </c>
      <c r="K330" s="7">
        <v>4.6909999999999998</v>
      </c>
      <c r="L330" s="7">
        <v>5.3479999999999999</v>
      </c>
      <c r="M330" s="7">
        <v>4.5259999999999998</v>
      </c>
      <c r="N330" s="7">
        <v>5.1130000000000004</v>
      </c>
      <c r="O330" s="7">
        <v>5.0590000000000002</v>
      </c>
    </row>
    <row r="331" spans="1:15" x14ac:dyDescent="0.25">
      <c r="A331" s="5" t="s">
        <v>343</v>
      </c>
      <c r="B331" s="5">
        <v>70</v>
      </c>
      <c r="C331" s="5" t="s">
        <v>3</v>
      </c>
      <c r="D331" s="6">
        <v>96</v>
      </c>
      <c r="E331" s="7">
        <v>19.582999999999998</v>
      </c>
      <c r="F331" s="7">
        <v>3.843</v>
      </c>
      <c r="G331" s="7">
        <v>5.0270000000000001</v>
      </c>
      <c r="H331" s="7">
        <v>5.84</v>
      </c>
      <c r="I331" s="7">
        <v>4.8899999999999997</v>
      </c>
      <c r="J331" s="7">
        <v>5.601</v>
      </c>
      <c r="K331" s="7">
        <v>4.3380000000000001</v>
      </c>
      <c r="L331" s="7">
        <v>4.7789999999999999</v>
      </c>
      <c r="M331" s="7">
        <v>5.0590000000000002</v>
      </c>
      <c r="N331" s="7">
        <v>4.8550000000000004</v>
      </c>
      <c r="O331" s="7">
        <v>5.2450000000000001</v>
      </c>
    </row>
    <row r="332" spans="1:15" x14ac:dyDescent="0.25">
      <c r="A332" s="5" t="s">
        <v>344</v>
      </c>
      <c r="B332" s="5">
        <v>27</v>
      </c>
      <c r="C332" s="5" t="s">
        <v>2</v>
      </c>
      <c r="D332" s="6">
        <v>105</v>
      </c>
      <c r="E332" s="7">
        <v>21.08</v>
      </c>
      <c r="F332" s="7">
        <v>4.524</v>
      </c>
      <c r="G332" s="7">
        <v>4.6379999999999999</v>
      </c>
      <c r="H332" s="7">
        <v>6.12</v>
      </c>
      <c r="I332" s="7">
        <v>5.569</v>
      </c>
      <c r="J332" s="7">
        <v>5.14</v>
      </c>
      <c r="K332" s="7">
        <v>5.7770000000000001</v>
      </c>
      <c r="L332" s="7">
        <v>5.4169999999999998</v>
      </c>
      <c r="M332" s="7">
        <v>5.22</v>
      </c>
      <c r="N332" s="7">
        <v>5.09</v>
      </c>
      <c r="O332" s="7">
        <v>4.7530000000000001</v>
      </c>
    </row>
    <row r="333" spans="1:15" x14ac:dyDescent="0.25">
      <c r="A333" s="5" t="s">
        <v>345</v>
      </c>
      <c r="B333" s="5">
        <v>62</v>
      </c>
      <c r="C333" s="5" t="s">
        <v>3</v>
      </c>
      <c r="D333" s="6">
        <v>103</v>
      </c>
      <c r="E333" s="7">
        <v>20.815999999999999</v>
      </c>
      <c r="F333" s="7">
        <v>5.5229999999999997</v>
      </c>
      <c r="G333" s="7">
        <v>6.5410000000000004</v>
      </c>
      <c r="H333" s="7">
        <v>5.2309999999999999</v>
      </c>
      <c r="I333" s="7">
        <v>4.9450000000000003</v>
      </c>
      <c r="J333" s="7">
        <v>4.7229999999999999</v>
      </c>
      <c r="K333" s="7">
        <v>4.077</v>
      </c>
      <c r="L333" s="7">
        <v>4.7220000000000004</v>
      </c>
      <c r="M333" s="7">
        <v>5.4980000000000002</v>
      </c>
      <c r="N333" s="7">
        <v>5.516</v>
      </c>
      <c r="O333" s="7">
        <v>5.1369999999999996</v>
      </c>
    </row>
    <row r="334" spans="1:15" x14ac:dyDescent="0.25">
      <c r="A334" s="5" t="s">
        <v>346</v>
      </c>
      <c r="B334" s="5">
        <v>34</v>
      </c>
      <c r="C334" s="5" t="s">
        <v>2</v>
      </c>
      <c r="D334" s="6">
        <v>108</v>
      </c>
      <c r="E334" s="7">
        <v>22.103000000000002</v>
      </c>
      <c r="F334" s="7">
        <v>5.8869999999999996</v>
      </c>
      <c r="G334" s="7">
        <v>5.6879999999999997</v>
      </c>
      <c r="H334" s="7">
        <v>6.13</v>
      </c>
      <c r="I334" s="7">
        <v>5.05</v>
      </c>
      <c r="J334" s="7">
        <v>4.7709999999999999</v>
      </c>
      <c r="K334" s="7">
        <v>5.19</v>
      </c>
      <c r="L334" s="7">
        <v>5.093</v>
      </c>
      <c r="M334" s="7">
        <v>5.3319999999999999</v>
      </c>
      <c r="N334" s="7">
        <v>4.851</v>
      </c>
      <c r="O334" s="7">
        <v>5.157</v>
      </c>
    </row>
    <row r="335" spans="1:15" x14ac:dyDescent="0.25">
      <c r="A335" s="5" t="s">
        <v>347</v>
      </c>
      <c r="B335" s="5">
        <v>43</v>
      </c>
      <c r="C335" s="5" t="s">
        <v>3</v>
      </c>
      <c r="D335" s="6">
        <v>106</v>
      </c>
      <c r="E335" s="7">
        <v>21.09</v>
      </c>
      <c r="F335" s="7">
        <v>5.0170000000000003</v>
      </c>
      <c r="G335" s="7">
        <v>5.4770000000000003</v>
      </c>
      <c r="H335" s="7">
        <v>6.1520000000000001</v>
      </c>
      <c r="I335" s="7">
        <v>5.2649999999999997</v>
      </c>
      <c r="J335" s="7">
        <v>4.8929999999999998</v>
      </c>
      <c r="K335" s="7">
        <v>4.9889999999999999</v>
      </c>
      <c r="L335" s="7">
        <v>5.41</v>
      </c>
      <c r="M335" s="7">
        <v>4.6130000000000004</v>
      </c>
      <c r="N335" s="7">
        <v>4.883</v>
      </c>
      <c r="O335" s="7">
        <v>4.6970000000000001</v>
      </c>
    </row>
    <row r="336" spans="1:15" x14ac:dyDescent="0.25">
      <c r="A336" s="5" t="s">
        <v>348</v>
      </c>
      <c r="B336" s="5">
        <v>79</v>
      </c>
      <c r="C336" s="5" t="s">
        <v>2</v>
      </c>
      <c r="D336" s="6">
        <v>115</v>
      </c>
      <c r="E336" s="7">
        <v>22.795000000000002</v>
      </c>
      <c r="F336" s="7">
        <v>5.9029999999999996</v>
      </c>
      <c r="G336" s="7">
        <v>4.5679999999999996</v>
      </c>
      <c r="H336" s="7">
        <v>6.56</v>
      </c>
      <c r="I336" s="7">
        <v>4.2880000000000003</v>
      </c>
      <c r="J336" s="7">
        <v>5.7859999999999996</v>
      </c>
      <c r="K336" s="7">
        <v>4.4290000000000003</v>
      </c>
      <c r="L336" s="7">
        <v>5.5869999999999997</v>
      </c>
      <c r="M336" s="7">
        <v>5.2969999999999997</v>
      </c>
      <c r="N336" s="7">
        <v>4.4340000000000002</v>
      </c>
      <c r="O336" s="7">
        <v>5.1760000000000002</v>
      </c>
    </row>
    <row r="337" spans="1:15" x14ac:dyDescent="0.25">
      <c r="A337" s="5" t="s">
        <v>349</v>
      </c>
      <c r="B337" s="5">
        <v>63</v>
      </c>
      <c r="C337" s="5" t="s">
        <v>3</v>
      </c>
      <c r="D337" s="6">
        <v>119</v>
      </c>
      <c r="E337" s="7">
        <v>24.111000000000001</v>
      </c>
      <c r="F337" s="7">
        <v>6.1550000000000002</v>
      </c>
      <c r="G337" s="7">
        <v>4.9820000000000002</v>
      </c>
      <c r="H337" s="7">
        <v>6.8230000000000004</v>
      </c>
      <c r="I337" s="7">
        <v>5.5119999999999996</v>
      </c>
      <c r="J337" s="7">
        <v>4.7249999999999996</v>
      </c>
      <c r="K337" s="7">
        <v>4.7039999999999997</v>
      </c>
      <c r="L337" s="7">
        <v>4.6870000000000003</v>
      </c>
      <c r="M337" s="7">
        <v>5.0720000000000001</v>
      </c>
      <c r="N337" s="7">
        <v>5.0570000000000004</v>
      </c>
      <c r="O337" s="7">
        <v>4.92</v>
      </c>
    </row>
    <row r="338" spans="1:15" x14ac:dyDescent="0.25">
      <c r="A338" s="5" t="s">
        <v>350</v>
      </c>
      <c r="B338" s="5">
        <v>81</v>
      </c>
      <c r="C338" s="5" t="s">
        <v>3</v>
      </c>
      <c r="D338" s="6">
        <v>103</v>
      </c>
      <c r="E338" s="7">
        <v>20.782</v>
      </c>
      <c r="F338" s="7">
        <v>5.8730000000000002</v>
      </c>
      <c r="G338" s="7">
        <v>7.859</v>
      </c>
      <c r="H338" s="7">
        <v>2.8220000000000001</v>
      </c>
      <c r="I338" s="7">
        <v>5.3739999999999997</v>
      </c>
      <c r="J338" s="7">
        <v>5.2649999999999997</v>
      </c>
      <c r="K338" s="7">
        <v>3.875</v>
      </c>
      <c r="L338" s="7">
        <v>5.0759999999999996</v>
      </c>
      <c r="M338" s="7">
        <v>4.5389999999999997</v>
      </c>
      <c r="N338" s="7">
        <v>4.6440000000000001</v>
      </c>
      <c r="O338" s="7">
        <v>4.9210000000000003</v>
      </c>
    </row>
    <row r="339" spans="1:15" x14ac:dyDescent="0.25">
      <c r="A339" s="5" t="s">
        <v>351</v>
      </c>
      <c r="B339" s="5">
        <v>24</v>
      </c>
      <c r="C339" s="5" t="s">
        <v>2</v>
      </c>
      <c r="D339" s="6">
        <v>100</v>
      </c>
      <c r="E339" s="7">
        <v>19.933</v>
      </c>
      <c r="F339" s="7">
        <v>4.5309999999999997</v>
      </c>
      <c r="G339" s="7">
        <v>6.415</v>
      </c>
      <c r="H339" s="7">
        <v>4.0030000000000001</v>
      </c>
      <c r="I339" s="7">
        <v>6.1150000000000002</v>
      </c>
      <c r="J339" s="7">
        <v>5.25</v>
      </c>
      <c r="K339" s="7">
        <v>5.1079999999999997</v>
      </c>
      <c r="L339" s="7">
        <v>4.8949999999999996</v>
      </c>
      <c r="M339" s="7">
        <v>4.4779999999999998</v>
      </c>
      <c r="N339" s="7">
        <v>4.6159999999999997</v>
      </c>
      <c r="O339" s="7">
        <v>5.0490000000000004</v>
      </c>
    </row>
    <row r="340" spans="1:15" x14ac:dyDescent="0.25">
      <c r="A340" s="5" t="s">
        <v>352</v>
      </c>
      <c r="B340" s="5">
        <v>71</v>
      </c>
      <c r="C340" s="5" t="s">
        <v>3</v>
      </c>
      <c r="D340" s="6">
        <v>107</v>
      </c>
      <c r="E340" s="7">
        <v>21.896000000000001</v>
      </c>
      <c r="F340" s="7">
        <v>5.5970000000000004</v>
      </c>
      <c r="G340" s="7">
        <v>5.0570000000000004</v>
      </c>
      <c r="H340" s="7">
        <v>4.3579999999999997</v>
      </c>
      <c r="I340" s="7">
        <v>3.6869999999999998</v>
      </c>
      <c r="J340" s="7">
        <v>4.048</v>
      </c>
      <c r="K340" s="7">
        <v>5.718</v>
      </c>
      <c r="L340" s="7">
        <v>4.8949999999999996</v>
      </c>
      <c r="M340" s="7">
        <v>4.851</v>
      </c>
      <c r="N340" s="7">
        <v>4.5910000000000002</v>
      </c>
      <c r="O340" s="7">
        <v>5.1459999999999999</v>
      </c>
    </row>
    <row r="341" spans="1:15" x14ac:dyDescent="0.25">
      <c r="A341" s="5" t="s">
        <v>353</v>
      </c>
      <c r="B341" s="5">
        <v>82</v>
      </c>
      <c r="C341" s="5" t="s">
        <v>2</v>
      </c>
      <c r="D341" s="6">
        <v>112</v>
      </c>
      <c r="E341" s="7">
        <v>22.324000000000002</v>
      </c>
      <c r="F341" s="7">
        <v>5.8360000000000003</v>
      </c>
      <c r="G341" s="7">
        <v>5.407</v>
      </c>
      <c r="H341" s="7">
        <v>5.8090000000000002</v>
      </c>
      <c r="I341" s="7">
        <v>4.8920000000000003</v>
      </c>
      <c r="J341" s="7">
        <v>5.0129999999999999</v>
      </c>
      <c r="K341" s="7">
        <v>4.2030000000000003</v>
      </c>
      <c r="L341" s="7">
        <v>5.7169999999999996</v>
      </c>
      <c r="M341" s="7">
        <v>5.2240000000000002</v>
      </c>
      <c r="N341" s="7">
        <v>4.7789999999999999</v>
      </c>
      <c r="O341" s="7">
        <v>4.9169999999999998</v>
      </c>
    </row>
    <row r="342" spans="1:15" x14ac:dyDescent="0.25">
      <c r="A342" s="5" t="s">
        <v>354</v>
      </c>
      <c r="B342" s="5">
        <v>68</v>
      </c>
      <c r="C342" s="5" t="s">
        <v>2</v>
      </c>
      <c r="D342" s="6">
        <v>112</v>
      </c>
      <c r="E342" s="7">
        <v>22.411999999999999</v>
      </c>
      <c r="F342" s="7">
        <v>5.3040000000000003</v>
      </c>
      <c r="G342" s="7">
        <v>5.1970000000000001</v>
      </c>
      <c r="H342" s="7">
        <v>4.3099999999999996</v>
      </c>
      <c r="I342" s="7">
        <v>6.3330000000000002</v>
      </c>
      <c r="J342" s="7">
        <v>5.5449999999999999</v>
      </c>
      <c r="K342" s="7">
        <v>4.0330000000000004</v>
      </c>
      <c r="L342" s="7">
        <v>5.3070000000000004</v>
      </c>
      <c r="M342" s="7">
        <v>5.2489999999999997</v>
      </c>
      <c r="N342" s="7">
        <v>4.8120000000000003</v>
      </c>
      <c r="O342" s="7">
        <v>4.9459999999999997</v>
      </c>
    </row>
    <row r="343" spans="1:15" x14ac:dyDescent="0.25">
      <c r="A343" s="5" t="s">
        <v>355</v>
      </c>
      <c r="B343" s="5">
        <v>70</v>
      </c>
      <c r="C343" s="5" t="s">
        <v>3</v>
      </c>
      <c r="D343" s="6">
        <v>118</v>
      </c>
      <c r="E343" s="7">
        <v>23.608000000000001</v>
      </c>
      <c r="F343" s="7">
        <v>6.1550000000000002</v>
      </c>
      <c r="G343" s="7">
        <v>4.8499999999999996</v>
      </c>
      <c r="H343" s="7">
        <v>5.7530000000000001</v>
      </c>
      <c r="I343" s="7">
        <v>5.319</v>
      </c>
      <c r="J343" s="7">
        <v>4.133</v>
      </c>
      <c r="K343" s="7">
        <v>5.0170000000000003</v>
      </c>
      <c r="L343" s="7">
        <v>6.0629999999999997</v>
      </c>
      <c r="M343" s="7">
        <v>5.4770000000000003</v>
      </c>
      <c r="N343" s="7">
        <v>4.8230000000000004</v>
      </c>
      <c r="O343" s="7">
        <v>4.7510000000000003</v>
      </c>
    </row>
    <row r="344" spans="1:15" x14ac:dyDescent="0.25">
      <c r="A344" s="5" t="s">
        <v>356</v>
      </c>
      <c r="B344" s="5">
        <v>53</v>
      </c>
      <c r="C344" s="5" t="s">
        <v>2</v>
      </c>
      <c r="D344" s="6">
        <v>92</v>
      </c>
      <c r="E344" s="7">
        <v>18.067</v>
      </c>
      <c r="F344" s="7">
        <v>3.4279999999999999</v>
      </c>
      <c r="G344" s="7">
        <v>4.7619999999999996</v>
      </c>
      <c r="H344" s="7">
        <v>5.8159999999999998</v>
      </c>
      <c r="I344" s="7">
        <v>5.851</v>
      </c>
      <c r="J344" s="7">
        <v>5.298</v>
      </c>
      <c r="K344" s="7">
        <v>5.4089999999999998</v>
      </c>
      <c r="L344" s="7">
        <v>4.5380000000000003</v>
      </c>
      <c r="M344" s="7">
        <v>5.3070000000000004</v>
      </c>
      <c r="N344" s="7">
        <v>5.8070000000000004</v>
      </c>
      <c r="O344" s="7">
        <v>5.181</v>
      </c>
    </row>
    <row r="345" spans="1:15" x14ac:dyDescent="0.25">
      <c r="A345" s="5" t="s">
        <v>357</v>
      </c>
      <c r="B345" s="5">
        <v>43</v>
      </c>
      <c r="C345" s="5" t="s">
        <v>2</v>
      </c>
      <c r="D345" s="6">
        <v>122</v>
      </c>
      <c r="E345" s="7">
        <v>24.428000000000001</v>
      </c>
      <c r="F345" s="7">
        <v>6.6360000000000001</v>
      </c>
      <c r="G345" s="7">
        <v>5.117</v>
      </c>
      <c r="H345" s="7">
        <v>4.976</v>
      </c>
      <c r="I345" s="7">
        <v>4.7869999999999999</v>
      </c>
      <c r="J345" s="7">
        <v>3.2320000000000002</v>
      </c>
      <c r="K345" s="7">
        <v>5.383</v>
      </c>
      <c r="L345" s="7">
        <v>4.7069999999999999</v>
      </c>
      <c r="M345" s="7">
        <v>4.7750000000000004</v>
      </c>
      <c r="N345" s="7">
        <v>5.1440000000000001</v>
      </c>
      <c r="O345" s="7">
        <v>5.0599999999999996</v>
      </c>
    </row>
    <row r="346" spans="1:15" x14ac:dyDescent="0.25">
      <c r="A346" s="5" t="s">
        <v>358</v>
      </c>
      <c r="B346" s="5">
        <v>46</v>
      </c>
      <c r="C346" s="5" t="s">
        <v>2</v>
      </c>
      <c r="D346" s="6">
        <v>109</v>
      </c>
      <c r="E346" s="7">
        <v>22.297999999999998</v>
      </c>
      <c r="F346" s="7">
        <v>5.5549999999999997</v>
      </c>
      <c r="G346" s="7">
        <v>5.7679999999999998</v>
      </c>
      <c r="H346" s="7">
        <v>4.7050000000000001</v>
      </c>
      <c r="I346" s="7">
        <v>5.5119999999999996</v>
      </c>
      <c r="J346" s="7">
        <v>4.2889999999999997</v>
      </c>
      <c r="K346" s="7">
        <v>4.7590000000000003</v>
      </c>
      <c r="L346" s="7">
        <v>4.2779999999999996</v>
      </c>
      <c r="M346" s="7">
        <v>5.1680000000000001</v>
      </c>
      <c r="N346" s="7">
        <v>4.9649999999999999</v>
      </c>
      <c r="O346" s="7">
        <v>5.1779999999999999</v>
      </c>
    </row>
    <row r="347" spans="1:15" x14ac:dyDescent="0.25">
      <c r="A347" s="5" t="s">
        <v>359</v>
      </c>
      <c r="B347" s="5">
        <v>38</v>
      </c>
      <c r="C347" s="5" t="s">
        <v>2</v>
      </c>
      <c r="D347" s="6">
        <v>96</v>
      </c>
      <c r="E347" s="7">
        <v>19.359000000000002</v>
      </c>
      <c r="F347" s="7">
        <v>4.415</v>
      </c>
      <c r="G347" s="7">
        <v>5.6959999999999997</v>
      </c>
      <c r="H347" s="7">
        <v>4.6319999999999997</v>
      </c>
      <c r="I347" s="7">
        <v>6.2130000000000001</v>
      </c>
      <c r="J347" s="7">
        <v>4.2240000000000002</v>
      </c>
      <c r="K347" s="7">
        <v>4.4489999999999998</v>
      </c>
      <c r="L347" s="7">
        <v>4.702</v>
      </c>
      <c r="M347" s="7">
        <v>4.8010000000000002</v>
      </c>
      <c r="N347" s="7">
        <v>4.3090000000000002</v>
      </c>
      <c r="O347" s="7">
        <v>5.17</v>
      </c>
    </row>
    <row r="348" spans="1:15" x14ac:dyDescent="0.25">
      <c r="A348" s="5" t="s">
        <v>360</v>
      </c>
      <c r="B348" s="5">
        <v>28</v>
      </c>
      <c r="C348" s="5" t="s">
        <v>2</v>
      </c>
      <c r="D348" s="6">
        <v>102</v>
      </c>
      <c r="E348" s="7">
        <v>20.411000000000001</v>
      </c>
      <c r="F348" s="7">
        <v>4.49</v>
      </c>
      <c r="G348" s="7">
        <v>5.2009999999999996</v>
      </c>
      <c r="H348" s="7">
        <v>4.7329999999999997</v>
      </c>
      <c r="I348" s="7">
        <v>3.8519999999999999</v>
      </c>
      <c r="J348" s="7">
        <v>4.9409999999999998</v>
      </c>
      <c r="K348" s="7">
        <v>4.7880000000000003</v>
      </c>
      <c r="L348" s="7">
        <v>4.7930000000000001</v>
      </c>
      <c r="M348" s="7">
        <v>5.1520000000000001</v>
      </c>
      <c r="N348" s="7">
        <v>4.0979999999999999</v>
      </c>
      <c r="O348" s="7">
        <v>5.3079999999999998</v>
      </c>
    </row>
    <row r="349" spans="1:15" x14ac:dyDescent="0.25">
      <c r="A349" s="5" t="s">
        <v>361</v>
      </c>
      <c r="B349" s="5">
        <v>57</v>
      </c>
      <c r="C349" s="5" t="s">
        <v>3</v>
      </c>
      <c r="D349" s="6">
        <v>107</v>
      </c>
      <c r="E349" s="7">
        <v>21.341999999999999</v>
      </c>
      <c r="F349" s="7">
        <v>5.4930000000000003</v>
      </c>
      <c r="G349" s="7">
        <v>5.9480000000000004</v>
      </c>
      <c r="H349" s="7">
        <v>6.1559999999999997</v>
      </c>
      <c r="I349" s="7">
        <v>5.6040000000000001</v>
      </c>
      <c r="J349" s="7">
        <v>5.6219999999999999</v>
      </c>
      <c r="K349" s="7">
        <v>4.8330000000000002</v>
      </c>
      <c r="L349" s="7">
        <v>5.2</v>
      </c>
      <c r="M349" s="7">
        <v>4.42</v>
      </c>
      <c r="N349" s="7">
        <v>5.4770000000000003</v>
      </c>
      <c r="O349" s="7">
        <v>5.25</v>
      </c>
    </row>
    <row r="350" spans="1:15" x14ac:dyDescent="0.25">
      <c r="A350" s="5" t="s">
        <v>362</v>
      </c>
      <c r="B350" s="5">
        <v>28</v>
      </c>
      <c r="C350" s="5" t="s">
        <v>2</v>
      </c>
      <c r="D350" s="6">
        <v>108</v>
      </c>
      <c r="E350" s="7">
        <v>21.718</v>
      </c>
      <c r="F350" s="7">
        <v>4.3490000000000002</v>
      </c>
      <c r="G350" s="7">
        <v>3.7930000000000001</v>
      </c>
      <c r="H350" s="7">
        <v>5.7960000000000003</v>
      </c>
      <c r="I350" s="7">
        <v>5.68</v>
      </c>
      <c r="J350" s="7">
        <v>4.7729999999999997</v>
      </c>
      <c r="K350" s="7">
        <v>6.2709999999999999</v>
      </c>
      <c r="L350" s="7">
        <v>4.9400000000000004</v>
      </c>
      <c r="M350" s="7">
        <v>5.2789999999999999</v>
      </c>
      <c r="N350" s="7">
        <v>4.8369999999999997</v>
      </c>
      <c r="O350" s="7">
        <v>5.1070000000000002</v>
      </c>
    </row>
    <row r="351" spans="1:15" x14ac:dyDescent="0.25">
      <c r="A351" s="5" t="s">
        <v>363</v>
      </c>
      <c r="B351" s="5">
        <v>53</v>
      </c>
      <c r="C351" s="5" t="s">
        <v>2</v>
      </c>
      <c r="D351" s="6">
        <v>112</v>
      </c>
      <c r="E351" s="7">
        <v>22.667000000000002</v>
      </c>
      <c r="F351" s="7">
        <v>5.9269999999999996</v>
      </c>
      <c r="G351" s="7">
        <v>5.5789999999999997</v>
      </c>
      <c r="H351" s="7">
        <v>4.3250000000000002</v>
      </c>
      <c r="I351" s="7">
        <v>4.51</v>
      </c>
      <c r="J351" s="7">
        <v>4.2729999999999997</v>
      </c>
      <c r="K351" s="7">
        <v>4.7910000000000004</v>
      </c>
      <c r="L351" s="7">
        <v>5.125</v>
      </c>
      <c r="M351" s="7">
        <v>4.2190000000000003</v>
      </c>
      <c r="N351" s="7">
        <v>4.7229999999999999</v>
      </c>
      <c r="O351" s="7">
        <v>4.8449999999999998</v>
      </c>
    </row>
    <row r="352" spans="1:15" x14ac:dyDescent="0.25">
      <c r="A352" s="5" t="s">
        <v>364</v>
      </c>
      <c r="B352" s="5">
        <v>76</v>
      </c>
      <c r="C352" s="5" t="s">
        <v>2</v>
      </c>
      <c r="D352" s="6">
        <v>115</v>
      </c>
      <c r="E352" s="7">
        <v>23.216999999999999</v>
      </c>
      <c r="F352" s="7">
        <v>4.8120000000000003</v>
      </c>
      <c r="G352" s="7">
        <v>3.472</v>
      </c>
      <c r="H352" s="7">
        <v>3.52</v>
      </c>
      <c r="I352" s="7">
        <v>4.1459999999999999</v>
      </c>
      <c r="J352" s="7">
        <v>5.3929999999999998</v>
      </c>
      <c r="K352" s="7">
        <v>4.43</v>
      </c>
      <c r="L352" s="7">
        <v>4.2569999999999997</v>
      </c>
      <c r="M352" s="7">
        <v>4.9660000000000002</v>
      </c>
      <c r="N352" s="7">
        <v>4.702</v>
      </c>
      <c r="O352" s="7">
        <v>4.8479999999999999</v>
      </c>
    </row>
    <row r="353" spans="1:15" x14ac:dyDescent="0.25">
      <c r="A353" s="5" t="s">
        <v>365</v>
      </c>
      <c r="B353" s="5">
        <v>56</v>
      </c>
      <c r="C353" s="5" t="s">
        <v>2</v>
      </c>
      <c r="D353" s="6">
        <v>110</v>
      </c>
      <c r="E353" s="7">
        <v>21.882000000000001</v>
      </c>
      <c r="F353" s="7">
        <v>5.3209999999999997</v>
      </c>
      <c r="G353" s="7">
        <v>4.7140000000000004</v>
      </c>
      <c r="H353" s="7">
        <v>6.4790000000000001</v>
      </c>
      <c r="I353" s="7">
        <v>4.0730000000000004</v>
      </c>
      <c r="J353" s="7">
        <v>5.0170000000000003</v>
      </c>
      <c r="K353" s="7">
        <v>5.0549999999999997</v>
      </c>
      <c r="L353" s="7">
        <v>4.4390000000000001</v>
      </c>
      <c r="M353" s="7">
        <v>5.4749999999999996</v>
      </c>
      <c r="N353" s="7">
        <v>5.2190000000000003</v>
      </c>
      <c r="O353" s="7">
        <v>4.7539999999999996</v>
      </c>
    </row>
    <row r="354" spans="1:15" x14ac:dyDescent="0.25">
      <c r="A354" s="5" t="s">
        <v>366</v>
      </c>
      <c r="B354" s="5">
        <v>71</v>
      </c>
      <c r="C354" s="5" t="s">
        <v>2</v>
      </c>
      <c r="D354" s="6">
        <v>121</v>
      </c>
      <c r="E354" s="7">
        <v>24.315999999999999</v>
      </c>
      <c r="F354" s="7">
        <v>6.42</v>
      </c>
      <c r="G354" s="7">
        <v>4.4560000000000004</v>
      </c>
      <c r="H354" s="7">
        <v>5.6239999999999997</v>
      </c>
      <c r="I354" s="7">
        <v>6.1680000000000001</v>
      </c>
      <c r="J354" s="7">
        <v>4.55</v>
      </c>
      <c r="K354" s="7">
        <v>5.7220000000000004</v>
      </c>
      <c r="L354" s="7">
        <v>4.8499999999999996</v>
      </c>
      <c r="M354" s="7">
        <v>4.5119999999999996</v>
      </c>
      <c r="N354" s="7">
        <v>4.8899999999999997</v>
      </c>
      <c r="O354" s="7">
        <v>5.13</v>
      </c>
    </row>
    <row r="355" spans="1:15" x14ac:dyDescent="0.25">
      <c r="A355" s="5" t="s">
        <v>367</v>
      </c>
      <c r="B355" s="5">
        <v>72</v>
      </c>
      <c r="C355" s="5" t="s">
        <v>3</v>
      </c>
      <c r="D355" s="6">
        <v>95</v>
      </c>
      <c r="E355" s="7">
        <v>19.170999999999999</v>
      </c>
      <c r="F355" s="7">
        <v>3.81</v>
      </c>
      <c r="G355" s="7">
        <v>5.38</v>
      </c>
      <c r="H355" s="7">
        <v>4.7329999999999997</v>
      </c>
      <c r="I355" s="7">
        <v>3.895</v>
      </c>
      <c r="J355" s="7">
        <v>5.92</v>
      </c>
      <c r="K355" s="7">
        <v>5.5490000000000004</v>
      </c>
      <c r="L355" s="7">
        <v>4.9409999999999998</v>
      </c>
      <c r="M355" s="7">
        <v>4.4039999999999999</v>
      </c>
      <c r="N355" s="7">
        <v>4.5389999999999997</v>
      </c>
      <c r="O355" s="7">
        <v>5.2169999999999996</v>
      </c>
    </row>
    <row r="356" spans="1:15" x14ac:dyDescent="0.25">
      <c r="A356" s="5" t="s">
        <v>368</v>
      </c>
      <c r="B356" s="5">
        <v>41</v>
      </c>
      <c r="C356" s="5" t="s">
        <v>2</v>
      </c>
      <c r="D356" s="6">
        <v>106</v>
      </c>
      <c r="E356" s="7">
        <v>20.841000000000001</v>
      </c>
      <c r="F356" s="7">
        <v>4.0720000000000001</v>
      </c>
      <c r="G356" s="7">
        <v>2.9</v>
      </c>
      <c r="H356" s="7">
        <v>6.1079999999999997</v>
      </c>
      <c r="I356" s="7">
        <v>6.0490000000000004</v>
      </c>
      <c r="J356" s="7">
        <v>6.2830000000000004</v>
      </c>
      <c r="K356" s="7">
        <v>5.194</v>
      </c>
      <c r="L356" s="7">
        <v>4.8289999999999997</v>
      </c>
      <c r="M356" s="7">
        <v>5.4320000000000004</v>
      </c>
      <c r="N356" s="7">
        <v>4.8410000000000002</v>
      </c>
      <c r="O356" s="7">
        <v>5.2709999999999999</v>
      </c>
    </row>
    <row r="357" spans="1:15" x14ac:dyDescent="0.25">
      <c r="A357" s="5" t="s">
        <v>369</v>
      </c>
      <c r="B357" s="5">
        <v>39</v>
      </c>
      <c r="C357" s="5" t="s">
        <v>3</v>
      </c>
      <c r="D357" s="6">
        <v>120</v>
      </c>
      <c r="E357" s="7">
        <v>24.06</v>
      </c>
      <c r="F357" s="7">
        <v>6.31</v>
      </c>
      <c r="G357" s="7">
        <v>4.2939999999999996</v>
      </c>
      <c r="H357" s="7">
        <v>4.859</v>
      </c>
      <c r="I357" s="7">
        <v>6.0469999999999997</v>
      </c>
      <c r="J357" s="7">
        <v>4.4359999999999999</v>
      </c>
      <c r="K357" s="7">
        <v>4.9560000000000004</v>
      </c>
      <c r="L357" s="7">
        <v>5.7510000000000003</v>
      </c>
      <c r="M357" s="7">
        <v>5.09</v>
      </c>
      <c r="N357" s="7">
        <v>4.83</v>
      </c>
      <c r="O357" s="7">
        <v>4.9210000000000003</v>
      </c>
    </row>
    <row r="358" spans="1:15" x14ac:dyDescent="0.25">
      <c r="A358" s="5" t="s">
        <v>370</v>
      </c>
      <c r="B358" s="5">
        <v>73</v>
      </c>
      <c r="C358" s="5" t="s">
        <v>3</v>
      </c>
      <c r="D358" s="6">
        <v>119</v>
      </c>
      <c r="E358" s="7">
        <v>23.03</v>
      </c>
      <c r="F358" s="7">
        <v>5.1150000000000002</v>
      </c>
      <c r="G358" s="7">
        <v>3.5230000000000001</v>
      </c>
      <c r="H358" s="7">
        <v>4.76</v>
      </c>
      <c r="I358" s="7">
        <v>4.3019999999999996</v>
      </c>
      <c r="J358" s="7">
        <v>4.782</v>
      </c>
      <c r="K358" s="7">
        <v>5.3179999999999996</v>
      </c>
      <c r="L358" s="7">
        <v>4.5640000000000001</v>
      </c>
      <c r="M358" s="7">
        <v>4.3209999999999997</v>
      </c>
      <c r="N358" s="7">
        <v>4.8159999999999998</v>
      </c>
      <c r="O358" s="7">
        <v>5.2380000000000004</v>
      </c>
    </row>
    <row r="359" spans="1:15" x14ac:dyDescent="0.25">
      <c r="A359" s="5" t="s">
        <v>371</v>
      </c>
      <c r="B359" s="5">
        <v>50</v>
      </c>
      <c r="C359" s="5" t="s">
        <v>3</v>
      </c>
      <c r="D359" s="6">
        <v>133</v>
      </c>
      <c r="E359" s="7">
        <v>26.771999999999998</v>
      </c>
      <c r="F359" s="7">
        <v>7.8280000000000003</v>
      </c>
      <c r="G359" s="7">
        <v>5.39</v>
      </c>
      <c r="H359" s="7">
        <v>6.6360000000000001</v>
      </c>
      <c r="I359" s="7">
        <v>4.6609999999999996</v>
      </c>
      <c r="J359" s="7">
        <v>5.1040000000000001</v>
      </c>
      <c r="K359" s="7">
        <v>4.2869999999999999</v>
      </c>
      <c r="L359" s="7">
        <v>4.7450000000000001</v>
      </c>
      <c r="M359" s="7">
        <v>5.5529999999999999</v>
      </c>
      <c r="N359" s="7">
        <v>5.0010000000000003</v>
      </c>
      <c r="O359" s="7">
        <v>4.6710000000000003</v>
      </c>
    </row>
    <row r="360" spans="1:15" x14ac:dyDescent="0.25">
      <c r="A360" s="5" t="s">
        <v>372</v>
      </c>
      <c r="B360" s="5">
        <v>53</v>
      </c>
      <c r="C360" s="5" t="s">
        <v>3</v>
      </c>
      <c r="D360" s="6">
        <v>107</v>
      </c>
      <c r="E360" s="7">
        <v>21.635000000000002</v>
      </c>
      <c r="F360" s="7">
        <v>5.274</v>
      </c>
      <c r="G360" s="7">
        <v>5.2149999999999999</v>
      </c>
      <c r="H360" s="7">
        <v>6.5049999999999999</v>
      </c>
      <c r="I360" s="7">
        <v>6.3680000000000003</v>
      </c>
      <c r="J360" s="7">
        <v>6.1619999999999999</v>
      </c>
      <c r="K360" s="7">
        <v>4.8120000000000003</v>
      </c>
      <c r="L360" s="7">
        <v>4.5279999999999996</v>
      </c>
      <c r="M360" s="7">
        <v>5.0830000000000002</v>
      </c>
      <c r="N360" s="7">
        <v>4.9660000000000002</v>
      </c>
      <c r="O360" s="7">
        <v>5.41</v>
      </c>
    </row>
    <row r="361" spans="1:15" x14ac:dyDescent="0.25">
      <c r="A361" s="5" t="s">
        <v>373</v>
      </c>
      <c r="B361" s="5">
        <v>37</v>
      </c>
      <c r="C361" s="5" t="s">
        <v>2</v>
      </c>
      <c r="D361" s="6">
        <v>110</v>
      </c>
      <c r="E361" s="7">
        <v>22.265999999999998</v>
      </c>
      <c r="F361" s="7">
        <v>5.1159999999999997</v>
      </c>
      <c r="G361" s="7">
        <v>4.8369999999999997</v>
      </c>
      <c r="H361" s="7">
        <v>5.0579999999999998</v>
      </c>
      <c r="I361" s="7">
        <v>5.2169999999999996</v>
      </c>
      <c r="J361" s="7">
        <v>4.625</v>
      </c>
      <c r="K361" s="7">
        <v>5.3</v>
      </c>
      <c r="L361" s="7">
        <v>4.7990000000000004</v>
      </c>
      <c r="M361" s="7">
        <v>5.0599999999999996</v>
      </c>
      <c r="N361" s="7">
        <v>5.17</v>
      </c>
      <c r="O361" s="7">
        <v>5.0060000000000002</v>
      </c>
    </row>
    <row r="362" spans="1:15" x14ac:dyDescent="0.25">
      <c r="A362" s="5" t="s">
        <v>374</v>
      </c>
      <c r="B362" s="5">
        <v>79</v>
      </c>
      <c r="C362" s="5" t="s">
        <v>3</v>
      </c>
      <c r="D362" s="6">
        <v>98</v>
      </c>
      <c r="E362" s="7">
        <v>19.459</v>
      </c>
      <c r="F362" s="7">
        <v>3.93</v>
      </c>
      <c r="G362" s="7">
        <v>4.8120000000000003</v>
      </c>
      <c r="H362" s="7">
        <v>6.0060000000000002</v>
      </c>
      <c r="I362" s="7">
        <v>4.8920000000000003</v>
      </c>
      <c r="J362" s="7">
        <v>5.1870000000000003</v>
      </c>
      <c r="K362" s="7">
        <v>6.5860000000000003</v>
      </c>
      <c r="L362" s="7">
        <v>4.7759999999999998</v>
      </c>
      <c r="M362" s="7">
        <v>5.4749999999999996</v>
      </c>
      <c r="N362" s="7">
        <v>4.8650000000000002</v>
      </c>
      <c r="O362" s="7">
        <v>4.992</v>
      </c>
    </row>
    <row r="363" spans="1:15" x14ac:dyDescent="0.25">
      <c r="A363" s="5" t="s">
        <v>375</v>
      </c>
      <c r="B363" s="5">
        <v>43</v>
      </c>
      <c r="C363" s="5" t="s">
        <v>3</v>
      </c>
      <c r="D363" s="6">
        <v>93</v>
      </c>
      <c r="E363" s="7">
        <v>18.71</v>
      </c>
      <c r="F363" s="7">
        <v>4.29</v>
      </c>
      <c r="G363" s="7">
        <v>6.1109999999999998</v>
      </c>
      <c r="H363" s="7">
        <v>6.569</v>
      </c>
      <c r="I363" s="7">
        <v>5.0209999999999999</v>
      </c>
      <c r="J363" s="7">
        <v>4.556</v>
      </c>
      <c r="K363" s="7">
        <v>4.4189999999999996</v>
      </c>
      <c r="L363" s="7">
        <v>5.0759999999999996</v>
      </c>
      <c r="M363" s="7">
        <v>5.5919999999999996</v>
      </c>
      <c r="N363" s="7">
        <v>5.01</v>
      </c>
      <c r="O363" s="7">
        <v>4.99</v>
      </c>
    </row>
    <row r="364" spans="1:15" x14ac:dyDescent="0.25">
      <c r="A364" s="5" t="s">
        <v>376</v>
      </c>
      <c r="B364" s="5">
        <v>83</v>
      </c>
      <c r="C364" s="5" t="s">
        <v>2</v>
      </c>
      <c r="D364" s="6">
        <v>89</v>
      </c>
      <c r="E364" s="7">
        <v>18.306999999999999</v>
      </c>
      <c r="F364" s="7">
        <v>3.4870000000000001</v>
      </c>
      <c r="G364" s="7">
        <v>4.9640000000000004</v>
      </c>
      <c r="H364" s="7">
        <v>5.0430000000000001</v>
      </c>
      <c r="I364" s="7">
        <v>5.1769999999999996</v>
      </c>
      <c r="J364" s="7">
        <v>4.8170000000000002</v>
      </c>
      <c r="K364" s="7">
        <v>4.8680000000000003</v>
      </c>
      <c r="L364" s="7">
        <v>4.3129999999999997</v>
      </c>
      <c r="M364" s="7">
        <v>4.2809999999999997</v>
      </c>
      <c r="N364" s="7">
        <v>4.6589999999999998</v>
      </c>
      <c r="O364" s="7">
        <v>5.0309999999999997</v>
      </c>
    </row>
    <row r="365" spans="1:15" x14ac:dyDescent="0.25">
      <c r="A365" s="5" t="s">
        <v>377</v>
      </c>
      <c r="B365" s="5">
        <v>57</v>
      </c>
      <c r="C365" s="5" t="s">
        <v>2</v>
      </c>
      <c r="D365" s="6">
        <v>94</v>
      </c>
      <c r="E365" s="7">
        <v>19.303999999999998</v>
      </c>
      <c r="F365" s="7">
        <v>3.863</v>
      </c>
      <c r="G365" s="7">
        <v>5.0720000000000001</v>
      </c>
      <c r="H365" s="7">
        <v>4.7380000000000004</v>
      </c>
      <c r="I365" s="7">
        <v>4.843</v>
      </c>
      <c r="J365" s="7">
        <v>5.9109999999999996</v>
      </c>
      <c r="K365" s="7">
        <v>3.4510000000000001</v>
      </c>
      <c r="L365" s="7">
        <v>4.843</v>
      </c>
      <c r="M365" s="7">
        <v>4.9000000000000004</v>
      </c>
      <c r="N365" s="7">
        <v>4.8230000000000004</v>
      </c>
      <c r="O365" s="7">
        <v>5.0410000000000004</v>
      </c>
    </row>
    <row r="366" spans="1:15" x14ac:dyDescent="0.25">
      <c r="A366" s="5" t="s">
        <v>378</v>
      </c>
      <c r="B366" s="5">
        <v>34</v>
      </c>
      <c r="C366" s="5" t="s">
        <v>2</v>
      </c>
      <c r="D366" s="6">
        <v>117</v>
      </c>
      <c r="E366" s="7">
        <v>23.39</v>
      </c>
      <c r="F366" s="7">
        <v>6.2720000000000002</v>
      </c>
      <c r="G366" s="7">
        <v>4.3769999999999998</v>
      </c>
      <c r="H366" s="7">
        <v>5.5789999999999997</v>
      </c>
      <c r="I366" s="7">
        <v>4.2759999999999998</v>
      </c>
      <c r="J366" s="7">
        <v>4.3380000000000001</v>
      </c>
      <c r="K366" s="7">
        <v>4.9539999999999997</v>
      </c>
      <c r="L366" s="7">
        <v>5.4089999999999998</v>
      </c>
      <c r="M366" s="7">
        <v>4.75</v>
      </c>
      <c r="N366" s="7">
        <v>4.9379999999999997</v>
      </c>
      <c r="O366" s="7">
        <v>5.1100000000000003</v>
      </c>
    </row>
    <row r="367" spans="1:15" x14ac:dyDescent="0.25">
      <c r="A367" s="5" t="s">
        <v>379</v>
      </c>
      <c r="B367" s="5">
        <v>63</v>
      </c>
      <c r="C367" s="5" t="s">
        <v>3</v>
      </c>
      <c r="D367" s="6">
        <v>93</v>
      </c>
      <c r="E367" s="7">
        <v>18.649999999999999</v>
      </c>
      <c r="F367" s="7">
        <v>3.8559999999999999</v>
      </c>
      <c r="G367" s="7">
        <v>5.0990000000000002</v>
      </c>
      <c r="H367" s="7">
        <v>4.9219999999999997</v>
      </c>
      <c r="I367" s="7">
        <v>4.056</v>
      </c>
      <c r="J367" s="7">
        <v>4.2309999999999999</v>
      </c>
      <c r="K367" s="7">
        <v>4.3540000000000001</v>
      </c>
      <c r="L367" s="7">
        <v>5.3869999999999996</v>
      </c>
      <c r="M367" s="7">
        <v>4.9459999999999997</v>
      </c>
      <c r="N367" s="7">
        <v>4.6760000000000002</v>
      </c>
      <c r="O367" s="7">
        <v>5.24</v>
      </c>
    </row>
    <row r="368" spans="1:15" x14ac:dyDescent="0.25">
      <c r="A368" s="5" t="s">
        <v>380</v>
      </c>
      <c r="B368" s="5">
        <v>78</v>
      </c>
      <c r="C368" s="5" t="s">
        <v>2</v>
      </c>
      <c r="D368" s="6">
        <v>100</v>
      </c>
      <c r="E368" s="7">
        <v>20.396000000000001</v>
      </c>
      <c r="F368" s="7">
        <v>4.4740000000000002</v>
      </c>
      <c r="G368" s="7">
        <v>4.8239999999999998</v>
      </c>
      <c r="H368" s="7">
        <v>5.3470000000000004</v>
      </c>
      <c r="I368" s="7">
        <v>3.863</v>
      </c>
      <c r="J368" s="7">
        <v>5.0529999999999999</v>
      </c>
      <c r="K368" s="7">
        <v>5.6150000000000002</v>
      </c>
      <c r="L368" s="7">
        <v>4.3109999999999999</v>
      </c>
      <c r="M368" s="7">
        <v>4.6029999999999998</v>
      </c>
      <c r="N368" s="7">
        <v>5.093</v>
      </c>
      <c r="O368" s="7">
        <v>5.15</v>
      </c>
    </row>
    <row r="369" spans="1:15" x14ac:dyDescent="0.25">
      <c r="A369" s="5" t="s">
        <v>381</v>
      </c>
      <c r="B369" s="5">
        <v>60</v>
      </c>
      <c r="C369" s="5" t="s">
        <v>2</v>
      </c>
      <c r="D369" s="6">
        <v>123</v>
      </c>
      <c r="E369" s="7">
        <v>24.065000000000001</v>
      </c>
      <c r="F369" s="7">
        <v>6.5780000000000003</v>
      </c>
      <c r="G369" s="7">
        <v>4.8339999999999996</v>
      </c>
      <c r="H369" s="7">
        <v>6.3049999999999997</v>
      </c>
      <c r="I369" s="7">
        <v>3.327</v>
      </c>
      <c r="J369" s="7">
        <v>3.79</v>
      </c>
      <c r="K369" s="7">
        <v>5.2949999999999999</v>
      </c>
      <c r="L369" s="7">
        <v>4.5469999999999997</v>
      </c>
      <c r="M369" s="7">
        <v>4.133</v>
      </c>
      <c r="N369" s="7">
        <v>4.9580000000000002</v>
      </c>
      <c r="O369" s="7">
        <v>4.8520000000000003</v>
      </c>
    </row>
    <row r="370" spans="1:15" x14ac:dyDescent="0.25">
      <c r="A370" s="5" t="s">
        <v>382</v>
      </c>
      <c r="B370" s="5">
        <v>59</v>
      </c>
      <c r="C370" s="5" t="s">
        <v>3</v>
      </c>
      <c r="D370" s="6">
        <v>115</v>
      </c>
      <c r="E370" s="7">
        <v>22.885000000000002</v>
      </c>
      <c r="F370" s="7">
        <v>5.5789999999999997</v>
      </c>
      <c r="G370" s="7">
        <v>4.6349999999999998</v>
      </c>
      <c r="H370" s="7">
        <v>5.8959999999999999</v>
      </c>
      <c r="I370" s="7">
        <v>5.1449999999999996</v>
      </c>
      <c r="J370" s="7">
        <v>4.62</v>
      </c>
      <c r="K370" s="7">
        <v>3.7570000000000001</v>
      </c>
      <c r="L370" s="7">
        <v>4.7279999999999998</v>
      </c>
      <c r="M370" s="7">
        <v>4.8869999999999996</v>
      </c>
      <c r="N370" s="7">
        <v>5.7389999999999999</v>
      </c>
      <c r="O370" s="7">
        <v>5.1719999999999997</v>
      </c>
    </row>
    <row r="371" spans="1:15" x14ac:dyDescent="0.25">
      <c r="A371" s="5" t="s">
        <v>383</v>
      </c>
      <c r="B371" s="5">
        <v>42</v>
      </c>
      <c r="C371" s="5" t="s">
        <v>2</v>
      </c>
      <c r="D371" s="6">
        <v>112</v>
      </c>
      <c r="E371" s="7">
        <v>22.876000000000001</v>
      </c>
      <c r="F371" s="7">
        <v>5.5789999999999997</v>
      </c>
      <c r="G371" s="7">
        <v>4.8090000000000002</v>
      </c>
      <c r="H371" s="7">
        <v>4.53</v>
      </c>
      <c r="I371" s="7">
        <v>5.7690000000000001</v>
      </c>
      <c r="J371" s="7">
        <v>4.6820000000000004</v>
      </c>
      <c r="K371" s="7">
        <v>4.4279999999999999</v>
      </c>
      <c r="L371" s="7">
        <v>5.0839999999999996</v>
      </c>
      <c r="M371" s="7">
        <v>5.6829999999999998</v>
      </c>
      <c r="N371" s="7">
        <v>5.2450000000000001</v>
      </c>
      <c r="O371" s="7">
        <v>4.7539999999999996</v>
      </c>
    </row>
    <row r="372" spans="1:15" x14ac:dyDescent="0.25">
      <c r="A372" s="5" t="s">
        <v>384</v>
      </c>
      <c r="B372" s="5">
        <v>56</v>
      </c>
      <c r="C372" s="5" t="s">
        <v>2</v>
      </c>
      <c r="D372" s="6">
        <v>95</v>
      </c>
      <c r="E372" s="7">
        <v>19.347000000000001</v>
      </c>
      <c r="F372" s="7">
        <v>3.577</v>
      </c>
      <c r="G372" s="7">
        <v>4.9050000000000002</v>
      </c>
      <c r="H372" s="7">
        <v>2.5299999999999998</v>
      </c>
      <c r="I372" s="7">
        <v>4.58</v>
      </c>
      <c r="J372" s="7">
        <v>4.6479999999999997</v>
      </c>
      <c r="K372" s="7">
        <v>6.0369999999999999</v>
      </c>
      <c r="L372" s="7">
        <v>4.6059999999999999</v>
      </c>
      <c r="M372" s="7">
        <v>5.8209999999999997</v>
      </c>
      <c r="N372" s="7">
        <v>4.6050000000000004</v>
      </c>
      <c r="O372" s="7">
        <v>5.13</v>
      </c>
    </row>
    <row r="373" spans="1:15" x14ac:dyDescent="0.25">
      <c r="A373" s="5" t="s">
        <v>385</v>
      </c>
      <c r="B373" s="5">
        <v>52</v>
      </c>
      <c r="C373" s="5" t="s">
        <v>2</v>
      </c>
      <c r="D373" s="6">
        <v>98</v>
      </c>
      <c r="E373" s="7">
        <v>19.731999999999999</v>
      </c>
      <c r="F373" s="7">
        <v>4.8099999999999996</v>
      </c>
      <c r="G373" s="7">
        <v>6.2119999999999997</v>
      </c>
      <c r="H373" s="7">
        <v>4.46</v>
      </c>
      <c r="I373" s="7">
        <v>4.3499999999999996</v>
      </c>
      <c r="J373" s="7">
        <v>5.31</v>
      </c>
      <c r="K373" s="7">
        <v>4.851</v>
      </c>
      <c r="L373" s="7">
        <v>5.0330000000000004</v>
      </c>
      <c r="M373" s="7">
        <v>5.3049999999999997</v>
      </c>
      <c r="N373" s="7">
        <v>5.1310000000000002</v>
      </c>
      <c r="O373" s="7">
        <v>5.0709999999999997</v>
      </c>
    </row>
    <row r="374" spans="1:15" x14ac:dyDescent="0.25">
      <c r="A374" s="5" t="s">
        <v>386</v>
      </c>
      <c r="B374" s="5">
        <v>20</v>
      </c>
      <c r="C374" s="5" t="s">
        <v>2</v>
      </c>
      <c r="D374" s="6">
        <v>109</v>
      </c>
      <c r="E374" s="7">
        <v>21.263999999999999</v>
      </c>
      <c r="F374" s="7">
        <v>5.1859999999999999</v>
      </c>
      <c r="G374" s="7">
        <v>4.5060000000000002</v>
      </c>
      <c r="H374" s="7">
        <v>5.0919999999999996</v>
      </c>
      <c r="I374" s="7">
        <v>4.8639999999999999</v>
      </c>
      <c r="J374" s="7">
        <v>3.8159999999999998</v>
      </c>
      <c r="K374" s="7">
        <v>5.0579999999999998</v>
      </c>
      <c r="L374" s="7">
        <v>4.5359999999999996</v>
      </c>
      <c r="M374" s="7">
        <v>4.2880000000000003</v>
      </c>
      <c r="N374" s="7">
        <v>4.8860000000000001</v>
      </c>
      <c r="O374" s="7">
        <v>5.3019999999999996</v>
      </c>
    </row>
    <row r="375" spans="1:15" x14ac:dyDescent="0.25">
      <c r="A375" s="5" t="s">
        <v>387</v>
      </c>
      <c r="B375" s="5">
        <v>61</v>
      </c>
      <c r="C375" s="5" t="s">
        <v>3</v>
      </c>
      <c r="D375" s="6">
        <v>115</v>
      </c>
      <c r="E375" s="7">
        <v>22.981999999999999</v>
      </c>
      <c r="F375" s="7">
        <v>6.484</v>
      </c>
      <c r="G375" s="7">
        <v>5.8920000000000003</v>
      </c>
      <c r="H375" s="7">
        <v>4.6580000000000004</v>
      </c>
      <c r="I375" s="7">
        <v>5.1829999999999998</v>
      </c>
      <c r="J375" s="7">
        <v>4.7320000000000002</v>
      </c>
      <c r="K375" s="7">
        <v>5.6660000000000004</v>
      </c>
      <c r="L375" s="7">
        <v>5.5049999999999999</v>
      </c>
      <c r="M375" s="7">
        <v>4.38</v>
      </c>
      <c r="N375" s="7">
        <v>5.0010000000000003</v>
      </c>
      <c r="O375" s="7">
        <v>5.0190000000000001</v>
      </c>
    </row>
    <row r="376" spans="1:15" x14ac:dyDescent="0.25">
      <c r="A376" s="5" t="s">
        <v>388</v>
      </c>
      <c r="B376" s="5">
        <v>68</v>
      </c>
      <c r="C376" s="5" t="s">
        <v>2</v>
      </c>
      <c r="D376" s="6">
        <v>96</v>
      </c>
      <c r="E376" s="7">
        <v>18.989999999999998</v>
      </c>
      <c r="F376" s="7">
        <v>4.3209999999999997</v>
      </c>
      <c r="G376" s="7">
        <v>5.2510000000000003</v>
      </c>
      <c r="H376" s="7">
        <v>5.5119999999999996</v>
      </c>
      <c r="I376" s="7">
        <v>4.8049999999999997</v>
      </c>
      <c r="J376" s="7">
        <v>5.4320000000000004</v>
      </c>
      <c r="K376" s="7">
        <v>5.8029999999999999</v>
      </c>
      <c r="L376" s="7">
        <v>4.8710000000000004</v>
      </c>
      <c r="M376" s="7">
        <v>4.5570000000000004</v>
      </c>
      <c r="N376" s="7">
        <v>5.19</v>
      </c>
      <c r="O376" s="7">
        <v>4.9850000000000003</v>
      </c>
    </row>
    <row r="377" spans="1:15" x14ac:dyDescent="0.25">
      <c r="A377" s="5" t="s">
        <v>389</v>
      </c>
      <c r="B377" s="5">
        <v>29</v>
      </c>
      <c r="C377" s="5" t="s">
        <v>2</v>
      </c>
      <c r="D377" s="6">
        <v>91</v>
      </c>
      <c r="E377" s="7">
        <v>18.318000000000001</v>
      </c>
      <c r="F377" s="7">
        <v>4.47</v>
      </c>
      <c r="G377" s="7">
        <v>6.32</v>
      </c>
      <c r="H377" s="7">
        <v>6.218</v>
      </c>
      <c r="I377" s="7">
        <v>5.1859999999999999</v>
      </c>
      <c r="J377" s="7">
        <v>4.1429999999999998</v>
      </c>
      <c r="K377" s="7">
        <v>4.8440000000000003</v>
      </c>
      <c r="L377" s="7">
        <v>5.3360000000000003</v>
      </c>
      <c r="M377" s="7">
        <v>4.2329999999999997</v>
      </c>
      <c r="N377" s="7">
        <v>4.7859999999999996</v>
      </c>
      <c r="O377" s="7">
        <v>4.9400000000000004</v>
      </c>
    </row>
    <row r="378" spans="1:15" x14ac:dyDescent="0.25">
      <c r="A378" s="5" t="s">
        <v>390</v>
      </c>
      <c r="B378" s="5">
        <v>36</v>
      </c>
      <c r="C378" s="5" t="s">
        <v>3</v>
      </c>
      <c r="D378" s="6">
        <v>95</v>
      </c>
      <c r="E378" s="7">
        <v>18.712</v>
      </c>
      <c r="F378" s="7">
        <v>4.141</v>
      </c>
      <c r="G378" s="7">
        <v>4.72</v>
      </c>
      <c r="H378" s="7">
        <v>4.3109999999999999</v>
      </c>
      <c r="I378" s="7">
        <v>7.5350000000000001</v>
      </c>
      <c r="J378" s="7">
        <v>5.2839999999999998</v>
      </c>
      <c r="K378" s="7">
        <v>4.5940000000000003</v>
      </c>
      <c r="L378" s="7">
        <v>4.21</v>
      </c>
      <c r="M378" s="7">
        <v>5.2370000000000001</v>
      </c>
      <c r="N378" s="7">
        <v>4.9379999999999997</v>
      </c>
      <c r="O378" s="7">
        <v>5.2149999999999999</v>
      </c>
    </row>
    <row r="379" spans="1:15" x14ac:dyDescent="0.25">
      <c r="A379" s="5" t="s">
        <v>391</v>
      </c>
      <c r="B379" s="5">
        <v>61</v>
      </c>
      <c r="C379" s="5" t="s">
        <v>2</v>
      </c>
      <c r="D379" s="6">
        <v>121</v>
      </c>
      <c r="E379" s="7">
        <v>23.835000000000001</v>
      </c>
      <c r="F379" s="7">
        <v>6.306</v>
      </c>
      <c r="G379" s="7">
        <v>4.3380000000000001</v>
      </c>
      <c r="H379" s="7">
        <v>6.5330000000000004</v>
      </c>
      <c r="I379" s="7">
        <v>5.8849999999999998</v>
      </c>
      <c r="J379" s="7">
        <v>5.1689999999999996</v>
      </c>
      <c r="K379" s="7">
        <v>5.0750000000000002</v>
      </c>
      <c r="L379" s="7">
        <v>4.6100000000000003</v>
      </c>
      <c r="M379" s="7">
        <v>5.0709999999999997</v>
      </c>
      <c r="N379" s="7">
        <v>4.9720000000000004</v>
      </c>
      <c r="O379" s="7">
        <v>5.3780000000000001</v>
      </c>
    </row>
    <row r="380" spans="1:15" x14ac:dyDescent="0.25">
      <c r="A380" s="5" t="s">
        <v>392</v>
      </c>
      <c r="B380" s="5">
        <v>76</v>
      </c>
      <c r="C380" s="5" t="s">
        <v>3</v>
      </c>
      <c r="D380" s="6">
        <v>98</v>
      </c>
      <c r="E380" s="7">
        <v>18.864000000000001</v>
      </c>
      <c r="F380" s="7">
        <v>4.9139999999999997</v>
      </c>
      <c r="G380" s="7">
        <v>6.165</v>
      </c>
      <c r="H380" s="7">
        <v>6.6459999999999999</v>
      </c>
      <c r="I380" s="7">
        <v>5.2830000000000004</v>
      </c>
      <c r="J380" s="7">
        <v>4.1269999999999998</v>
      </c>
      <c r="K380" s="7">
        <v>4.7910000000000004</v>
      </c>
      <c r="L380" s="7">
        <v>4.7229999999999999</v>
      </c>
      <c r="M380" s="7">
        <v>4.8620000000000001</v>
      </c>
      <c r="N380" s="7">
        <v>5.1310000000000002</v>
      </c>
      <c r="O380" s="7">
        <v>5.024</v>
      </c>
    </row>
    <row r="381" spans="1:15" x14ac:dyDescent="0.25">
      <c r="A381" s="5" t="s">
        <v>393</v>
      </c>
      <c r="B381" s="5">
        <v>66</v>
      </c>
      <c r="C381" s="5" t="s">
        <v>2</v>
      </c>
      <c r="D381" s="6">
        <v>99</v>
      </c>
      <c r="E381" s="7">
        <v>20.234999999999999</v>
      </c>
      <c r="F381" s="7">
        <v>2.85</v>
      </c>
      <c r="G381" s="7">
        <v>2.4809999999999999</v>
      </c>
      <c r="H381" s="7">
        <v>7.0449999999999999</v>
      </c>
      <c r="I381" s="7">
        <v>4.96</v>
      </c>
      <c r="J381" s="7">
        <v>4.3730000000000002</v>
      </c>
      <c r="K381" s="7">
        <v>3.952</v>
      </c>
      <c r="L381" s="7">
        <v>5.2279999999999998</v>
      </c>
      <c r="M381" s="7">
        <v>5.1589999999999998</v>
      </c>
      <c r="N381" s="7">
        <v>4.8650000000000002</v>
      </c>
      <c r="O381" s="7">
        <v>5.1059999999999999</v>
      </c>
    </row>
    <row r="382" spans="1:15" x14ac:dyDescent="0.25">
      <c r="A382" s="5" t="s">
        <v>394</v>
      </c>
      <c r="B382" s="5">
        <v>78</v>
      </c>
      <c r="C382" s="5" t="s">
        <v>3</v>
      </c>
      <c r="D382" s="6">
        <v>108</v>
      </c>
      <c r="E382" s="7">
        <v>21.457999999999998</v>
      </c>
      <c r="F382" s="7">
        <v>5.0250000000000004</v>
      </c>
      <c r="G382" s="7">
        <v>4.4820000000000002</v>
      </c>
      <c r="H382" s="7">
        <v>3.8279999999999998</v>
      </c>
      <c r="I382" s="7">
        <v>5.2839999999999998</v>
      </c>
      <c r="J382" s="7">
        <v>5.3040000000000003</v>
      </c>
      <c r="K382" s="7">
        <v>5.2389999999999999</v>
      </c>
      <c r="L382" s="7">
        <v>5.2270000000000003</v>
      </c>
      <c r="M382" s="7">
        <v>5.3479999999999999</v>
      </c>
      <c r="N382" s="7">
        <v>5.0039999999999996</v>
      </c>
      <c r="O382" s="7">
        <v>4.806</v>
      </c>
    </row>
    <row r="383" spans="1:15" x14ac:dyDescent="0.25">
      <c r="A383" s="5" t="s">
        <v>395</v>
      </c>
      <c r="B383" s="5">
        <v>34</v>
      </c>
      <c r="C383" s="5" t="s">
        <v>3</v>
      </c>
      <c r="D383" s="6">
        <v>85</v>
      </c>
      <c r="E383" s="7">
        <v>17.056000000000001</v>
      </c>
      <c r="F383" s="7">
        <v>3.7639999999999998</v>
      </c>
      <c r="G383" s="7">
        <v>7.5179999999999998</v>
      </c>
      <c r="H383" s="7">
        <v>4.1390000000000002</v>
      </c>
      <c r="I383" s="7">
        <v>4.351</v>
      </c>
      <c r="J383" s="7">
        <v>4.9000000000000004</v>
      </c>
      <c r="K383" s="7">
        <v>4.681</v>
      </c>
      <c r="L383" s="7">
        <v>5.8559999999999999</v>
      </c>
      <c r="M383" s="7">
        <v>4.6109999999999998</v>
      </c>
      <c r="N383" s="7">
        <v>4.8209999999999997</v>
      </c>
      <c r="O383" s="7">
        <v>5.0110000000000001</v>
      </c>
    </row>
    <row r="384" spans="1:15" x14ac:dyDescent="0.25">
      <c r="A384" s="5" t="s">
        <v>396</v>
      </c>
      <c r="B384" s="5">
        <v>74</v>
      </c>
      <c r="C384" s="5" t="s">
        <v>3</v>
      </c>
      <c r="D384" s="6">
        <v>107</v>
      </c>
      <c r="E384" s="7">
        <v>21.399000000000001</v>
      </c>
      <c r="F384" s="7">
        <v>5.7149999999999999</v>
      </c>
      <c r="G384" s="7">
        <v>5.0549999999999997</v>
      </c>
      <c r="H384" s="7">
        <v>2.944</v>
      </c>
      <c r="I384" s="7">
        <v>6.7060000000000004</v>
      </c>
      <c r="J384" s="7">
        <v>4.9530000000000003</v>
      </c>
      <c r="K384" s="7">
        <v>5.1559999999999997</v>
      </c>
      <c r="L384" s="7">
        <v>4.6669999999999998</v>
      </c>
      <c r="M384" s="7">
        <v>4.5819999999999999</v>
      </c>
      <c r="N384" s="7">
        <v>5.0860000000000003</v>
      </c>
      <c r="O384" s="7">
        <v>4.9359999999999999</v>
      </c>
    </row>
    <row r="385" spans="1:15" x14ac:dyDescent="0.25">
      <c r="A385" s="5" t="s">
        <v>397</v>
      </c>
      <c r="B385" s="5">
        <v>72</v>
      </c>
      <c r="C385" s="5" t="s">
        <v>3</v>
      </c>
      <c r="D385" s="6">
        <v>112</v>
      </c>
      <c r="E385" s="7">
        <v>22.02</v>
      </c>
      <c r="F385" s="7">
        <v>4.383</v>
      </c>
      <c r="G385" s="7">
        <v>3.12</v>
      </c>
      <c r="H385" s="7">
        <v>4.5949999999999998</v>
      </c>
      <c r="I385" s="7">
        <v>4.2450000000000001</v>
      </c>
      <c r="J385" s="7">
        <v>5.577</v>
      </c>
      <c r="K385" s="7">
        <v>5.1749999999999998</v>
      </c>
      <c r="L385" s="7">
        <v>5.2750000000000004</v>
      </c>
      <c r="M385" s="7">
        <v>4.7619999999999996</v>
      </c>
      <c r="N385" s="7">
        <v>4.9249999999999998</v>
      </c>
      <c r="O385" s="7">
        <v>5.2039999999999997</v>
      </c>
    </row>
    <row r="386" spans="1:15" x14ac:dyDescent="0.25">
      <c r="A386" s="5" t="s">
        <v>398</v>
      </c>
      <c r="B386" s="5">
        <v>64</v>
      </c>
      <c r="C386" s="5" t="s">
        <v>2</v>
      </c>
      <c r="D386" s="6">
        <v>97</v>
      </c>
      <c r="E386" s="7">
        <v>18.951000000000001</v>
      </c>
      <c r="F386" s="7">
        <v>4.0449999999999999</v>
      </c>
      <c r="G386" s="7">
        <v>5.0279999999999996</v>
      </c>
      <c r="H386" s="7">
        <v>3.9910000000000001</v>
      </c>
      <c r="I386" s="7">
        <v>5.734</v>
      </c>
      <c r="J386" s="7">
        <v>3.6480000000000001</v>
      </c>
      <c r="K386" s="7">
        <v>5.367</v>
      </c>
      <c r="L386" s="7">
        <v>5.1159999999999997</v>
      </c>
      <c r="M386" s="7">
        <v>4.9260000000000002</v>
      </c>
      <c r="N386" s="7">
        <v>5.2329999999999997</v>
      </c>
      <c r="O386" s="7">
        <v>4.883</v>
      </c>
    </row>
    <row r="387" spans="1:15" x14ac:dyDescent="0.25">
      <c r="A387" s="5" t="s">
        <v>399</v>
      </c>
      <c r="B387" s="5">
        <v>29</v>
      </c>
      <c r="C387" s="5" t="s">
        <v>3</v>
      </c>
      <c r="D387" s="6">
        <v>107</v>
      </c>
      <c r="E387" s="7">
        <v>21.042000000000002</v>
      </c>
      <c r="F387" s="7">
        <v>5.1360000000000001</v>
      </c>
      <c r="G387" s="7">
        <v>5.2969999999999997</v>
      </c>
      <c r="H387" s="7">
        <v>4.7039999999999997</v>
      </c>
      <c r="I387" s="7">
        <v>5.4939999999999998</v>
      </c>
      <c r="J387" s="7">
        <v>6.31</v>
      </c>
      <c r="K387" s="7">
        <v>5.0960000000000001</v>
      </c>
      <c r="L387" s="7">
        <v>5.0739999999999998</v>
      </c>
      <c r="M387" s="7">
        <v>4.7690000000000001</v>
      </c>
      <c r="N387" s="7">
        <v>5.1459999999999999</v>
      </c>
      <c r="O387" s="7">
        <v>5.0979999999999999</v>
      </c>
    </row>
    <row r="388" spans="1:15" x14ac:dyDescent="0.25">
      <c r="A388" s="5" t="s">
        <v>400</v>
      </c>
      <c r="B388" s="5">
        <v>79</v>
      </c>
      <c r="C388" s="5" t="s">
        <v>2</v>
      </c>
      <c r="D388" s="6">
        <v>107</v>
      </c>
      <c r="E388" s="7">
        <v>21.141999999999999</v>
      </c>
      <c r="F388" s="7">
        <v>5.6379999999999999</v>
      </c>
      <c r="G388" s="7">
        <v>5.6660000000000004</v>
      </c>
      <c r="H388" s="7">
        <v>4.4219999999999997</v>
      </c>
      <c r="I388" s="7">
        <v>5.694</v>
      </c>
      <c r="J388" s="7">
        <v>4.6879999999999997</v>
      </c>
      <c r="K388" s="7">
        <v>4.6710000000000003</v>
      </c>
      <c r="L388" s="7">
        <v>5.3259999999999996</v>
      </c>
      <c r="M388" s="7">
        <v>5.2779999999999996</v>
      </c>
      <c r="N388" s="7">
        <v>5.3109999999999999</v>
      </c>
      <c r="O388" s="7">
        <v>5.2210000000000001</v>
      </c>
    </row>
    <row r="389" spans="1:15" x14ac:dyDescent="0.25">
      <c r="A389" s="5" t="s">
        <v>401</v>
      </c>
      <c r="B389" s="5">
        <v>25</v>
      </c>
      <c r="C389" s="5" t="s">
        <v>3</v>
      </c>
      <c r="D389" s="6">
        <v>97</v>
      </c>
      <c r="E389" s="7">
        <v>19.530999999999999</v>
      </c>
      <c r="F389" s="7">
        <v>4.633</v>
      </c>
      <c r="G389" s="7">
        <v>6.234</v>
      </c>
      <c r="H389" s="7">
        <v>6.3769999999999998</v>
      </c>
      <c r="I389" s="7">
        <v>4.3819999999999997</v>
      </c>
      <c r="J389" s="7">
        <v>4.2939999999999996</v>
      </c>
      <c r="K389" s="7">
        <v>4.0750000000000002</v>
      </c>
      <c r="L389" s="7">
        <v>4.5720000000000001</v>
      </c>
      <c r="M389" s="7">
        <v>4.7300000000000004</v>
      </c>
      <c r="N389" s="7">
        <v>4.6079999999999997</v>
      </c>
      <c r="O389" s="7">
        <v>4.8019999999999996</v>
      </c>
    </row>
    <row r="390" spans="1:15" x14ac:dyDescent="0.25">
      <c r="A390" s="5" t="s">
        <v>402</v>
      </c>
      <c r="B390" s="5">
        <v>38</v>
      </c>
      <c r="C390" s="5" t="s">
        <v>3</v>
      </c>
      <c r="D390" s="6">
        <v>113</v>
      </c>
      <c r="E390" s="7">
        <v>22.317</v>
      </c>
      <c r="F390" s="7">
        <v>6.0609999999999999</v>
      </c>
      <c r="G390" s="7">
        <v>4.8040000000000003</v>
      </c>
      <c r="H390" s="7">
        <v>4.9630000000000001</v>
      </c>
      <c r="I390" s="7">
        <v>3.98</v>
      </c>
      <c r="J390" s="7">
        <v>4.9160000000000004</v>
      </c>
      <c r="K390" s="7">
        <v>4.5330000000000004</v>
      </c>
      <c r="L390" s="7">
        <v>4.617</v>
      </c>
      <c r="M390" s="7">
        <v>5.3979999999999997</v>
      </c>
      <c r="N390" s="7">
        <v>4.8330000000000002</v>
      </c>
      <c r="O390" s="7">
        <v>5.3129999999999997</v>
      </c>
    </row>
    <row r="391" spans="1:15" x14ac:dyDescent="0.25">
      <c r="A391" s="5" t="s">
        <v>403</v>
      </c>
      <c r="B391" s="5">
        <v>42</v>
      </c>
      <c r="C391" s="5" t="s">
        <v>3</v>
      </c>
      <c r="D391" s="6">
        <v>100</v>
      </c>
      <c r="E391" s="7">
        <v>20.622</v>
      </c>
      <c r="F391" s="7">
        <v>5.056</v>
      </c>
      <c r="G391" s="7">
        <v>5.4889999999999999</v>
      </c>
      <c r="H391" s="7">
        <v>4.3840000000000003</v>
      </c>
      <c r="I391" s="7">
        <v>4.7830000000000004</v>
      </c>
      <c r="J391" s="7">
        <v>5.165</v>
      </c>
      <c r="K391" s="7">
        <v>4.75</v>
      </c>
      <c r="L391" s="7">
        <v>4.9260000000000002</v>
      </c>
      <c r="M391" s="7">
        <v>5.6870000000000003</v>
      </c>
      <c r="N391" s="7">
        <v>5.0490000000000004</v>
      </c>
      <c r="O391" s="7">
        <v>4.7030000000000003</v>
      </c>
    </row>
    <row r="392" spans="1:15" x14ac:dyDescent="0.25">
      <c r="A392" s="5" t="s">
        <v>404</v>
      </c>
      <c r="B392" s="5">
        <v>29</v>
      </c>
      <c r="C392" s="5" t="s">
        <v>2</v>
      </c>
      <c r="D392" s="6">
        <v>102</v>
      </c>
      <c r="E392" s="7">
        <v>20.765999999999998</v>
      </c>
      <c r="F392" s="7">
        <v>5.085</v>
      </c>
      <c r="G392" s="7">
        <v>5.5229999999999997</v>
      </c>
      <c r="H392" s="7">
        <v>5.0069999999999997</v>
      </c>
      <c r="I392" s="7">
        <v>5.673</v>
      </c>
      <c r="J392" s="7">
        <v>4.8159999999999998</v>
      </c>
      <c r="K392" s="7">
        <v>5.3869999999999996</v>
      </c>
      <c r="L392" s="7">
        <v>5.3209999999999997</v>
      </c>
      <c r="M392" s="7">
        <v>5.0259999999999998</v>
      </c>
      <c r="N392" s="7">
        <v>4.4420000000000002</v>
      </c>
      <c r="O392" s="7">
        <v>5.0940000000000003</v>
      </c>
    </row>
    <row r="393" spans="1:15" x14ac:dyDescent="0.25">
      <c r="A393" s="5" t="s">
        <v>405</v>
      </c>
      <c r="B393" s="5">
        <v>32</v>
      </c>
      <c r="C393" s="5" t="s">
        <v>3</v>
      </c>
      <c r="D393" s="6">
        <v>121</v>
      </c>
      <c r="E393" s="7">
        <v>24.488</v>
      </c>
      <c r="F393" s="7">
        <v>6.8360000000000003</v>
      </c>
      <c r="G393" s="7">
        <v>4.9859999999999998</v>
      </c>
      <c r="H393" s="7">
        <v>5.6379999999999999</v>
      </c>
      <c r="I393" s="7">
        <v>4.907</v>
      </c>
      <c r="J393" s="7">
        <v>4.7560000000000002</v>
      </c>
      <c r="K393" s="7">
        <v>5.4370000000000003</v>
      </c>
      <c r="L393" s="7">
        <v>4.6349999999999998</v>
      </c>
      <c r="M393" s="7">
        <v>4.9489999999999998</v>
      </c>
      <c r="N393" s="7">
        <v>5.0519999999999996</v>
      </c>
      <c r="O393" s="7">
        <v>4.7830000000000004</v>
      </c>
    </row>
    <row r="394" spans="1:15" x14ac:dyDescent="0.25">
      <c r="A394" s="5" t="s">
        <v>406</v>
      </c>
      <c r="B394" s="5">
        <v>76</v>
      </c>
      <c r="C394" s="5" t="s">
        <v>2</v>
      </c>
      <c r="D394" s="6">
        <v>110</v>
      </c>
      <c r="E394" s="7">
        <v>21.957000000000001</v>
      </c>
      <c r="F394" s="7">
        <v>5.6749999999999998</v>
      </c>
      <c r="G394" s="7">
        <v>5.0549999999999997</v>
      </c>
      <c r="H394" s="7">
        <v>4.1040000000000001</v>
      </c>
      <c r="I394" s="7">
        <v>5.9029999999999996</v>
      </c>
      <c r="J394" s="7">
        <v>5.0670000000000002</v>
      </c>
      <c r="K394" s="7">
        <v>4.556</v>
      </c>
      <c r="L394" s="7">
        <v>4.875</v>
      </c>
      <c r="M394" s="7">
        <v>4.6639999999999997</v>
      </c>
      <c r="N394" s="7">
        <v>4.9240000000000004</v>
      </c>
      <c r="O394" s="7">
        <v>5.0129999999999999</v>
      </c>
    </row>
    <row r="395" spans="1:15" x14ac:dyDescent="0.25">
      <c r="A395" s="5" t="s">
        <v>407</v>
      </c>
      <c r="B395" s="5">
        <v>43</v>
      </c>
      <c r="C395" s="5" t="s">
        <v>2</v>
      </c>
      <c r="D395" s="6">
        <v>96</v>
      </c>
      <c r="E395" s="7">
        <v>19.739000000000001</v>
      </c>
      <c r="F395" s="7">
        <v>3.4540000000000002</v>
      </c>
      <c r="G395" s="7">
        <v>4.1639999999999997</v>
      </c>
      <c r="H395" s="7">
        <v>5.609</v>
      </c>
      <c r="I395" s="7">
        <v>4.9119999999999999</v>
      </c>
      <c r="J395" s="7">
        <v>5.6509999999999998</v>
      </c>
      <c r="K395" s="7">
        <v>4.0430000000000001</v>
      </c>
      <c r="L395" s="7">
        <v>4.9969999999999999</v>
      </c>
      <c r="M395" s="7">
        <v>4.5540000000000003</v>
      </c>
      <c r="N395" s="7">
        <v>4.8140000000000001</v>
      </c>
      <c r="O395" s="7">
        <v>4.782</v>
      </c>
    </row>
    <row r="396" spans="1:15" x14ac:dyDescent="0.25">
      <c r="A396" s="5" t="s">
        <v>408</v>
      </c>
      <c r="B396" s="5">
        <v>43</v>
      </c>
      <c r="C396" s="5" t="s">
        <v>2</v>
      </c>
      <c r="D396" s="6">
        <v>112</v>
      </c>
      <c r="E396" s="7">
        <v>22.321999999999999</v>
      </c>
      <c r="F396" s="7">
        <v>5.3540000000000001</v>
      </c>
      <c r="G396" s="7">
        <v>4.5220000000000002</v>
      </c>
      <c r="H396" s="7">
        <v>6.2539999999999996</v>
      </c>
      <c r="I396" s="7">
        <v>5.1829999999999998</v>
      </c>
      <c r="J396" s="7">
        <v>4.8479999999999999</v>
      </c>
      <c r="K396" s="7">
        <v>4.5090000000000003</v>
      </c>
      <c r="L396" s="7">
        <v>5.2229999999999999</v>
      </c>
      <c r="M396" s="7">
        <v>5.2949999999999999</v>
      </c>
      <c r="N396" s="7">
        <v>4.6550000000000002</v>
      </c>
      <c r="O396" s="7">
        <v>5.1050000000000004</v>
      </c>
    </row>
    <row r="397" spans="1:15" x14ac:dyDescent="0.25">
      <c r="A397" s="5" t="s">
        <v>409</v>
      </c>
      <c r="B397" s="5">
        <v>64</v>
      </c>
      <c r="C397" s="5" t="s">
        <v>2</v>
      </c>
      <c r="D397" s="6">
        <v>110</v>
      </c>
      <c r="E397" s="7">
        <v>21.989000000000001</v>
      </c>
      <c r="F397" s="7">
        <v>4.9080000000000004</v>
      </c>
      <c r="G397" s="7">
        <v>4.0430000000000001</v>
      </c>
      <c r="H397" s="7">
        <v>5.2309999999999999</v>
      </c>
      <c r="I397" s="7">
        <v>6.0970000000000004</v>
      </c>
      <c r="J397" s="7">
        <v>5.9560000000000004</v>
      </c>
      <c r="K397" s="7">
        <v>5.0659999999999998</v>
      </c>
      <c r="L397" s="7">
        <v>4.6989999999999998</v>
      </c>
      <c r="M397" s="7">
        <v>4.6319999999999997</v>
      </c>
      <c r="N397" s="7">
        <v>4.5389999999999997</v>
      </c>
      <c r="O397" s="7">
        <v>5.0599999999999996</v>
      </c>
    </row>
    <row r="398" spans="1:15" x14ac:dyDescent="0.25">
      <c r="A398" s="5" t="s">
        <v>410</v>
      </c>
      <c r="B398" s="5">
        <v>49</v>
      </c>
      <c r="C398" s="5" t="s">
        <v>2</v>
      </c>
      <c r="D398" s="6">
        <v>105</v>
      </c>
      <c r="E398" s="7">
        <v>21.061</v>
      </c>
      <c r="F398" s="7">
        <v>5.6379999999999999</v>
      </c>
      <c r="G398" s="7">
        <v>5.2789999999999999</v>
      </c>
      <c r="H398" s="7">
        <v>6.4130000000000003</v>
      </c>
      <c r="I398" s="7">
        <v>5.4470000000000001</v>
      </c>
      <c r="J398" s="7">
        <v>5.2880000000000003</v>
      </c>
      <c r="K398" s="7">
        <v>5.2149999999999999</v>
      </c>
      <c r="L398" s="7">
        <v>5.8230000000000004</v>
      </c>
      <c r="M398" s="7">
        <v>5.0839999999999996</v>
      </c>
      <c r="N398" s="7">
        <v>5.1619999999999999</v>
      </c>
      <c r="O398" s="7">
        <v>5.0419999999999998</v>
      </c>
    </row>
    <row r="399" spans="1:15" x14ac:dyDescent="0.25">
      <c r="A399" s="5" t="s">
        <v>411</v>
      </c>
      <c r="B399" s="5">
        <v>27</v>
      </c>
      <c r="C399" s="5" t="s">
        <v>2</v>
      </c>
      <c r="D399" s="6">
        <v>95</v>
      </c>
      <c r="E399" s="7">
        <v>19.25</v>
      </c>
      <c r="F399" s="7">
        <v>4.1369999999999996</v>
      </c>
      <c r="G399" s="7">
        <v>4.9480000000000004</v>
      </c>
      <c r="H399" s="7">
        <v>4.4580000000000002</v>
      </c>
      <c r="I399" s="7">
        <v>4.3529999999999998</v>
      </c>
      <c r="J399" s="7">
        <v>4.351</v>
      </c>
      <c r="K399" s="7">
        <v>5.032</v>
      </c>
      <c r="L399" s="7">
        <v>5.7</v>
      </c>
      <c r="M399" s="7">
        <v>4.9989999999999997</v>
      </c>
      <c r="N399" s="7">
        <v>5.1840000000000002</v>
      </c>
      <c r="O399" s="7">
        <v>4.7649999999999997</v>
      </c>
    </row>
    <row r="400" spans="1:15" x14ac:dyDescent="0.25">
      <c r="A400" s="5" t="s">
        <v>412</v>
      </c>
      <c r="B400" s="5">
        <v>33</v>
      </c>
      <c r="C400" s="5" t="s">
        <v>2</v>
      </c>
      <c r="D400" s="6">
        <v>103</v>
      </c>
      <c r="E400" s="7">
        <v>20.827000000000002</v>
      </c>
      <c r="F400" s="7">
        <v>4.1139999999999999</v>
      </c>
      <c r="G400" s="7">
        <v>4.8380000000000001</v>
      </c>
      <c r="H400" s="7">
        <v>4.8739999999999997</v>
      </c>
      <c r="I400" s="7">
        <v>4.9139999999999997</v>
      </c>
      <c r="J400" s="7">
        <v>4.5460000000000003</v>
      </c>
      <c r="K400" s="7">
        <v>4.7320000000000002</v>
      </c>
      <c r="L400" s="7">
        <v>4.4000000000000004</v>
      </c>
      <c r="M400" s="7">
        <v>4.6040000000000001</v>
      </c>
      <c r="N400" s="7">
        <v>4.8540000000000001</v>
      </c>
      <c r="O400" s="7">
        <v>4.7480000000000002</v>
      </c>
    </row>
    <row r="401" spans="1:15" x14ac:dyDescent="0.25">
      <c r="A401" s="5" t="s">
        <v>413</v>
      </c>
      <c r="B401" s="5">
        <v>34</v>
      </c>
      <c r="C401" s="5" t="s">
        <v>2</v>
      </c>
      <c r="D401" s="6">
        <v>85</v>
      </c>
      <c r="E401" s="7">
        <v>16.831</v>
      </c>
      <c r="F401" s="7">
        <v>3.7770000000000001</v>
      </c>
      <c r="G401" s="7">
        <v>6.35</v>
      </c>
      <c r="H401" s="7">
        <v>3.33</v>
      </c>
      <c r="I401" s="7">
        <v>4.4779999999999998</v>
      </c>
      <c r="J401" s="7">
        <v>4.75</v>
      </c>
      <c r="K401" s="7">
        <v>5.1689999999999996</v>
      </c>
      <c r="L401" s="7">
        <v>5.2809999999999997</v>
      </c>
      <c r="M401" s="7">
        <v>5.7880000000000003</v>
      </c>
      <c r="N401" s="7">
        <v>4.9800000000000004</v>
      </c>
      <c r="O401" s="7">
        <v>4.8099999999999996</v>
      </c>
    </row>
    <row r="402" spans="1:15" x14ac:dyDescent="0.25">
      <c r="A402" s="5" t="s">
        <v>414</v>
      </c>
      <c r="B402" s="5">
        <v>40</v>
      </c>
      <c r="C402" s="5" t="s">
        <v>2</v>
      </c>
      <c r="D402" s="6">
        <v>105</v>
      </c>
      <c r="E402" s="7">
        <v>20.81</v>
      </c>
      <c r="F402" s="7">
        <v>4.8140000000000001</v>
      </c>
      <c r="G402" s="7">
        <v>5.12</v>
      </c>
      <c r="H402" s="7">
        <v>4.6619999999999999</v>
      </c>
      <c r="I402" s="7">
        <v>5.0579999999999998</v>
      </c>
      <c r="J402" s="7">
        <v>5.1879999999999997</v>
      </c>
      <c r="K402" s="7">
        <v>4.7670000000000003</v>
      </c>
      <c r="L402" s="7">
        <v>4.8730000000000002</v>
      </c>
      <c r="M402" s="7">
        <v>4.7030000000000003</v>
      </c>
      <c r="N402" s="7">
        <v>5.1580000000000004</v>
      </c>
      <c r="O402" s="7">
        <v>5.1909999999999998</v>
      </c>
    </row>
    <row r="403" spans="1:15" x14ac:dyDescent="0.25">
      <c r="A403" s="5" t="s">
        <v>415</v>
      </c>
      <c r="B403" s="5">
        <v>43</v>
      </c>
      <c r="C403" s="5" t="s">
        <v>3</v>
      </c>
      <c r="D403" s="6">
        <v>92</v>
      </c>
      <c r="E403" s="7">
        <v>18.628</v>
      </c>
      <c r="F403" s="7">
        <v>3.2789999999999999</v>
      </c>
      <c r="G403" s="7">
        <v>4.9530000000000003</v>
      </c>
      <c r="H403" s="7">
        <v>6.2539999999999996</v>
      </c>
      <c r="I403" s="7">
        <v>4.6989999999999998</v>
      </c>
      <c r="J403" s="7">
        <v>5.6840000000000002</v>
      </c>
      <c r="K403" s="7">
        <v>5.0960000000000001</v>
      </c>
      <c r="L403" s="7">
        <v>5.18</v>
      </c>
      <c r="M403" s="7">
        <v>5.2270000000000003</v>
      </c>
      <c r="N403" s="7">
        <v>5.2050000000000001</v>
      </c>
      <c r="O403" s="7">
        <v>4.75</v>
      </c>
    </row>
    <row r="404" spans="1:15" x14ac:dyDescent="0.25">
      <c r="A404" s="5" t="s">
        <v>416</v>
      </c>
      <c r="B404" s="5">
        <v>24</v>
      </c>
      <c r="C404" s="5" t="s">
        <v>3</v>
      </c>
      <c r="D404" s="6">
        <v>109</v>
      </c>
      <c r="E404" s="7">
        <v>22.055</v>
      </c>
      <c r="F404" s="7">
        <v>5.1520000000000001</v>
      </c>
      <c r="G404" s="7">
        <v>4.4989999999999997</v>
      </c>
      <c r="H404" s="7">
        <v>4.4850000000000003</v>
      </c>
      <c r="I404" s="7">
        <v>4.1040000000000001</v>
      </c>
      <c r="J404" s="7">
        <v>6.468</v>
      </c>
      <c r="K404" s="7">
        <v>5.84</v>
      </c>
      <c r="L404" s="7">
        <v>4.968</v>
      </c>
      <c r="M404" s="7">
        <v>6.08</v>
      </c>
      <c r="N404" s="7">
        <v>4.907</v>
      </c>
      <c r="O404" s="7">
        <v>5.1219999999999999</v>
      </c>
    </row>
    <row r="405" spans="1:15" x14ac:dyDescent="0.25">
      <c r="A405" s="5" t="s">
        <v>417</v>
      </c>
      <c r="B405" s="5">
        <v>31</v>
      </c>
      <c r="C405" s="5" t="s">
        <v>3</v>
      </c>
      <c r="D405" s="6">
        <v>121</v>
      </c>
      <c r="E405" s="7">
        <v>24.06</v>
      </c>
      <c r="F405" s="7">
        <v>5.8170000000000002</v>
      </c>
      <c r="G405" s="7">
        <v>3.42</v>
      </c>
      <c r="H405" s="7">
        <v>6.16</v>
      </c>
      <c r="I405" s="7">
        <v>5.4820000000000002</v>
      </c>
      <c r="J405" s="7">
        <v>4.6840000000000002</v>
      </c>
      <c r="K405" s="7">
        <v>5.3170000000000002</v>
      </c>
      <c r="L405" s="7">
        <v>5.0650000000000004</v>
      </c>
      <c r="M405" s="7">
        <v>5.2450000000000001</v>
      </c>
      <c r="N405" s="7">
        <v>5.7329999999999997</v>
      </c>
      <c r="O405" s="7">
        <v>4.7939999999999996</v>
      </c>
    </row>
    <row r="406" spans="1:15" x14ac:dyDescent="0.25">
      <c r="A406" s="5" t="s">
        <v>418</v>
      </c>
      <c r="B406" s="5">
        <v>24</v>
      </c>
      <c r="C406" s="5" t="s">
        <v>3</v>
      </c>
      <c r="D406" s="6">
        <v>116</v>
      </c>
      <c r="E406" s="7">
        <v>22.635000000000002</v>
      </c>
      <c r="F406" s="7">
        <v>5.5780000000000003</v>
      </c>
      <c r="G406" s="7">
        <v>4.6470000000000002</v>
      </c>
      <c r="H406" s="7">
        <v>6.0339999999999998</v>
      </c>
      <c r="I406" s="7">
        <v>5.2939999999999996</v>
      </c>
      <c r="J406" s="7">
        <v>4.9580000000000002</v>
      </c>
      <c r="K406" s="7">
        <v>5.1319999999999997</v>
      </c>
      <c r="L406" s="7">
        <v>4.5780000000000003</v>
      </c>
      <c r="M406" s="7">
        <v>4.5190000000000001</v>
      </c>
      <c r="N406" s="7">
        <v>5.2729999999999997</v>
      </c>
      <c r="O406" s="7">
        <v>4.8819999999999997</v>
      </c>
    </row>
    <row r="407" spans="1:15" x14ac:dyDescent="0.25">
      <c r="A407" s="5" t="s">
        <v>419</v>
      </c>
      <c r="B407" s="5">
        <v>26</v>
      </c>
      <c r="C407" s="5" t="s">
        <v>3</v>
      </c>
      <c r="D407" s="6">
        <v>129</v>
      </c>
      <c r="E407" s="7">
        <v>25.725999999999999</v>
      </c>
      <c r="F407" s="7">
        <v>6.0640000000000001</v>
      </c>
      <c r="G407" s="7">
        <v>2.8450000000000002</v>
      </c>
      <c r="H407" s="7">
        <v>6.3220000000000001</v>
      </c>
      <c r="I407" s="7">
        <v>6.0380000000000003</v>
      </c>
      <c r="J407" s="7">
        <v>5.2469999999999999</v>
      </c>
      <c r="K407" s="7">
        <v>4.8499999999999996</v>
      </c>
      <c r="L407" s="7">
        <v>5.5069999999999997</v>
      </c>
      <c r="M407" s="7">
        <v>4.63</v>
      </c>
      <c r="N407" s="7">
        <v>4.8449999999999998</v>
      </c>
      <c r="O407" s="7">
        <v>4.7969999999999997</v>
      </c>
    </row>
    <row r="408" spans="1:15" x14ac:dyDescent="0.25">
      <c r="A408" s="5" t="s">
        <v>420</v>
      </c>
      <c r="B408" s="5">
        <v>65</v>
      </c>
      <c r="C408" s="5" t="s">
        <v>2</v>
      </c>
      <c r="D408" s="6">
        <v>102</v>
      </c>
      <c r="E408" s="7">
        <v>20.622</v>
      </c>
      <c r="F408" s="7">
        <v>4.1970000000000001</v>
      </c>
      <c r="G408" s="7">
        <v>4.4800000000000004</v>
      </c>
      <c r="H408" s="7">
        <v>3.8279999999999998</v>
      </c>
      <c r="I408" s="7">
        <v>4.3620000000000001</v>
      </c>
      <c r="J408" s="7">
        <v>5.0670000000000002</v>
      </c>
      <c r="K408" s="7">
        <v>5.4710000000000001</v>
      </c>
      <c r="L408" s="7">
        <v>4.1509999999999998</v>
      </c>
      <c r="M408" s="7">
        <v>5.0709999999999997</v>
      </c>
      <c r="N408" s="7">
        <v>5.4359999999999999</v>
      </c>
      <c r="O408" s="7">
        <v>4.9269999999999996</v>
      </c>
    </row>
    <row r="409" spans="1:15" x14ac:dyDescent="0.25">
      <c r="A409" s="5" t="s">
        <v>421</v>
      </c>
      <c r="B409" s="5">
        <v>76</v>
      </c>
      <c r="C409" s="5" t="s">
        <v>2</v>
      </c>
      <c r="D409" s="6">
        <v>113</v>
      </c>
      <c r="E409" s="7">
        <v>23.242999999999999</v>
      </c>
      <c r="F409" s="7">
        <v>5.7990000000000004</v>
      </c>
      <c r="G409" s="7">
        <v>5.0090000000000003</v>
      </c>
      <c r="H409" s="7">
        <v>5.8250000000000002</v>
      </c>
      <c r="I409" s="7">
        <v>5.53</v>
      </c>
      <c r="J409" s="7">
        <v>4.7140000000000004</v>
      </c>
      <c r="K409" s="7">
        <v>6.1210000000000004</v>
      </c>
      <c r="L409" s="7">
        <v>5.0650000000000004</v>
      </c>
      <c r="M409" s="7">
        <v>5.3159999999999998</v>
      </c>
      <c r="N409" s="7">
        <v>4.9740000000000002</v>
      </c>
      <c r="O409" s="7">
        <v>4.68</v>
      </c>
    </row>
    <row r="410" spans="1:15" x14ac:dyDescent="0.25">
      <c r="A410" s="5" t="s">
        <v>422</v>
      </c>
      <c r="B410" s="5">
        <v>56</v>
      </c>
      <c r="C410" s="5" t="s">
        <v>2</v>
      </c>
      <c r="D410" s="6">
        <v>97</v>
      </c>
      <c r="E410" s="7">
        <v>18.972999999999999</v>
      </c>
      <c r="F410" s="7">
        <v>4.6849999999999996</v>
      </c>
      <c r="G410" s="7">
        <v>6.1440000000000001</v>
      </c>
      <c r="H410" s="7">
        <v>5.2809999999999997</v>
      </c>
      <c r="I410" s="7">
        <v>5.87</v>
      </c>
      <c r="J410" s="7">
        <v>4.4409999999999998</v>
      </c>
      <c r="K410" s="7">
        <v>5.6859999999999999</v>
      </c>
      <c r="L410" s="7">
        <v>4.9850000000000003</v>
      </c>
      <c r="M410" s="7">
        <v>4.8659999999999997</v>
      </c>
      <c r="N410" s="7">
        <v>4.7030000000000003</v>
      </c>
      <c r="O410" s="7">
        <v>5.2290000000000001</v>
      </c>
    </row>
    <row r="411" spans="1:15" x14ac:dyDescent="0.25">
      <c r="A411" s="5" t="s">
        <v>423</v>
      </c>
      <c r="B411" s="5">
        <v>35</v>
      </c>
      <c r="C411" s="5" t="s">
        <v>2</v>
      </c>
      <c r="D411" s="6">
        <v>122</v>
      </c>
      <c r="E411" s="7">
        <v>24.248000000000001</v>
      </c>
      <c r="F411" s="7">
        <v>6.1859999999999999</v>
      </c>
      <c r="G411" s="7">
        <v>4.2519999999999998</v>
      </c>
      <c r="H411" s="7">
        <v>4.2169999999999996</v>
      </c>
      <c r="I411" s="7">
        <v>5.3</v>
      </c>
      <c r="J411" s="7">
        <v>5.3869999999999996</v>
      </c>
      <c r="K411" s="7">
        <v>5.0890000000000004</v>
      </c>
      <c r="L411" s="7">
        <v>5.5659999999999998</v>
      </c>
      <c r="M411" s="7">
        <v>5.1420000000000003</v>
      </c>
      <c r="N411" s="7">
        <v>4.7050000000000001</v>
      </c>
      <c r="O411" s="7">
        <v>5.0430000000000001</v>
      </c>
    </row>
    <row r="412" spans="1:15" x14ac:dyDescent="0.25">
      <c r="A412" s="5" t="s">
        <v>424</v>
      </c>
      <c r="B412" s="5">
        <v>76</v>
      </c>
      <c r="C412" s="5" t="s">
        <v>2</v>
      </c>
      <c r="D412" s="6">
        <v>101</v>
      </c>
      <c r="E412" s="7">
        <v>20.061</v>
      </c>
      <c r="F412" s="7">
        <v>5.085</v>
      </c>
      <c r="G412" s="7">
        <v>5.2779999999999996</v>
      </c>
      <c r="H412" s="7">
        <v>4.1980000000000004</v>
      </c>
      <c r="I412" s="7">
        <v>4.0380000000000003</v>
      </c>
      <c r="J412" s="7">
        <v>4.2210000000000001</v>
      </c>
      <c r="K412" s="7">
        <v>4.7809999999999997</v>
      </c>
      <c r="L412" s="7">
        <v>4.9809999999999999</v>
      </c>
      <c r="M412" s="7">
        <v>5.0789999999999997</v>
      </c>
      <c r="N412" s="7">
        <v>4.82</v>
      </c>
      <c r="O412" s="7">
        <v>5.0250000000000004</v>
      </c>
    </row>
    <row r="413" spans="1:15" x14ac:dyDescent="0.25">
      <c r="A413" s="5" t="s">
        <v>425</v>
      </c>
      <c r="B413" s="5">
        <v>34</v>
      </c>
      <c r="C413" s="5" t="s">
        <v>2</v>
      </c>
      <c r="D413" s="6">
        <v>93</v>
      </c>
      <c r="E413" s="7">
        <v>19.082999999999998</v>
      </c>
      <c r="F413" s="7">
        <v>3.5750000000000002</v>
      </c>
      <c r="G413" s="7">
        <v>5</v>
      </c>
      <c r="H413" s="7">
        <v>4.1680000000000001</v>
      </c>
      <c r="I413" s="7">
        <v>4.5590000000000002</v>
      </c>
      <c r="J413" s="7">
        <v>6.0780000000000003</v>
      </c>
      <c r="K413" s="7">
        <v>4.5129999999999999</v>
      </c>
      <c r="L413" s="7">
        <v>5.4279999999999999</v>
      </c>
      <c r="M413" s="7">
        <v>4.1820000000000004</v>
      </c>
      <c r="N413" s="7">
        <v>4.6139999999999999</v>
      </c>
      <c r="O413" s="7">
        <v>5.032</v>
      </c>
    </row>
    <row r="414" spans="1:15" x14ac:dyDescent="0.25">
      <c r="A414" s="5" t="s">
        <v>426</v>
      </c>
      <c r="B414" s="5">
        <v>31</v>
      </c>
      <c r="C414" s="5" t="s">
        <v>2</v>
      </c>
      <c r="D414" s="6">
        <v>98</v>
      </c>
      <c r="E414" s="7">
        <v>19.588000000000001</v>
      </c>
      <c r="F414" s="7">
        <v>3.5459999999999998</v>
      </c>
      <c r="G414" s="7">
        <v>2.956</v>
      </c>
      <c r="H414" s="7">
        <v>4.9219999999999997</v>
      </c>
      <c r="I414" s="7">
        <v>4.9450000000000003</v>
      </c>
      <c r="J414" s="7">
        <v>6.194</v>
      </c>
      <c r="K414" s="7">
        <v>4.8410000000000002</v>
      </c>
      <c r="L414" s="7">
        <v>4.8760000000000003</v>
      </c>
      <c r="M414" s="7">
        <v>5.5890000000000004</v>
      </c>
      <c r="N414" s="7">
        <v>4.9320000000000004</v>
      </c>
      <c r="O414" s="7">
        <v>4.8609999999999998</v>
      </c>
    </row>
    <row r="415" spans="1:15" x14ac:dyDescent="0.25">
      <c r="A415" s="5" t="s">
        <v>427</v>
      </c>
      <c r="B415" s="5">
        <v>48</v>
      </c>
      <c r="C415" s="5" t="s">
        <v>3</v>
      </c>
      <c r="D415" s="6">
        <v>90</v>
      </c>
      <c r="E415" s="7">
        <v>17.677</v>
      </c>
      <c r="F415" s="7">
        <v>3.1909999999999998</v>
      </c>
      <c r="G415" s="7">
        <v>3.302</v>
      </c>
      <c r="H415" s="7">
        <v>2.9609999999999999</v>
      </c>
      <c r="I415" s="7">
        <v>5.1029999999999998</v>
      </c>
      <c r="J415" s="7">
        <v>5.4809999999999999</v>
      </c>
      <c r="K415" s="7">
        <v>4.6920000000000002</v>
      </c>
      <c r="L415" s="7">
        <v>4.601</v>
      </c>
      <c r="M415" s="7">
        <v>4.8499999999999996</v>
      </c>
      <c r="N415" s="7">
        <v>5.66</v>
      </c>
      <c r="O415" s="7">
        <v>4.9779999999999998</v>
      </c>
    </row>
    <row r="416" spans="1:15" x14ac:dyDescent="0.25">
      <c r="A416" s="5" t="s">
        <v>428</v>
      </c>
      <c r="B416" s="5">
        <v>41</v>
      </c>
      <c r="C416" s="5" t="s">
        <v>3</v>
      </c>
      <c r="D416" s="6">
        <v>88</v>
      </c>
      <c r="E416" s="7">
        <v>17.798999999999999</v>
      </c>
      <c r="F416" s="7">
        <v>3.5369999999999999</v>
      </c>
      <c r="G416" s="7">
        <v>4.8220000000000001</v>
      </c>
      <c r="H416" s="7">
        <v>4.4610000000000003</v>
      </c>
      <c r="I416" s="7">
        <v>4.9390000000000001</v>
      </c>
      <c r="J416" s="7">
        <v>4.9850000000000003</v>
      </c>
      <c r="K416" s="7">
        <v>4.8979999999999997</v>
      </c>
      <c r="L416" s="7">
        <v>5.4950000000000001</v>
      </c>
      <c r="M416" s="7">
        <v>4.76</v>
      </c>
      <c r="N416" s="7">
        <v>5.0179999999999998</v>
      </c>
      <c r="O416" s="7">
        <v>5.0359999999999996</v>
      </c>
    </row>
    <row r="417" spans="1:15" x14ac:dyDescent="0.25">
      <c r="A417" s="5" t="s">
        <v>429</v>
      </c>
      <c r="B417" s="5">
        <v>77</v>
      </c>
      <c r="C417" s="5" t="s">
        <v>3</v>
      </c>
      <c r="D417" s="6">
        <v>96</v>
      </c>
      <c r="E417" s="7">
        <v>19.056000000000001</v>
      </c>
      <c r="F417" s="7">
        <v>4.8620000000000001</v>
      </c>
      <c r="G417" s="7">
        <v>6.117</v>
      </c>
      <c r="H417" s="7">
        <v>4.1520000000000001</v>
      </c>
      <c r="I417" s="7">
        <v>4.9139999999999997</v>
      </c>
      <c r="J417" s="7">
        <v>5.4169999999999998</v>
      </c>
      <c r="K417" s="7">
        <v>5.0759999999999996</v>
      </c>
      <c r="L417" s="7">
        <v>4.8449999999999998</v>
      </c>
      <c r="M417" s="7">
        <v>5.5179999999999998</v>
      </c>
      <c r="N417" s="7">
        <v>5.0410000000000004</v>
      </c>
      <c r="O417" s="7">
        <v>5.08</v>
      </c>
    </row>
    <row r="418" spans="1:15" x14ac:dyDescent="0.25">
      <c r="A418" s="5" t="s">
        <v>430</v>
      </c>
      <c r="B418" s="5">
        <v>62</v>
      </c>
      <c r="C418" s="5" t="s">
        <v>3</v>
      </c>
      <c r="D418" s="6">
        <v>100</v>
      </c>
      <c r="E418" s="7">
        <v>19.564</v>
      </c>
      <c r="F418" s="7">
        <v>3.9940000000000002</v>
      </c>
      <c r="G418" s="7">
        <v>4.45</v>
      </c>
      <c r="H418" s="7">
        <v>5.6539999999999999</v>
      </c>
      <c r="I418" s="7">
        <v>5.1429999999999998</v>
      </c>
      <c r="J418" s="7">
        <v>4.71</v>
      </c>
      <c r="K418" s="7">
        <v>4.4550000000000001</v>
      </c>
      <c r="L418" s="7">
        <v>4.9980000000000002</v>
      </c>
      <c r="M418" s="7">
        <v>4.976</v>
      </c>
      <c r="N418" s="7">
        <v>4.577</v>
      </c>
      <c r="O418" s="7">
        <v>5.0259999999999998</v>
      </c>
    </row>
    <row r="419" spans="1:15" x14ac:dyDescent="0.25">
      <c r="A419" s="5" t="s">
        <v>431</v>
      </c>
      <c r="B419" s="5">
        <v>20</v>
      </c>
      <c r="C419" s="5" t="s">
        <v>2</v>
      </c>
      <c r="D419" s="6">
        <v>74</v>
      </c>
      <c r="E419" s="7">
        <v>14.481999999999999</v>
      </c>
      <c r="F419" s="7">
        <v>2.2669999999999999</v>
      </c>
      <c r="G419" s="7">
        <v>5.6180000000000003</v>
      </c>
      <c r="H419" s="7">
        <v>5.17</v>
      </c>
      <c r="I419" s="7">
        <v>5.9320000000000004</v>
      </c>
      <c r="J419" s="7">
        <v>5.2919999999999998</v>
      </c>
      <c r="K419" s="7">
        <v>4.423</v>
      </c>
      <c r="L419" s="7">
        <v>5.1079999999999997</v>
      </c>
      <c r="M419" s="7">
        <v>4.9260000000000002</v>
      </c>
      <c r="N419" s="7">
        <v>4.2759999999999998</v>
      </c>
      <c r="O419" s="7">
        <v>4.8259999999999996</v>
      </c>
    </row>
    <row r="420" spans="1:15" x14ac:dyDescent="0.25">
      <c r="A420" s="5" t="s">
        <v>432</v>
      </c>
      <c r="B420" s="5">
        <v>54</v>
      </c>
      <c r="C420" s="5" t="s">
        <v>2</v>
      </c>
      <c r="D420" s="6">
        <v>125</v>
      </c>
      <c r="E420" s="7">
        <v>25.617999999999999</v>
      </c>
      <c r="F420" s="7">
        <v>6.6920000000000002</v>
      </c>
      <c r="G420" s="7">
        <v>4.3380000000000001</v>
      </c>
      <c r="H420" s="7">
        <v>6.444</v>
      </c>
      <c r="I420" s="7">
        <v>5.6630000000000003</v>
      </c>
      <c r="J420" s="7">
        <v>5.2089999999999996</v>
      </c>
      <c r="K420" s="7">
        <v>4.7409999999999997</v>
      </c>
      <c r="L420" s="7">
        <v>5.1890000000000001</v>
      </c>
      <c r="M420" s="7">
        <v>5.1779999999999999</v>
      </c>
      <c r="N420" s="7">
        <v>4.3029999999999999</v>
      </c>
      <c r="O420" s="7">
        <v>5.0789999999999997</v>
      </c>
    </row>
    <row r="421" spans="1:15" x14ac:dyDescent="0.25">
      <c r="A421" s="5" t="s">
        <v>433</v>
      </c>
      <c r="B421" s="5">
        <v>60</v>
      </c>
      <c r="C421" s="5" t="s">
        <v>2</v>
      </c>
      <c r="D421" s="6">
        <v>110</v>
      </c>
      <c r="E421" s="7">
        <v>22.137</v>
      </c>
      <c r="F421" s="7">
        <v>4.7169999999999996</v>
      </c>
      <c r="G421" s="7">
        <v>4.0229999999999997</v>
      </c>
      <c r="H421" s="7">
        <v>4.3579999999999997</v>
      </c>
      <c r="I421" s="7">
        <v>5.3140000000000001</v>
      </c>
      <c r="J421" s="7">
        <v>4.5880000000000001</v>
      </c>
      <c r="K421" s="7">
        <v>4.633</v>
      </c>
      <c r="L421" s="7">
        <v>5.0810000000000004</v>
      </c>
      <c r="M421" s="7">
        <v>4.6630000000000003</v>
      </c>
      <c r="N421" s="7">
        <v>4.6760000000000002</v>
      </c>
      <c r="O421" s="7">
        <v>5.0380000000000003</v>
      </c>
    </row>
    <row r="422" spans="1:15" x14ac:dyDescent="0.25">
      <c r="A422" s="5" t="s">
        <v>434</v>
      </c>
      <c r="B422" s="5">
        <v>57</v>
      </c>
      <c r="C422" s="5" t="s">
        <v>3</v>
      </c>
      <c r="D422" s="6">
        <v>118</v>
      </c>
      <c r="E422" s="7">
        <v>23.638000000000002</v>
      </c>
      <c r="F422" s="7">
        <v>6.1219999999999999</v>
      </c>
      <c r="G422" s="7">
        <v>3.8130000000000002</v>
      </c>
      <c r="H422" s="7">
        <v>5.3209999999999997</v>
      </c>
      <c r="I422" s="7">
        <v>5.1980000000000004</v>
      </c>
      <c r="J422" s="7">
        <v>4.6280000000000001</v>
      </c>
      <c r="K422" s="7">
        <v>4.9939999999999998</v>
      </c>
      <c r="L422" s="7">
        <v>4.8419999999999996</v>
      </c>
      <c r="M422" s="7">
        <v>5.04</v>
      </c>
      <c r="N422" s="7">
        <v>5.51</v>
      </c>
      <c r="O422" s="7">
        <v>5.0199999999999996</v>
      </c>
    </row>
    <row r="423" spans="1:15" x14ac:dyDescent="0.25">
      <c r="A423" s="5" t="s">
        <v>435</v>
      </c>
      <c r="B423" s="5">
        <v>72</v>
      </c>
      <c r="C423" s="5" t="s">
        <v>2</v>
      </c>
      <c r="D423" s="6">
        <v>107</v>
      </c>
      <c r="E423" s="7">
        <v>21.311</v>
      </c>
      <c r="F423" s="7">
        <v>4.6929999999999996</v>
      </c>
      <c r="G423" s="7">
        <v>4.7910000000000004</v>
      </c>
      <c r="H423" s="7">
        <v>4.2320000000000002</v>
      </c>
      <c r="I423" s="7">
        <v>6.077</v>
      </c>
      <c r="J423" s="7">
        <v>4.7050000000000001</v>
      </c>
      <c r="K423" s="7">
        <v>4.9950000000000001</v>
      </c>
      <c r="L423" s="7">
        <v>4.641</v>
      </c>
      <c r="M423" s="7">
        <v>5.1660000000000004</v>
      </c>
      <c r="N423" s="7">
        <v>5.4450000000000003</v>
      </c>
      <c r="O423" s="7">
        <v>5.21</v>
      </c>
    </row>
    <row r="424" spans="1:15" x14ac:dyDescent="0.25">
      <c r="A424" s="5" t="s">
        <v>436</v>
      </c>
      <c r="B424" s="5">
        <v>56</v>
      </c>
      <c r="C424" s="5" t="s">
        <v>2</v>
      </c>
      <c r="D424" s="6">
        <v>109</v>
      </c>
      <c r="E424" s="7">
        <v>21.904</v>
      </c>
      <c r="F424" s="7">
        <v>4.8310000000000004</v>
      </c>
      <c r="G424" s="7">
        <v>4.4020000000000001</v>
      </c>
      <c r="H424" s="7">
        <v>5.048</v>
      </c>
      <c r="I424" s="7">
        <v>5.2009999999999996</v>
      </c>
      <c r="J424" s="7">
        <v>4.8710000000000004</v>
      </c>
      <c r="K424" s="7">
        <v>5.7750000000000004</v>
      </c>
      <c r="L424" s="7">
        <v>5.1680000000000001</v>
      </c>
      <c r="M424" s="7">
        <v>5.0490000000000004</v>
      </c>
      <c r="N424" s="7">
        <v>4.5629999999999997</v>
      </c>
      <c r="O424" s="7">
        <v>4.97</v>
      </c>
    </row>
    <row r="425" spans="1:15" x14ac:dyDescent="0.25">
      <c r="A425" s="5" t="s">
        <v>437</v>
      </c>
      <c r="B425" s="5">
        <v>32</v>
      </c>
      <c r="C425" s="5" t="s">
        <v>2</v>
      </c>
      <c r="D425" s="6">
        <v>101</v>
      </c>
      <c r="E425" s="7">
        <v>20.3</v>
      </c>
      <c r="F425" s="7">
        <v>4.9189999999999996</v>
      </c>
      <c r="G425" s="7">
        <v>5.3479999999999999</v>
      </c>
      <c r="H425" s="7">
        <v>5.4980000000000002</v>
      </c>
      <c r="I425" s="7">
        <v>5.2729999999999997</v>
      </c>
      <c r="J425" s="7">
        <v>5.0860000000000003</v>
      </c>
      <c r="K425" s="7">
        <v>5.5940000000000003</v>
      </c>
      <c r="L425" s="7">
        <v>5.625</v>
      </c>
      <c r="M425" s="7">
        <v>5.2629999999999999</v>
      </c>
      <c r="N425" s="7">
        <v>4.8869999999999996</v>
      </c>
      <c r="O425" s="7">
        <v>5.1050000000000004</v>
      </c>
    </row>
    <row r="426" spans="1:15" x14ac:dyDescent="0.25">
      <c r="A426" s="5" t="s">
        <v>438</v>
      </c>
      <c r="B426" s="5">
        <v>21</v>
      </c>
      <c r="C426" s="5" t="s">
        <v>3</v>
      </c>
      <c r="D426" s="6">
        <v>115</v>
      </c>
      <c r="E426" s="7">
        <v>23.103999999999999</v>
      </c>
      <c r="F426" s="7">
        <v>4.9619999999999997</v>
      </c>
      <c r="G426" s="7">
        <v>3.68</v>
      </c>
      <c r="H426" s="7">
        <v>6.6829999999999998</v>
      </c>
      <c r="I426" s="7">
        <v>4.4080000000000004</v>
      </c>
      <c r="J426" s="7">
        <v>3.6869999999999998</v>
      </c>
      <c r="K426" s="7">
        <v>4.91</v>
      </c>
      <c r="L426" s="7">
        <v>4.7220000000000004</v>
      </c>
      <c r="M426" s="7">
        <v>5.0510000000000002</v>
      </c>
      <c r="N426" s="7">
        <v>4.8769999999999998</v>
      </c>
      <c r="O426" s="7">
        <v>4.6890000000000001</v>
      </c>
    </row>
    <row r="427" spans="1:15" x14ac:dyDescent="0.25">
      <c r="A427" s="5" t="s">
        <v>439</v>
      </c>
      <c r="B427" s="5">
        <v>42</v>
      </c>
      <c r="C427" s="5" t="s">
        <v>2</v>
      </c>
      <c r="D427" s="6">
        <v>131</v>
      </c>
      <c r="E427" s="7">
        <v>26.241</v>
      </c>
      <c r="F427" s="7">
        <v>7.0910000000000002</v>
      </c>
      <c r="G427" s="7">
        <v>4.109</v>
      </c>
      <c r="H427" s="7">
        <v>4.0069999999999997</v>
      </c>
      <c r="I427" s="7">
        <v>5.6630000000000003</v>
      </c>
      <c r="J427" s="7">
        <v>5.218</v>
      </c>
      <c r="K427" s="7">
        <v>5.742</v>
      </c>
      <c r="L427" s="7">
        <v>4.9459999999999997</v>
      </c>
      <c r="M427" s="7">
        <v>5.1630000000000003</v>
      </c>
      <c r="N427" s="7">
        <v>5.0380000000000003</v>
      </c>
      <c r="O427" s="7">
        <v>4.734</v>
      </c>
    </row>
    <row r="428" spans="1:15" x14ac:dyDescent="0.25">
      <c r="A428" s="5" t="s">
        <v>440</v>
      </c>
      <c r="B428" s="5">
        <v>30</v>
      </c>
      <c r="C428" s="5" t="s">
        <v>3</v>
      </c>
      <c r="D428" s="6">
        <v>104</v>
      </c>
      <c r="E428" s="7">
        <v>21.109000000000002</v>
      </c>
      <c r="F428" s="7">
        <v>4.5890000000000004</v>
      </c>
      <c r="G428" s="7">
        <v>3.8839999999999999</v>
      </c>
      <c r="H428" s="7">
        <v>4.54</v>
      </c>
      <c r="I428" s="7">
        <v>3.8130000000000002</v>
      </c>
      <c r="J428" s="7">
        <v>4.3449999999999998</v>
      </c>
      <c r="K428" s="7">
        <v>4.4619999999999997</v>
      </c>
      <c r="L428" s="7">
        <v>5.4379999999999997</v>
      </c>
      <c r="M428" s="7">
        <v>5.3449999999999998</v>
      </c>
      <c r="N428" s="7">
        <v>5.2119999999999997</v>
      </c>
      <c r="O428" s="7">
        <v>5.2409999999999997</v>
      </c>
    </row>
    <row r="429" spans="1:15" x14ac:dyDescent="0.25">
      <c r="A429" s="5" t="s">
        <v>441</v>
      </c>
      <c r="B429" s="5">
        <v>50</v>
      </c>
      <c r="C429" s="5" t="s">
        <v>3</v>
      </c>
      <c r="D429" s="6">
        <v>135</v>
      </c>
      <c r="E429" s="7">
        <v>27.007999999999999</v>
      </c>
      <c r="F429" s="7">
        <v>7.9580000000000002</v>
      </c>
      <c r="G429" s="7">
        <v>4.0190000000000001</v>
      </c>
      <c r="H429" s="7">
        <v>4.5789999999999997</v>
      </c>
      <c r="I429" s="7">
        <v>3.5350000000000001</v>
      </c>
      <c r="J429" s="7">
        <v>4.9219999999999997</v>
      </c>
      <c r="K429" s="7">
        <v>5.1159999999999997</v>
      </c>
      <c r="L429" s="7">
        <v>5.0549999999999997</v>
      </c>
      <c r="M429" s="7">
        <v>4.5110000000000001</v>
      </c>
      <c r="N429" s="7">
        <v>4.9349999999999996</v>
      </c>
      <c r="O429" s="7">
        <v>4.8689999999999998</v>
      </c>
    </row>
    <row r="430" spans="1:15" x14ac:dyDescent="0.25">
      <c r="A430" s="5" t="s">
        <v>442</v>
      </c>
      <c r="B430" s="5">
        <v>33</v>
      </c>
      <c r="C430" s="5" t="s">
        <v>3</v>
      </c>
      <c r="D430" s="6">
        <v>76</v>
      </c>
      <c r="E430" s="7">
        <v>14.852</v>
      </c>
      <c r="F430" s="7">
        <v>3.3130000000000002</v>
      </c>
      <c r="G430" s="7">
        <v>5.5679999999999996</v>
      </c>
      <c r="H430" s="7">
        <v>3.1579999999999999</v>
      </c>
      <c r="I430" s="7">
        <v>3.794</v>
      </c>
      <c r="J430" s="7">
        <v>4.8319999999999999</v>
      </c>
      <c r="K430" s="7">
        <v>4.9009999999999998</v>
      </c>
      <c r="L430" s="7">
        <v>5.0970000000000004</v>
      </c>
      <c r="M430" s="7">
        <v>4.7439999999999998</v>
      </c>
      <c r="N430" s="7">
        <v>4.4779999999999998</v>
      </c>
      <c r="O430" s="7">
        <v>4.8410000000000002</v>
      </c>
    </row>
    <row r="431" spans="1:15" x14ac:dyDescent="0.25">
      <c r="A431" s="5" t="s">
        <v>443</v>
      </c>
      <c r="B431" s="5">
        <v>59</v>
      </c>
      <c r="C431" s="5" t="s">
        <v>3</v>
      </c>
      <c r="D431" s="6">
        <v>108</v>
      </c>
      <c r="E431" s="7">
        <v>21.382000000000001</v>
      </c>
      <c r="F431" s="7">
        <v>5.29</v>
      </c>
      <c r="G431" s="7">
        <v>4.5830000000000002</v>
      </c>
      <c r="H431" s="7">
        <v>2.601</v>
      </c>
      <c r="I431" s="7">
        <v>5.2050000000000001</v>
      </c>
      <c r="J431" s="7">
        <v>4.6260000000000003</v>
      </c>
      <c r="K431" s="7">
        <v>6.149</v>
      </c>
      <c r="L431" s="7">
        <v>4.7039999999999997</v>
      </c>
      <c r="M431" s="7">
        <v>5.2590000000000003</v>
      </c>
      <c r="N431" s="7">
        <v>5.0780000000000003</v>
      </c>
      <c r="O431" s="7">
        <v>5.2169999999999996</v>
      </c>
    </row>
    <row r="432" spans="1:15" x14ac:dyDescent="0.25">
      <c r="A432" s="5" t="s">
        <v>444</v>
      </c>
      <c r="B432" s="5">
        <v>83</v>
      </c>
      <c r="C432" s="5" t="s">
        <v>2</v>
      </c>
      <c r="D432" s="6">
        <v>86</v>
      </c>
      <c r="E432" s="7">
        <v>16.495000000000001</v>
      </c>
      <c r="F432" s="7">
        <v>3.5310000000000001</v>
      </c>
      <c r="G432" s="7">
        <v>4.4880000000000004</v>
      </c>
      <c r="H432" s="7">
        <v>4.9889999999999999</v>
      </c>
      <c r="I432" s="7">
        <v>4.6219999999999999</v>
      </c>
      <c r="J432" s="7">
        <v>4.7910000000000004</v>
      </c>
      <c r="K432" s="7">
        <v>5.9009999999999998</v>
      </c>
      <c r="L432" s="7">
        <v>5.0839999999999996</v>
      </c>
      <c r="M432" s="7">
        <v>4.4580000000000002</v>
      </c>
      <c r="N432" s="7">
        <v>4.4379999999999997</v>
      </c>
      <c r="O432" s="7">
        <v>4.8230000000000004</v>
      </c>
    </row>
    <row r="433" spans="1:15" x14ac:dyDescent="0.25">
      <c r="A433" s="5" t="s">
        <v>445</v>
      </c>
      <c r="B433" s="5">
        <v>72</v>
      </c>
      <c r="C433" s="5" t="s">
        <v>3</v>
      </c>
      <c r="D433" s="6">
        <v>109</v>
      </c>
      <c r="E433" s="7">
        <v>22.521999999999998</v>
      </c>
      <c r="F433" s="7">
        <v>5.4489999999999998</v>
      </c>
      <c r="G433" s="7">
        <v>5.1239999999999997</v>
      </c>
      <c r="H433" s="7">
        <v>4.17</v>
      </c>
      <c r="I433" s="7">
        <v>4.63</v>
      </c>
      <c r="J433" s="7">
        <v>4.0739999999999998</v>
      </c>
      <c r="K433" s="7">
        <v>4.3899999999999997</v>
      </c>
      <c r="L433" s="7">
        <v>5.2709999999999999</v>
      </c>
      <c r="M433" s="7">
        <v>4.5469999999999997</v>
      </c>
      <c r="N433" s="7">
        <v>5.1589999999999998</v>
      </c>
      <c r="O433" s="7">
        <v>4.9640000000000004</v>
      </c>
    </row>
    <row r="434" spans="1:15" x14ac:dyDescent="0.25">
      <c r="A434" s="5" t="s">
        <v>446</v>
      </c>
      <c r="B434" s="5">
        <v>59</v>
      </c>
      <c r="C434" s="5" t="s">
        <v>3</v>
      </c>
      <c r="D434" s="6">
        <v>79</v>
      </c>
      <c r="E434" s="7">
        <v>16.106999999999999</v>
      </c>
      <c r="F434" s="7">
        <v>3.3039999999999998</v>
      </c>
      <c r="G434" s="7">
        <v>5.931</v>
      </c>
      <c r="H434" s="7">
        <v>4.5259999999999998</v>
      </c>
      <c r="I434" s="7">
        <v>3.6080000000000001</v>
      </c>
      <c r="J434" s="7">
        <v>4.13</v>
      </c>
      <c r="K434" s="7">
        <v>4.8769999999999998</v>
      </c>
      <c r="L434" s="7">
        <v>4.5140000000000002</v>
      </c>
      <c r="M434" s="7">
        <v>5.4009999999999998</v>
      </c>
      <c r="N434" s="7">
        <v>5.07</v>
      </c>
      <c r="O434" s="7">
        <v>5.0410000000000004</v>
      </c>
    </row>
    <row r="435" spans="1:15" x14ac:dyDescent="0.25">
      <c r="A435" s="5" t="s">
        <v>447</v>
      </c>
      <c r="B435" s="5">
        <v>51</v>
      </c>
      <c r="C435" s="5" t="s">
        <v>2</v>
      </c>
      <c r="D435" s="6">
        <v>97</v>
      </c>
      <c r="E435" s="7">
        <v>19.103999999999999</v>
      </c>
      <c r="F435" s="7">
        <v>5.0599999999999996</v>
      </c>
      <c r="G435" s="7">
        <v>6.7640000000000002</v>
      </c>
      <c r="H435" s="7">
        <v>5.4139999999999997</v>
      </c>
      <c r="I435" s="7">
        <v>4.1859999999999999</v>
      </c>
      <c r="J435" s="7">
        <v>5.1970000000000001</v>
      </c>
      <c r="K435" s="7">
        <v>4.5259999999999998</v>
      </c>
      <c r="L435" s="7">
        <v>6.04</v>
      </c>
      <c r="M435" s="7">
        <v>4.9089999999999998</v>
      </c>
      <c r="N435" s="7">
        <v>4.702</v>
      </c>
      <c r="O435" s="7">
        <v>5.0759999999999996</v>
      </c>
    </row>
    <row r="436" spans="1:15" x14ac:dyDescent="0.25">
      <c r="A436" s="5" t="s">
        <v>448</v>
      </c>
      <c r="B436" s="5">
        <v>47</v>
      </c>
      <c r="C436" s="5" t="s">
        <v>2</v>
      </c>
      <c r="D436" s="6">
        <v>83</v>
      </c>
      <c r="E436" s="7">
        <v>16.5</v>
      </c>
      <c r="F436" s="7">
        <v>3.8519999999999999</v>
      </c>
      <c r="G436" s="7">
        <v>6.423</v>
      </c>
      <c r="H436" s="7">
        <v>4.6100000000000003</v>
      </c>
      <c r="I436" s="7">
        <v>5.6260000000000003</v>
      </c>
      <c r="J436" s="7">
        <v>5.22</v>
      </c>
      <c r="K436" s="7">
        <v>5.0389999999999997</v>
      </c>
      <c r="L436" s="7">
        <v>4.492</v>
      </c>
      <c r="M436" s="7">
        <v>4.8230000000000004</v>
      </c>
      <c r="N436" s="7">
        <v>5.069</v>
      </c>
      <c r="O436" s="7">
        <v>5.1829999999999998</v>
      </c>
    </row>
    <row r="437" spans="1:15" x14ac:dyDescent="0.25">
      <c r="A437" s="5" t="s">
        <v>449</v>
      </c>
      <c r="B437" s="5">
        <v>30</v>
      </c>
      <c r="C437" s="5" t="s">
        <v>3</v>
      </c>
      <c r="D437" s="6">
        <v>119</v>
      </c>
      <c r="E437" s="7">
        <v>23.573</v>
      </c>
      <c r="F437" s="7">
        <v>6.9939999999999998</v>
      </c>
      <c r="G437" s="7">
        <v>6.2380000000000004</v>
      </c>
      <c r="H437" s="7">
        <v>4.5259999999999998</v>
      </c>
      <c r="I437" s="7">
        <v>5.0309999999999997</v>
      </c>
      <c r="J437" s="7">
        <v>4.6100000000000003</v>
      </c>
      <c r="K437" s="7">
        <v>5.3049999999999997</v>
      </c>
      <c r="L437" s="7">
        <v>5.31</v>
      </c>
      <c r="M437" s="7">
        <v>5.2350000000000003</v>
      </c>
      <c r="N437" s="7">
        <v>4.7240000000000002</v>
      </c>
      <c r="O437" s="7">
        <v>4.5650000000000004</v>
      </c>
    </row>
    <row r="438" spans="1:15" x14ac:dyDescent="0.25">
      <c r="A438" s="5" t="s">
        <v>450</v>
      </c>
      <c r="B438" s="5">
        <v>30</v>
      </c>
      <c r="C438" s="5" t="s">
        <v>2</v>
      </c>
      <c r="D438" s="6">
        <v>122</v>
      </c>
      <c r="E438" s="7">
        <v>24.949000000000002</v>
      </c>
      <c r="F438" s="7">
        <v>5.9210000000000003</v>
      </c>
      <c r="G438" s="7">
        <v>3.3010000000000002</v>
      </c>
      <c r="H438" s="7">
        <v>5.2279999999999998</v>
      </c>
      <c r="I438" s="7">
        <v>4.0949999999999998</v>
      </c>
      <c r="J438" s="7">
        <v>4.53</v>
      </c>
      <c r="K438" s="7">
        <v>3.794</v>
      </c>
      <c r="L438" s="7">
        <v>4.7460000000000004</v>
      </c>
      <c r="M438" s="7">
        <v>5.4669999999999996</v>
      </c>
      <c r="N438" s="7">
        <v>4.7789999999999999</v>
      </c>
      <c r="O438" s="7">
        <v>4.8479999999999999</v>
      </c>
    </row>
    <row r="439" spans="1:15" x14ac:dyDescent="0.25">
      <c r="A439" s="5" t="s">
        <v>451</v>
      </c>
      <c r="B439" s="5">
        <v>35</v>
      </c>
      <c r="C439" s="5" t="s">
        <v>3</v>
      </c>
      <c r="D439" s="6">
        <v>130</v>
      </c>
      <c r="E439" s="7">
        <v>25.494</v>
      </c>
      <c r="F439" s="7">
        <v>6.6230000000000002</v>
      </c>
      <c r="G439" s="7">
        <v>3.4359999999999999</v>
      </c>
      <c r="H439" s="7">
        <v>4.7759999999999998</v>
      </c>
      <c r="I439" s="7">
        <v>5.0780000000000003</v>
      </c>
      <c r="J439" s="7">
        <v>4.2320000000000002</v>
      </c>
      <c r="K439" s="7">
        <v>4.282</v>
      </c>
      <c r="L439" s="7">
        <v>4.6639999999999997</v>
      </c>
      <c r="M439" s="7">
        <v>4.2759999999999998</v>
      </c>
      <c r="N439" s="7">
        <v>4.8529999999999998</v>
      </c>
      <c r="O439" s="7">
        <v>4.8449999999999998</v>
      </c>
    </row>
    <row r="440" spans="1:15" x14ac:dyDescent="0.25">
      <c r="A440" s="5" t="s">
        <v>452</v>
      </c>
      <c r="B440" s="5">
        <v>49</v>
      </c>
      <c r="C440" s="5" t="s">
        <v>3</v>
      </c>
      <c r="D440" s="6">
        <v>99</v>
      </c>
      <c r="E440" s="7">
        <v>19.841000000000001</v>
      </c>
      <c r="F440" s="7">
        <v>4.5119999999999996</v>
      </c>
      <c r="G440" s="7">
        <v>4.944</v>
      </c>
      <c r="H440" s="7">
        <v>5.5049999999999999</v>
      </c>
      <c r="I440" s="7">
        <v>6.5119999999999996</v>
      </c>
      <c r="J440" s="7">
        <v>6.6669999999999998</v>
      </c>
      <c r="K440" s="7">
        <v>5.3579999999999997</v>
      </c>
      <c r="L440" s="7">
        <v>4.8280000000000003</v>
      </c>
      <c r="M440" s="7">
        <v>5.149</v>
      </c>
      <c r="N440" s="7">
        <v>5.3869999999999996</v>
      </c>
      <c r="O440" s="7">
        <v>5.2089999999999996</v>
      </c>
    </row>
    <row r="441" spans="1:15" x14ac:dyDescent="0.25">
      <c r="A441" s="5" t="s">
        <v>453</v>
      </c>
      <c r="B441" s="5">
        <v>56</v>
      </c>
      <c r="C441" s="5" t="s">
        <v>3</v>
      </c>
      <c r="D441" s="6">
        <v>94</v>
      </c>
      <c r="E441" s="7">
        <v>18.760999999999999</v>
      </c>
      <c r="F441" s="7">
        <v>3.8039999999999998</v>
      </c>
      <c r="G441" s="7">
        <v>4.3570000000000002</v>
      </c>
      <c r="H441" s="7">
        <v>4.99</v>
      </c>
      <c r="I441" s="7">
        <v>6.5739999999999998</v>
      </c>
      <c r="J441" s="7">
        <v>4.6020000000000003</v>
      </c>
      <c r="K441" s="7">
        <v>5.7720000000000002</v>
      </c>
      <c r="L441" s="7">
        <v>4.6109999999999998</v>
      </c>
      <c r="M441" s="7">
        <v>5.1360000000000001</v>
      </c>
      <c r="N441" s="7">
        <v>5.4480000000000004</v>
      </c>
      <c r="O441" s="7">
        <v>5.1959999999999997</v>
      </c>
    </row>
    <row r="442" spans="1:15" x14ac:dyDescent="0.25">
      <c r="A442" s="5" t="s">
        <v>454</v>
      </c>
      <c r="B442" s="5">
        <v>63</v>
      </c>
      <c r="C442" s="5" t="s">
        <v>3</v>
      </c>
      <c r="D442" s="6">
        <v>88</v>
      </c>
      <c r="E442" s="7">
        <v>17.895</v>
      </c>
      <c r="F442" s="7">
        <v>3.581</v>
      </c>
      <c r="G442" s="7">
        <v>6.0090000000000003</v>
      </c>
      <c r="H442" s="7">
        <v>5.0629999999999997</v>
      </c>
      <c r="I442" s="7">
        <v>4.8570000000000002</v>
      </c>
      <c r="J442" s="7">
        <v>5.0789999999999997</v>
      </c>
      <c r="K442" s="7">
        <v>5.16</v>
      </c>
      <c r="L442" s="7">
        <v>4.9379999999999997</v>
      </c>
      <c r="M442" s="7">
        <v>5.5659999999999998</v>
      </c>
      <c r="N442" s="7">
        <v>5.0709999999999997</v>
      </c>
      <c r="O442" s="7">
        <v>4.82</v>
      </c>
    </row>
    <row r="443" spans="1:15" x14ac:dyDescent="0.25">
      <c r="A443" s="5" t="s">
        <v>455</v>
      </c>
      <c r="B443" s="5">
        <v>46</v>
      </c>
      <c r="C443" s="5" t="s">
        <v>2</v>
      </c>
      <c r="D443" s="6">
        <v>109</v>
      </c>
      <c r="E443" s="7">
        <v>21.763000000000002</v>
      </c>
      <c r="F443" s="7">
        <v>5.468</v>
      </c>
      <c r="G443" s="7">
        <v>4.9589999999999996</v>
      </c>
      <c r="H443" s="7">
        <v>4.6950000000000003</v>
      </c>
      <c r="I443" s="7">
        <v>4.8150000000000004</v>
      </c>
      <c r="J443" s="7">
        <v>5.0659999999999998</v>
      </c>
      <c r="K443" s="7">
        <v>5.319</v>
      </c>
      <c r="L443" s="7">
        <v>4.6710000000000003</v>
      </c>
      <c r="M443" s="7">
        <v>4.8620000000000001</v>
      </c>
      <c r="N443" s="7">
        <v>4.6449999999999996</v>
      </c>
      <c r="O443" s="7">
        <v>4.8159999999999998</v>
      </c>
    </row>
    <row r="444" spans="1:15" x14ac:dyDescent="0.25">
      <c r="A444" s="5" t="s">
        <v>456</v>
      </c>
      <c r="B444" s="5">
        <v>79</v>
      </c>
      <c r="C444" s="5" t="s">
        <v>3</v>
      </c>
      <c r="D444" s="6">
        <v>114</v>
      </c>
      <c r="E444" s="7">
        <v>22.173999999999999</v>
      </c>
      <c r="F444" s="7">
        <v>6.33</v>
      </c>
      <c r="G444" s="7">
        <v>5.1079999999999997</v>
      </c>
      <c r="H444" s="7">
        <v>4.5880000000000001</v>
      </c>
      <c r="I444" s="7">
        <v>5.6050000000000004</v>
      </c>
      <c r="J444" s="7">
        <v>4.6349999999999998</v>
      </c>
      <c r="K444" s="7">
        <v>4.7560000000000002</v>
      </c>
      <c r="L444" s="7">
        <v>5.4470000000000001</v>
      </c>
      <c r="M444" s="7">
        <v>5.1829999999999998</v>
      </c>
      <c r="N444" s="7">
        <v>5.0129999999999999</v>
      </c>
      <c r="O444" s="7">
        <v>4.88</v>
      </c>
    </row>
    <row r="445" spans="1:15" x14ac:dyDescent="0.25">
      <c r="A445" s="5" t="s">
        <v>457</v>
      </c>
      <c r="B445" s="5">
        <v>79</v>
      </c>
      <c r="C445" s="5" t="s">
        <v>2</v>
      </c>
      <c r="D445" s="6">
        <v>117</v>
      </c>
      <c r="E445" s="7">
        <v>23.311</v>
      </c>
      <c r="F445" s="7">
        <v>7.3049999999999997</v>
      </c>
      <c r="G445" s="7">
        <v>5.8</v>
      </c>
      <c r="H445" s="7">
        <v>4.4459999999999997</v>
      </c>
      <c r="I445" s="7">
        <v>4.2759999999999998</v>
      </c>
      <c r="J445" s="7">
        <v>4.6890000000000001</v>
      </c>
      <c r="K445" s="7">
        <v>5.6630000000000003</v>
      </c>
      <c r="L445" s="7">
        <v>5.6</v>
      </c>
      <c r="M445" s="7">
        <v>4.4349999999999996</v>
      </c>
      <c r="N445" s="7">
        <v>5.74</v>
      </c>
      <c r="O445" s="7">
        <v>5.5949999999999998</v>
      </c>
    </row>
    <row r="446" spans="1:15" x14ac:dyDescent="0.25">
      <c r="A446" s="5" t="s">
        <v>458</v>
      </c>
      <c r="B446" s="5">
        <v>74</v>
      </c>
      <c r="C446" s="5" t="s">
        <v>2</v>
      </c>
      <c r="D446" s="6">
        <v>114</v>
      </c>
      <c r="E446" s="7">
        <v>22.454000000000001</v>
      </c>
      <c r="F446" s="7">
        <v>5.851</v>
      </c>
      <c r="G446" s="7">
        <v>4.9269999999999996</v>
      </c>
      <c r="H446" s="7">
        <v>5.7210000000000001</v>
      </c>
      <c r="I446" s="7">
        <v>4.8330000000000002</v>
      </c>
      <c r="J446" s="7">
        <v>6.4550000000000001</v>
      </c>
      <c r="K446" s="7">
        <v>5.3949999999999996</v>
      </c>
      <c r="L446" s="7">
        <v>5.3730000000000002</v>
      </c>
      <c r="M446" s="7">
        <v>4.0430000000000001</v>
      </c>
      <c r="N446" s="7">
        <v>4.7539999999999996</v>
      </c>
      <c r="O446" s="7">
        <v>5.0140000000000002</v>
      </c>
    </row>
    <row r="447" spans="1:15" x14ac:dyDescent="0.25">
      <c r="A447" s="5" t="s">
        <v>459</v>
      </c>
      <c r="B447" s="5">
        <v>33</v>
      </c>
      <c r="C447" s="5" t="s">
        <v>2</v>
      </c>
      <c r="D447" s="6">
        <v>104</v>
      </c>
      <c r="E447" s="7">
        <v>20.827999999999999</v>
      </c>
      <c r="F447" s="7">
        <v>5.5220000000000002</v>
      </c>
      <c r="G447" s="7">
        <v>5.5380000000000003</v>
      </c>
      <c r="H447" s="7">
        <v>5.9249999999999998</v>
      </c>
      <c r="I447" s="7">
        <v>4.1529999999999996</v>
      </c>
      <c r="J447" s="7">
        <v>5.1310000000000002</v>
      </c>
      <c r="K447" s="7">
        <v>5.1509999999999998</v>
      </c>
      <c r="L447" s="7">
        <v>5.649</v>
      </c>
      <c r="M447" s="7">
        <v>5.3860000000000001</v>
      </c>
      <c r="N447" s="7">
        <v>5.0890000000000004</v>
      </c>
      <c r="O447" s="7">
        <v>5.04</v>
      </c>
    </row>
    <row r="448" spans="1:15" x14ac:dyDescent="0.25">
      <c r="A448" s="5" t="s">
        <v>460</v>
      </c>
      <c r="B448" s="5">
        <v>73</v>
      </c>
      <c r="C448" s="5" t="s">
        <v>2</v>
      </c>
      <c r="D448" s="6">
        <v>136</v>
      </c>
      <c r="E448" s="7">
        <v>27.710999999999999</v>
      </c>
      <c r="F448" s="7">
        <v>8.2010000000000005</v>
      </c>
      <c r="G448" s="7">
        <v>4.4950000000000001</v>
      </c>
      <c r="H448" s="7">
        <v>6.694</v>
      </c>
      <c r="I448" s="7">
        <v>5.3449999999999998</v>
      </c>
      <c r="J448" s="7">
        <v>5.4139999999999997</v>
      </c>
      <c r="K448" s="7">
        <v>4.4820000000000002</v>
      </c>
      <c r="L448" s="7">
        <v>4.4880000000000004</v>
      </c>
      <c r="M448" s="7">
        <v>4.0869999999999997</v>
      </c>
      <c r="N448" s="7">
        <v>5.4660000000000002</v>
      </c>
      <c r="O448" s="7">
        <v>4.819</v>
      </c>
    </row>
    <row r="449" spans="1:15" x14ac:dyDescent="0.25">
      <c r="A449" s="5" t="s">
        <v>461</v>
      </c>
      <c r="B449" s="5">
        <v>27</v>
      </c>
      <c r="C449" s="5" t="s">
        <v>3</v>
      </c>
      <c r="D449" s="6">
        <v>103</v>
      </c>
      <c r="E449" s="7">
        <v>19.98</v>
      </c>
      <c r="F449" s="7">
        <v>4.67</v>
      </c>
      <c r="G449" s="7">
        <v>4.4390000000000001</v>
      </c>
      <c r="H449" s="7">
        <v>3.831</v>
      </c>
      <c r="I449" s="7">
        <v>4.8280000000000003</v>
      </c>
      <c r="J449" s="7">
        <v>4.9820000000000002</v>
      </c>
      <c r="K449" s="7">
        <v>5.4669999999999996</v>
      </c>
      <c r="L449" s="7">
        <v>4.5590000000000002</v>
      </c>
      <c r="M449" s="7">
        <v>4.7930000000000001</v>
      </c>
      <c r="N449" s="7">
        <v>5.1139999999999999</v>
      </c>
      <c r="O449" s="7">
        <v>4.9820000000000002</v>
      </c>
    </row>
    <row r="450" spans="1:15" x14ac:dyDescent="0.25">
      <c r="A450" s="5" t="s">
        <v>462</v>
      </c>
      <c r="B450" s="5">
        <v>47</v>
      </c>
      <c r="C450" s="5" t="s">
        <v>2</v>
      </c>
      <c r="D450" s="6">
        <v>103</v>
      </c>
      <c r="E450" s="7">
        <v>20.315000000000001</v>
      </c>
      <c r="F450" s="7">
        <v>4.1040000000000001</v>
      </c>
      <c r="G450" s="7">
        <v>4.3719999999999999</v>
      </c>
      <c r="H450" s="7">
        <v>5.9210000000000003</v>
      </c>
      <c r="I450" s="7">
        <v>5.1429999999999998</v>
      </c>
      <c r="J450" s="7">
        <v>5.242</v>
      </c>
      <c r="K450" s="7">
        <v>5.6020000000000003</v>
      </c>
      <c r="L450" s="7">
        <v>4.5810000000000004</v>
      </c>
      <c r="M450" s="7">
        <v>4.2809999999999997</v>
      </c>
      <c r="N450" s="7">
        <v>4.6040000000000001</v>
      </c>
      <c r="O450" s="7">
        <v>4.806</v>
      </c>
    </row>
    <row r="451" spans="1:15" x14ac:dyDescent="0.25">
      <c r="A451" s="5" t="s">
        <v>463</v>
      </c>
      <c r="B451" s="5">
        <v>42</v>
      </c>
      <c r="C451" s="5" t="s">
        <v>3</v>
      </c>
      <c r="D451" s="6">
        <v>100</v>
      </c>
      <c r="E451" s="7">
        <v>19.803000000000001</v>
      </c>
      <c r="F451" s="7">
        <v>4.0060000000000002</v>
      </c>
      <c r="G451" s="7">
        <v>5.1059999999999999</v>
      </c>
      <c r="H451" s="7">
        <v>6.11</v>
      </c>
      <c r="I451" s="7">
        <v>5.9390000000000001</v>
      </c>
      <c r="J451" s="7">
        <v>5.1619999999999999</v>
      </c>
      <c r="K451" s="7">
        <v>5.4009999999999998</v>
      </c>
      <c r="L451" s="7">
        <v>4.91</v>
      </c>
      <c r="M451" s="7">
        <v>4.9829999999999997</v>
      </c>
      <c r="N451" s="7">
        <v>4.6440000000000001</v>
      </c>
      <c r="O451" s="7">
        <v>5.1859999999999999</v>
      </c>
    </row>
    <row r="452" spans="1:15" x14ac:dyDescent="0.25">
      <c r="A452" s="5" t="s">
        <v>464</v>
      </c>
      <c r="B452" s="5">
        <v>22</v>
      </c>
      <c r="C452" s="5" t="s">
        <v>2</v>
      </c>
      <c r="D452" s="6">
        <v>84</v>
      </c>
      <c r="E452" s="7">
        <v>16.664000000000001</v>
      </c>
      <c r="F452" s="7">
        <v>3.1280000000000001</v>
      </c>
      <c r="G452" s="7">
        <v>4.22</v>
      </c>
      <c r="H452" s="7">
        <v>4.5110000000000001</v>
      </c>
      <c r="I452" s="7">
        <v>5.359</v>
      </c>
      <c r="J452" s="7">
        <v>4.2629999999999999</v>
      </c>
      <c r="K452" s="7">
        <v>5.6580000000000004</v>
      </c>
      <c r="L452" s="7">
        <v>4.6360000000000001</v>
      </c>
      <c r="M452" s="7">
        <v>5.5179999999999998</v>
      </c>
      <c r="N452" s="7">
        <v>5.024</v>
      </c>
      <c r="O452" s="7">
        <v>4.9009999999999998</v>
      </c>
    </row>
    <row r="453" spans="1:15" x14ac:dyDescent="0.25">
      <c r="A453" s="5" t="s">
        <v>465</v>
      </c>
      <c r="B453" s="5">
        <v>82</v>
      </c>
      <c r="C453" s="5" t="s">
        <v>2</v>
      </c>
      <c r="D453" s="6">
        <v>123</v>
      </c>
      <c r="E453" s="7">
        <v>24.864000000000001</v>
      </c>
      <c r="F453" s="7">
        <v>6.4980000000000002</v>
      </c>
      <c r="G453" s="7">
        <v>5.726</v>
      </c>
      <c r="H453" s="7">
        <v>4.1390000000000002</v>
      </c>
      <c r="I453" s="7">
        <v>4.8559999999999999</v>
      </c>
      <c r="J453" s="7">
        <v>4.5780000000000003</v>
      </c>
      <c r="K453" s="7">
        <v>4.7140000000000004</v>
      </c>
      <c r="L453" s="7">
        <v>5.2619999999999996</v>
      </c>
      <c r="M453" s="7">
        <v>5.5890000000000004</v>
      </c>
      <c r="N453" s="7">
        <v>4.9130000000000003</v>
      </c>
      <c r="O453" s="7">
        <v>4.4939999999999998</v>
      </c>
    </row>
    <row r="454" spans="1:15" x14ac:dyDescent="0.25">
      <c r="A454" s="5" t="s">
        <v>466</v>
      </c>
      <c r="B454" s="5">
        <v>66</v>
      </c>
      <c r="C454" s="5" t="s">
        <v>3</v>
      </c>
      <c r="D454" s="6">
        <v>101</v>
      </c>
      <c r="E454" s="7">
        <v>20.138000000000002</v>
      </c>
      <c r="F454" s="7">
        <v>3.3679999999999999</v>
      </c>
      <c r="G454" s="7">
        <v>2.7549999999999999</v>
      </c>
      <c r="H454" s="7">
        <v>5.2519999999999998</v>
      </c>
      <c r="I454" s="7">
        <v>4.4889999999999999</v>
      </c>
      <c r="J454" s="7">
        <v>4.9219999999999997</v>
      </c>
      <c r="K454" s="7">
        <v>5.39</v>
      </c>
      <c r="L454" s="7">
        <v>6.0060000000000002</v>
      </c>
      <c r="M454" s="7">
        <v>4.8029999999999999</v>
      </c>
      <c r="N454" s="7">
        <v>5.1550000000000002</v>
      </c>
      <c r="O454" s="7">
        <v>5.1440000000000001</v>
      </c>
    </row>
    <row r="455" spans="1:15" x14ac:dyDescent="0.25">
      <c r="A455" s="5" t="s">
        <v>467</v>
      </c>
      <c r="B455" s="5">
        <v>20</v>
      </c>
      <c r="C455" s="5" t="s">
        <v>3</v>
      </c>
      <c r="D455" s="6">
        <v>100</v>
      </c>
      <c r="E455" s="7">
        <v>20.148</v>
      </c>
      <c r="F455" s="7">
        <v>4.1479999999999997</v>
      </c>
      <c r="G455" s="7">
        <v>4.5679999999999996</v>
      </c>
      <c r="H455" s="7">
        <v>3.9710000000000001</v>
      </c>
      <c r="I455" s="7">
        <v>5.7009999999999996</v>
      </c>
      <c r="J455" s="7">
        <v>4.8390000000000004</v>
      </c>
      <c r="K455" s="7">
        <v>4.6449999999999996</v>
      </c>
      <c r="L455" s="7">
        <v>5.194</v>
      </c>
      <c r="M455" s="7">
        <v>5.359</v>
      </c>
      <c r="N455" s="7">
        <v>5.0359999999999996</v>
      </c>
      <c r="O455" s="7">
        <v>4.907</v>
      </c>
    </row>
    <row r="456" spans="1:15" x14ac:dyDescent="0.25">
      <c r="A456" s="5" t="s">
        <v>468</v>
      </c>
      <c r="B456" s="5">
        <v>62</v>
      </c>
      <c r="C456" s="5" t="s">
        <v>3</v>
      </c>
      <c r="D456" s="6">
        <v>110</v>
      </c>
      <c r="E456" s="7">
        <v>21.777000000000001</v>
      </c>
      <c r="F456" s="7">
        <v>6.077</v>
      </c>
      <c r="G456" s="7">
        <v>5.5129999999999999</v>
      </c>
      <c r="H456" s="7">
        <v>4.8339999999999996</v>
      </c>
      <c r="I456" s="7">
        <v>3.6190000000000002</v>
      </c>
      <c r="J456" s="7">
        <v>4.7</v>
      </c>
      <c r="K456" s="7">
        <v>5.4550000000000001</v>
      </c>
      <c r="L456" s="7">
        <v>4.8179999999999996</v>
      </c>
      <c r="M456" s="7">
        <v>5.1639999999999997</v>
      </c>
      <c r="N456" s="7">
        <v>4.8760000000000003</v>
      </c>
      <c r="O456" s="7">
        <v>5.1150000000000002</v>
      </c>
    </row>
    <row r="457" spans="1:15" x14ac:dyDescent="0.25">
      <c r="A457" s="5" t="s">
        <v>469</v>
      </c>
      <c r="B457" s="5">
        <v>31</v>
      </c>
      <c r="C457" s="5" t="s">
        <v>2</v>
      </c>
      <c r="D457" s="6">
        <v>108</v>
      </c>
      <c r="E457" s="7">
        <v>21.681999999999999</v>
      </c>
      <c r="F457" s="7">
        <v>4.5599999999999996</v>
      </c>
      <c r="G457" s="7">
        <v>4.4960000000000004</v>
      </c>
      <c r="H457" s="7">
        <v>4.2960000000000003</v>
      </c>
      <c r="I457" s="7">
        <v>5.8739999999999997</v>
      </c>
      <c r="J457" s="7">
        <v>4.2249999999999996</v>
      </c>
      <c r="K457" s="7">
        <v>3.944</v>
      </c>
      <c r="L457" s="7">
        <v>4.17</v>
      </c>
      <c r="M457" s="7">
        <v>5.5469999999999997</v>
      </c>
      <c r="N457" s="7">
        <v>5.0529999999999999</v>
      </c>
      <c r="O457" s="7">
        <v>4.6210000000000004</v>
      </c>
    </row>
    <row r="458" spans="1:15" x14ac:dyDescent="0.25">
      <c r="A458" s="5" t="s">
        <v>470</v>
      </c>
      <c r="B458" s="5">
        <v>84</v>
      </c>
      <c r="C458" s="5" t="s">
        <v>3</v>
      </c>
      <c r="D458" s="6">
        <v>109</v>
      </c>
      <c r="E458" s="7">
        <v>21.539000000000001</v>
      </c>
      <c r="F458" s="7">
        <v>5.1040000000000001</v>
      </c>
      <c r="G458" s="7">
        <v>5.1139999999999999</v>
      </c>
      <c r="H458" s="7">
        <v>4.9829999999999997</v>
      </c>
      <c r="I458" s="7">
        <v>5.9370000000000003</v>
      </c>
      <c r="J458" s="7">
        <v>4.8</v>
      </c>
      <c r="K458" s="7">
        <v>4.9850000000000003</v>
      </c>
      <c r="L458" s="7">
        <v>6.2839999999999998</v>
      </c>
      <c r="M458" s="7">
        <v>4.3079999999999998</v>
      </c>
      <c r="N458" s="7">
        <v>5.1390000000000002</v>
      </c>
      <c r="O458" s="7">
        <v>4.9960000000000004</v>
      </c>
    </row>
    <row r="459" spans="1:15" x14ac:dyDescent="0.25">
      <c r="A459" s="5" t="s">
        <v>471</v>
      </c>
      <c r="B459" s="5">
        <v>35</v>
      </c>
      <c r="C459" s="5" t="s">
        <v>3</v>
      </c>
      <c r="D459" s="6">
        <v>97</v>
      </c>
      <c r="E459" s="7">
        <v>19.678000000000001</v>
      </c>
      <c r="F459" s="7">
        <v>4.2270000000000003</v>
      </c>
      <c r="G459" s="7">
        <v>5.0990000000000002</v>
      </c>
      <c r="H459" s="7">
        <v>6.4969999999999999</v>
      </c>
      <c r="I459" s="7">
        <v>5.1870000000000003</v>
      </c>
      <c r="J459" s="7">
        <v>4.5469999999999997</v>
      </c>
      <c r="K459" s="7">
        <v>4.266</v>
      </c>
      <c r="L459" s="7">
        <v>4.7439999999999998</v>
      </c>
      <c r="M459" s="7">
        <v>5.649</v>
      </c>
      <c r="N459" s="7">
        <v>4.665</v>
      </c>
      <c r="O459" s="7">
        <v>5.3710000000000004</v>
      </c>
    </row>
    <row r="460" spans="1:15" x14ac:dyDescent="0.25">
      <c r="A460" s="5" t="s">
        <v>472</v>
      </c>
      <c r="B460" s="5">
        <v>79</v>
      </c>
      <c r="C460" s="5" t="s">
        <v>3</v>
      </c>
      <c r="D460" s="6">
        <v>118</v>
      </c>
      <c r="E460" s="7">
        <v>23.619</v>
      </c>
      <c r="F460" s="7">
        <v>5.6769999999999996</v>
      </c>
      <c r="G460" s="7">
        <v>3.98</v>
      </c>
      <c r="H460" s="7">
        <v>5.75</v>
      </c>
      <c r="I460" s="7">
        <v>4.3639999999999999</v>
      </c>
      <c r="J460" s="7">
        <v>4.8170000000000002</v>
      </c>
      <c r="K460" s="7">
        <v>5.5140000000000002</v>
      </c>
      <c r="L460" s="7">
        <v>5.1890000000000001</v>
      </c>
      <c r="M460" s="7">
        <v>5.1289999999999996</v>
      </c>
      <c r="N460" s="7">
        <v>4.665</v>
      </c>
      <c r="O460" s="7">
        <v>4.5869999999999997</v>
      </c>
    </row>
    <row r="461" spans="1:15" x14ac:dyDescent="0.25">
      <c r="A461" s="5" t="s">
        <v>473</v>
      </c>
      <c r="B461" s="5">
        <v>54</v>
      </c>
      <c r="C461" s="5" t="s">
        <v>3</v>
      </c>
      <c r="D461" s="6">
        <v>95</v>
      </c>
      <c r="E461" s="7">
        <v>19.372</v>
      </c>
      <c r="F461" s="7">
        <v>4.3029999999999999</v>
      </c>
      <c r="G461" s="7">
        <v>5.431</v>
      </c>
      <c r="H461" s="7">
        <v>4.9509999999999996</v>
      </c>
      <c r="I461" s="7">
        <v>4.5270000000000001</v>
      </c>
      <c r="J461" s="7">
        <v>5.383</v>
      </c>
      <c r="K461" s="7">
        <v>4.72</v>
      </c>
      <c r="L461" s="7">
        <v>5.6120000000000001</v>
      </c>
      <c r="M461" s="7">
        <v>4.8109999999999999</v>
      </c>
      <c r="N461" s="7">
        <v>5.0110000000000001</v>
      </c>
      <c r="O461" s="7">
        <v>5.0670000000000002</v>
      </c>
    </row>
    <row r="462" spans="1:15" x14ac:dyDescent="0.25">
      <c r="A462" s="5" t="s">
        <v>474</v>
      </c>
      <c r="B462" s="5">
        <v>42</v>
      </c>
      <c r="C462" s="5" t="s">
        <v>2</v>
      </c>
      <c r="D462" s="6">
        <v>95</v>
      </c>
      <c r="E462" s="7">
        <v>18.928000000000001</v>
      </c>
      <c r="F462" s="7">
        <v>4.9249999999999998</v>
      </c>
      <c r="G462" s="7">
        <v>6.6210000000000004</v>
      </c>
      <c r="H462" s="7">
        <v>5.931</v>
      </c>
      <c r="I462" s="7">
        <v>5.0330000000000004</v>
      </c>
      <c r="J462" s="7">
        <v>4.03</v>
      </c>
      <c r="K462" s="7">
        <v>6.0629999999999997</v>
      </c>
      <c r="L462" s="7">
        <v>5.1740000000000004</v>
      </c>
      <c r="M462" s="7">
        <v>4.3760000000000003</v>
      </c>
      <c r="N462" s="7">
        <v>5.2519999999999998</v>
      </c>
      <c r="O462" s="7">
        <v>4.49</v>
      </c>
    </row>
    <row r="463" spans="1:15" x14ac:dyDescent="0.25">
      <c r="A463" s="5" t="s">
        <v>475</v>
      </c>
      <c r="B463" s="5">
        <v>65</v>
      </c>
      <c r="C463" s="5" t="s">
        <v>3</v>
      </c>
      <c r="D463" s="6">
        <v>98</v>
      </c>
      <c r="E463" s="7">
        <v>19.736000000000001</v>
      </c>
      <c r="F463" s="7">
        <v>5.0259999999999998</v>
      </c>
      <c r="G463" s="7">
        <v>5.7290000000000001</v>
      </c>
      <c r="H463" s="7">
        <v>4.4450000000000003</v>
      </c>
      <c r="I463" s="7">
        <v>6.6550000000000002</v>
      </c>
      <c r="J463" s="7">
        <v>4.415</v>
      </c>
      <c r="K463" s="7">
        <v>4.5970000000000004</v>
      </c>
      <c r="L463" s="7">
        <v>4.7949999999999999</v>
      </c>
      <c r="M463" s="7">
        <v>4.0350000000000001</v>
      </c>
      <c r="N463" s="7">
        <v>5.2069999999999999</v>
      </c>
      <c r="O463" s="7">
        <v>4.931</v>
      </c>
    </row>
    <row r="464" spans="1:15" x14ac:dyDescent="0.25">
      <c r="A464" s="5" t="s">
        <v>476</v>
      </c>
      <c r="B464" s="5">
        <v>82</v>
      </c>
      <c r="C464" s="5" t="s">
        <v>3</v>
      </c>
      <c r="D464" s="6">
        <v>130</v>
      </c>
      <c r="E464" s="7">
        <v>25.986000000000001</v>
      </c>
      <c r="F464" s="7">
        <v>7.0060000000000002</v>
      </c>
      <c r="G464" s="7">
        <v>4.4000000000000004</v>
      </c>
      <c r="H464" s="7">
        <v>5.1790000000000003</v>
      </c>
      <c r="I464" s="7">
        <v>3.9119999999999999</v>
      </c>
      <c r="J464" s="7">
        <v>5.6040000000000001</v>
      </c>
      <c r="K464" s="7">
        <v>5.6920000000000002</v>
      </c>
      <c r="L464" s="7">
        <v>4.6900000000000004</v>
      </c>
      <c r="M464" s="7">
        <v>4.8499999999999996</v>
      </c>
      <c r="N464" s="7">
        <v>4.7279999999999998</v>
      </c>
      <c r="O464" s="7">
        <v>5.2919999999999998</v>
      </c>
    </row>
    <row r="465" spans="1:15" x14ac:dyDescent="0.25">
      <c r="A465" s="5" t="s">
        <v>477</v>
      </c>
      <c r="B465" s="5">
        <v>70</v>
      </c>
      <c r="C465" s="5" t="s">
        <v>3</v>
      </c>
      <c r="D465" s="6">
        <v>97</v>
      </c>
      <c r="E465" s="7">
        <v>19.366</v>
      </c>
      <c r="F465" s="7">
        <v>3.87</v>
      </c>
      <c r="G465" s="7">
        <v>5.0979999999999999</v>
      </c>
      <c r="H465" s="7">
        <v>5.6950000000000003</v>
      </c>
      <c r="I465" s="7">
        <v>5.032</v>
      </c>
      <c r="J465" s="7">
        <v>5.4269999999999996</v>
      </c>
      <c r="K465" s="7">
        <v>5.6479999999999997</v>
      </c>
      <c r="L465" s="7">
        <v>5.5110000000000001</v>
      </c>
      <c r="M465" s="7">
        <v>4.76</v>
      </c>
      <c r="N465" s="7">
        <v>4.9020000000000001</v>
      </c>
      <c r="O465" s="7">
        <v>5.2130000000000001</v>
      </c>
    </row>
    <row r="466" spans="1:15" x14ac:dyDescent="0.25">
      <c r="A466" s="5" t="s">
        <v>478</v>
      </c>
      <c r="B466" s="5">
        <v>32</v>
      </c>
      <c r="C466" s="5" t="s">
        <v>3</v>
      </c>
      <c r="D466" s="6">
        <v>114</v>
      </c>
      <c r="E466" s="7">
        <v>22.891999999999999</v>
      </c>
      <c r="F466" s="7">
        <v>5.6539999999999999</v>
      </c>
      <c r="G466" s="7">
        <v>4.5289999999999999</v>
      </c>
      <c r="H466" s="7">
        <v>4.718</v>
      </c>
      <c r="I466" s="7">
        <v>4.7919999999999998</v>
      </c>
      <c r="J466" s="7">
        <v>5.3639999999999999</v>
      </c>
      <c r="K466" s="7">
        <v>4.5990000000000002</v>
      </c>
      <c r="L466" s="7">
        <v>4.6920000000000002</v>
      </c>
      <c r="M466" s="7">
        <v>4.9749999999999996</v>
      </c>
      <c r="N466" s="7">
        <v>4.9349999999999996</v>
      </c>
      <c r="O466" s="7">
        <v>4.8</v>
      </c>
    </row>
    <row r="467" spans="1:15" x14ac:dyDescent="0.25">
      <c r="A467" s="5" t="s">
        <v>479</v>
      </c>
      <c r="B467" s="5">
        <v>66</v>
      </c>
      <c r="C467" s="5" t="s">
        <v>2</v>
      </c>
      <c r="D467" s="6">
        <v>119</v>
      </c>
      <c r="E467" s="7">
        <v>23.991</v>
      </c>
      <c r="F467" s="7">
        <v>6.4189999999999996</v>
      </c>
      <c r="G467" s="7">
        <v>5.109</v>
      </c>
      <c r="H467" s="7">
        <v>3.0920000000000001</v>
      </c>
      <c r="I467" s="7">
        <v>6.2759999999999998</v>
      </c>
      <c r="J467" s="7">
        <v>5.5430000000000001</v>
      </c>
      <c r="K467" s="7">
        <v>6.5750000000000002</v>
      </c>
      <c r="L467" s="7">
        <v>4.7779999999999996</v>
      </c>
      <c r="M467" s="7">
        <v>5.1630000000000003</v>
      </c>
      <c r="N467" s="7">
        <v>4.952</v>
      </c>
      <c r="O467" s="7">
        <v>5.0679999999999996</v>
      </c>
    </row>
    <row r="468" spans="1:15" x14ac:dyDescent="0.25">
      <c r="A468" s="5" t="s">
        <v>480</v>
      </c>
      <c r="B468" s="5">
        <v>79</v>
      </c>
      <c r="C468" s="5" t="s">
        <v>3</v>
      </c>
      <c r="D468" s="6">
        <v>91</v>
      </c>
      <c r="E468" s="7">
        <v>17.754999999999999</v>
      </c>
      <c r="F468" s="7">
        <v>4.1740000000000004</v>
      </c>
      <c r="G468" s="7">
        <v>6.7590000000000003</v>
      </c>
      <c r="H468" s="7">
        <v>4.992</v>
      </c>
      <c r="I468" s="7">
        <v>5.8490000000000002</v>
      </c>
      <c r="J468" s="7">
        <v>3.331</v>
      </c>
      <c r="K468" s="7">
        <v>5.9619999999999997</v>
      </c>
      <c r="L468" s="7">
        <v>4.8579999999999997</v>
      </c>
      <c r="M468" s="7">
        <v>4.976</v>
      </c>
      <c r="N468" s="7">
        <v>5.28</v>
      </c>
      <c r="O468" s="7">
        <v>4.5460000000000003</v>
      </c>
    </row>
    <row r="469" spans="1:15" x14ac:dyDescent="0.25">
      <c r="A469" s="5" t="s">
        <v>481</v>
      </c>
      <c r="B469" s="5">
        <v>29</v>
      </c>
      <c r="C469" s="5" t="s">
        <v>2</v>
      </c>
      <c r="D469" s="6">
        <v>105</v>
      </c>
      <c r="E469" s="7">
        <v>21.510999999999999</v>
      </c>
      <c r="F469" s="7">
        <v>5.0529999999999999</v>
      </c>
      <c r="G469" s="7">
        <v>4.5149999999999997</v>
      </c>
      <c r="H469" s="7">
        <v>4.9539999999999997</v>
      </c>
      <c r="I469" s="7">
        <v>4.8179999999999996</v>
      </c>
      <c r="J469" s="7">
        <v>5.2359999999999998</v>
      </c>
      <c r="K469" s="7">
        <v>4.9109999999999996</v>
      </c>
      <c r="L469" s="7">
        <v>5.7430000000000003</v>
      </c>
      <c r="M469" s="7">
        <v>4.8899999999999997</v>
      </c>
      <c r="N469" s="7">
        <v>5.3490000000000002</v>
      </c>
      <c r="O469" s="7">
        <v>5.0220000000000002</v>
      </c>
    </row>
    <row r="470" spans="1:15" x14ac:dyDescent="0.25">
      <c r="A470" s="5" t="s">
        <v>482</v>
      </c>
      <c r="B470" s="5">
        <v>76</v>
      </c>
      <c r="C470" s="5" t="s">
        <v>3</v>
      </c>
      <c r="D470" s="6">
        <v>91</v>
      </c>
      <c r="E470" s="7">
        <v>17.538</v>
      </c>
      <c r="F470" s="7">
        <v>4.1440000000000001</v>
      </c>
      <c r="G470" s="7">
        <v>5.8410000000000002</v>
      </c>
      <c r="H470" s="7">
        <v>5.1890000000000001</v>
      </c>
      <c r="I470" s="7">
        <v>4.5830000000000002</v>
      </c>
      <c r="J470" s="7">
        <v>5.8630000000000004</v>
      </c>
      <c r="K470" s="7">
        <v>4.5940000000000003</v>
      </c>
      <c r="L470" s="7">
        <v>5.3860000000000001</v>
      </c>
      <c r="M470" s="7">
        <v>5.3070000000000004</v>
      </c>
      <c r="N470" s="7">
        <v>4.8099999999999996</v>
      </c>
      <c r="O470" s="7">
        <v>4.6130000000000004</v>
      </c>
    </row>
    <row r="471" spans="1:15" x14ac:dyDescent="0.25">
      <c r="A471" s="5" t="s">
        <v>483</v>
      </c>
      <c r="B471" s="5">
        <v>54</v>
      </c>
      <c r="C471" s="5" t="s">
        <v>3</v>
      </c>
      <c r="D471" s="6">
        <v>126</v>
      </c>
      <c r="E471" s="7">
        <v>24.956</v>
      </c>
      <c r="F471" s="7">
        <v>6.7679999999999998</v>
      </c>
      <c r="G471" s="7">
        <v>4.0549999999999997</v>
      </c>
      <c r="H471" s="7">
        <v>3.9060000000000001</v>
      </c>
      <c r="I471" s="7">
        <v>3.2650000000000001</v>
      </c>
      <c r="J471" s="7">
        <v>4.2560000000000002</v>
      </c>
      <c r="K471" s="7">
        <v>4.3</v>
      </c>
      <c r="L471" s="7">
        <v>4.5179999999999998</v>
      </c>
      <c r="M471" s="7">
        <v>4.6820000000000004</v>
      </c>
      <c r="N471" s="7">
        <v>4.8380000000000001</v>
      </c>
      <c r="O471" s="7">
        <v>5.3520000000000003</v>
      </c>
    </row>
    <row r="472" spans="1:15" x14ac:dyDescent="0.25">
      <c r="A472" s="5" t="s">
        <v>484</v>
      </c>
      <c r="B472" s="5">
        <v>78</v>
      </c>
      <c r="C472" s="5" t="s">
        <v>2</v>
      </c>
      <c r="D472" s="6">
        <v>96</v>
      </c>
      <c r="E472" s="7">
        <v>19.166</v>
      </c>
      <c r="F472" s="7">
        <v>5.1829999999999998</v>
      </c>
      <c r="G472" s="7">
        <v>5.2549999999999999</v>
      </c>
      <c r="H472" s="7">
        <v>4.3840000000000003</v>
      </c>
      <c r="I472" s="7">
        <v>4.133</v>
      </c>
      <c r="J472" s="7">
        <v>4.6609999999999996</v>
      </c>
      <c r="K472" s="7">
        <v>5.9169999999999998</v>
      </c>
      <c r="L472" s="7">
        <v>4.7329999999999997</v>
      </c>
      <c r="M472" s="7">
        <v>5.367</v>
      </c>
      <c r="N472" s="7">
        <v>4.867</v>
      </c>
      <c r="O472" s="7">
        <v>5.0869999999999997</v>
      </c>
    </row>
    <row r="473" spans="1:15" x14ac:dyDescent="0.25">
      <c r="A473" s="5" t="s">
        <v>485</v>
      </c>
      <c r="B473" s="5">
        <v>60</v>
      </c>
      <c r="C473" s="5" t="s">
        <v>3</v>
      </c>
      <c r="D473" s="6">
        <v>112</v>
      </c>
      <c r="E473" s="7">
        <v>22.547000000000001</v>
      </c>
      <c r="F473" s="7">
        <v>5.431</v>
      </c>
      <c r="G473" s="7">
        <v>4.5229999999999997</v>
      </c>
      <c r="H473" s="7">
        <v>3.6219999999999999</v>
      </c>
      <c r="I473" s="7">
        <v>4.66</v>
      </c>
      <c r="J473" s="7">
        <v>5.0599999999999996</v>
      </c>
      <c r="K473" s="7">
        <v>4.4349999999999996</v>
      </c>
      <c r="L473" s="7">
        <v>5.4569999999999999</v>
      </c>
      <c r="M473" s="7">
        <v>5.7430000000000003</v>
      </c>
      <c r="N473" s="7">
        <v>4.6959999999999997</v>
      </c>
      <c r="O473" s="7">
        <v>5.024</v>
      </c>
    </row>
    <row r="474" spans="1:15" x14ac:dyDescent="0.25">
      <c r="A474" s="5" t="s">
        <v>486</v>
      </c>
      <c r="B474" s="5">
        <v>56</v>
      </c>
      <c r="C474" s="5" t="s">
        <v>2</v>
      </c>
      <c r="D474" s="6">
        <v>104</v>
      </c>
      <c r="E474" s="7">
        <v>21.361000000000001</v>
      </c>
      <c r="F474" s="7">
        <v>4.7709999999999999</v>
      </c>
      <c r="G474" s="7">
        <v>5.4980000000000002</v>
      </c>
      <c r="H474" s="7">
        <v>5.5179999999999998</v>
      </c>
      <c r="I474" s="7">
        <v>5.1159999999999997</v>
      </c>
      <c r="J474" s="7">
        <v>4.6669999999999998</v>
      </c>
      <c r="K474" s="7">
        <v>6.335</v>
      </c>
      <c r="L474" s="7">
        <v>5.4509999999999996</v>
      </c>
      <c r="M474" s="7">
        <v>5.056</v>
      </c>
      <c r="N474" s="7">
        <v>5.2839999999999998</v>
      </c>
      <c r="O474" s="7">
        <v>4.8970000000000002</v>
      </c>
    </row>
    <row r="475" spans="1:15" x14ac:dyDescent="0.25">
      <c r="A475" s="5" t="s">
        <v>487</v>
      </c>
      <c r="B475" s="5">
        <v>73</v>
      </c>
      <c r="C475" s="5" t="s">
        <v>2</v>
      </c>
      <c r="D475" s="6">
        <v>107</v>
      </c>
      <c r="E475" s="7">
        <v>20.738</v>
      </c>
      <c r="F475" s="7">
        <v>5.3940000000000001</v>
      </c>
      <c r="G475" s="7">
        <v>5.6429999999999998</v>
      </c>
      <c r="H475" s="7">
        <v>5.5940000000000003</v>
      </c>
      <c r="I475" s="7">
        <v>5.7080000000000002</v>
      </c>
      <c r="J475" s="7">
        <v>5.2889999999999997</v>
      </c>
      <c r="K475" s="7">
        <v>4.9180000000000001</v>
      </c>
      <c r="L475" s="7">
        <v>3.91</v>
      </c>
      <c r="M475" s="7">
        <v>5.3860000000000001</v>
      </c>
      <c r="N475" s="7">
        <v>4.8719999999999999</v>
      </c>
      <c r="O475" s="7">
        <v>5.258</v>
      </c>
    </row>
    <row r="476" spans="1:15" x14ac:dyDescent="0.25">
      <c r="A476" s="5" t="s">
        <v>488</v>
      </c>
      <c r="B476" s="5">
        <v>80</v>
      </c>
      <c r="C476" s="5" t="s">
        <v>3</v>
      </c>
      <c r="D476" s="6">
        <v>98</v>
      </c>
      <c r="E476" s="7">
        <v>19.419</v>
      </c>
      <c r="F476" s="7">
        <v>4.4740000000000002</v>
      </c>
      <c r="G476" s="7">
        <v>5.4269999999999996</v>
      </c>
      <c r="H476" s="7">
        <v>4.3499999999999996</v>
      </c>
      <c r="I476" s="7">
        <v>4.3780000000000001</v>
      </c>
      <c r="J476" s="7">
        <v>3.39</v>
      </c>
      <c r="K476" s="7">
        <v>5.5830000000000002</v>
      </c>
      <c r="L476" s="7">
        <v>5.5170000000000003</v>
      </c>
      <c r="M476" s="7">
        <v>4.7530000000000001</v>
      </c>
      <c r="N476" s="7">
        <v>5.117</v>
      </c>
      <c r="O476" s="7">
        <v>5.0140000000000002</v>
      </c>
    </row>
    <row r="477" spans="1:15" x14ac:dyDescent="0.25">
      <c r="A477" s="5" t="s">
        <v>489</v>
      </c>
      <c r="B477" s="5">
        <v>63</v>
      </c>
      <c r="C477" s="5" t="s">
        <v>2</v>
      </c>
      <c r="D477" s="6">
        <v>83</v>
      </c>
      <c r="E477" s="7">
        <v>15.842000000000001</v>
      </c>
      <c r="F477" s="7">
        <v>2.5529999999999999</v>
      </c>
      <c r="G477" s="7">
        <v>4.9089999999999998</v>
      </c>
      <c r="H477" s="7">
        <v>5.4669999999999996</v>
      </c>
      <c r="I477" s="7">
        <v>6.7130000000000001</v>
      </c>
      <c r="J477" s="7">
        <v>3.839</v>
      </c>
      <c r="K477" s="7">
        <v>5.8040000000000003</v>
      </c>
      <c r="L477" s="7">
        <v>5.1779999999999999</v>
      </c>
      <c r="M477" s="7">
        <v>5.1680000000000001</v>
      </c>
      <c r="N477" s="7">
        <v>5.2750000000000004</v>
      </c>
      <c r="O477" s="7">
        <v>4.5839999999999996</v>
      </c>
    </row>
    <row r="478" spans="1:15" x14ac:dyDescent="0.25">
      <c r="A478" s="5" t="s">
        <v>490</v>
      </c>
      <c r="B478" s="5">
        <v>28</v>
      </c>
      <c r="C478" s="5" t="s">
        <v>2</v>
      </c>
      <c r="D478" s="6">
        <v>114</v>
      </c>
      <c r="E478" s="7">
        <v>22.811</v>
      </c>
      <c r="F478" s="7">
        <v>5.1550000000000002</v>
      </c>
      <c r="G478" s="7">
        <v>4.0270000000000001</v>
      </c>
      <c r="H478" s="7">
        <v>4.2240000000000002</v>
      </c>
      <c r="I478" s="7">
        <v>5.4119999999999999</v>
      </c>
      <c r="J478" s="7">
        <v>5.28</v>
      </c>
      <c r="K478" s="7">
        <v>4.2530000000000001</v>
      </c>
      <c r="L478" s="7">
        <v>4.976</v>
      </c>
      <c r="M478" s="7">
        <v>4.8659999999999997</v>
      </c>
      <c r="N478" s="7">
        <v>4.976</v>
      </c>
      <c r="O478" s="7">
        <v>4.8949999999999996</v>
      </c>
    </row>
    <row r="479" spans="1:15" x14ac:dyDescent="0.25">
      <c r="A479" s="5" t="s">
        <v>491</v>
      </c>
      <c r="B479" s="5">
        <v>79</v>
      </c>
      <c r="C479" s="5" t="s">
        <v>2</v>
      </c>
      <c r="D479" s="6">
        <v>105</v>
      </c>
      <c r="E479" s="7">
        <v>21.097000000000001</v>
      </c>
      <c r="F479" s="7">
        <v>4.1660000000000004</v>
      </c>
      <c r="G479" s="7">
        <v>2.641</v>
      </c>
      <c r="H479" s="7">
        <v>2.948</v>
      </c>
      <c r="I479" s="7">
        <v>6.0750000000000002</v>
      </c>
      <c r="J479" s="7">
        <v>5.89</v>
      </c>
      <c r="K479" s="7">
        <v>5.048</v>
      </c>
      <c r="L479" s="7">
        <v>5.4269999999999996</v>
      </c>
      <c r="M479" s="7">
        <v>4.9939999999999998</v>
      </c>
      <c r="N479" s="7">
        <v>5.3289999999999997</v>
      </c>
      <c r="O479" s="7">
        <v>4.9489999999999998</v>
      </c>
    </row>
    <row r="480" spans="1:15" x14ac:dyDescent="0.25">
      <c r="A480" s="5" t="s">
        <v>492</v>
      </c>
      <c r="B480" s="5">
        <v>42</v>
      </c>
      <c r="C480" s="5" t="s">
        <v>2</v>
      </c>
      <c r="D480" s="6">
        <v>106</v>
      </c>
      <c r="E480" s="7">
        <v>21.766999999999999</v>
      </c>
      <c r="F480" s="7">
        <v>5.0780000000000003</v>
      </c>
      <c r="G480" s="7">
        <v>4.5910000000000002</v>
      </c>
      <c r="H480" s="7">
        <v>3.9079999999999999</v>
      </c>
      <c r="I480" s="7">
        <v>7.2839999999999998</v>
      </c>
      <c r="J480" s="7">
        <v>5.9470000000000001</v>
      </c>
      <c r="K480" s="7">
        <v>5.274</v>
      </c>
      <c r="L480" s="7">
        <v>4.0640000000000001</v>
      </c>
      <c r="M480" s="7">
        <v>4.835</v>
      </c>
      <c r="N480" s="7">
        <v>4.9349999999999996</v>
      </c>
      <c r="O480" s="7">
        <v>4.8339999999999996</v>
      </c>
    </row>
    <row r="481" spans="1:15" x14ac:dyDescent="0.25">
      <c r="A481" s="5" t="s">
        <v>493</v>
      </c>
      <c r="B481" s="5">
        <v>69</v>
      </c>
      <c r="C481" s="5" t="s">
        <v>2</v>
      </c>
      <c r="D481" s="6">
        <v>126</v>
      </c>
      <c r="E481" s="7">
        <v>25.242999999999999</v>
      </c>
      <c r="F481" s="7">
        <v>6.3129999999999997</v>
      </c>
      <c r="G481" s="7">
        <v>3.6880000000000002</v>
      </c>
      <c r="H481" s="7">
        <v>6.1040000000000001</v>
      </c>
      <c r="I481" s="7">
        <v>4.8490000000000002</v>
      </c>
      <c r="J481" s="7">
        <v>5.9219999999999997</v>
      </c>
      <c r="K481" s="7">
        <v>4.7510000000000003</v>
      </c>
      <c r="L481" s="7">
        <v>4.7729999999999997</v>
      </c>
      <c r="M481" s="7">
        <v>5.3330000000000002</v>
      </c>
      <c r="N481" s="7">
        <v>5.4109999999999996</v>
      </c>
      <c r="O481" s="7">
        <v>4.9189999999999996</v>
      </c>
    </row>
    <row r="482" spans="1:15" x14ac:dyDescent="0.25">
      <c r="A482" s="5" t="s">
        <v>494</v>
      </c>
      <c r="B482" s="5">
        <v>21</v>
      </c>
      <c r="C482" s="5" t="s">
        <v>2</v>
      </c>
      <c r="D482" s="6">
        <v>101</v>
      </c>
      <c r="E482" s="7">
        <v>20.571999999999999</v>
      </c>
      <c r="F482" s="7">
        <v>4.8650000000000002</v>
      </c>
      <c r="G482" s="7">
        <v>5.8520000000000003</v>
      </c>
      <c r="H482" s="7">
        <v>5.8129999999999997</v>
      </c>
      <c r="I482" s="7">
        <v>5.024</v>
      </c>
      <c r="J482" s="7">
        <v>4.3789999999999996</v>
      </c>
      <c r="K482" s="7">
        <v>3.7639999999999998</v>
      </c>
      <c r="L482" s="7">
        <v>4.3449999999999998</v>
      </c>
      <c r="M482" s="7">
        <v>4.8890000000000002</v>
      </c>
      <c r="N482" s="7">
        <v>5.2590000000000003</v>
      </c>
      <c r="O482" s="7">
        <v>4.8570000000000002</v>
      </c>
    </row>
    <row r="483" spans="1:15" x14ac:dyDescent="0.25">
      <c r="A483" s="5" t="s">
        <v>495</v>
      </c>
      <c r="B483" s="5">
        <v>76</v>
      </c>
      <c r="C483" s="5" t="s">
        <v>2</v>
      </c>
      <c r="D483" s="6">
        <v>86</v>
      </c>
      <c r="E483" s="7">
        <v>17.408000000000001</v>
      </c>
      <c r="F483" s="7">
        <v>3.59</v>
      </c>
      <c r="G483" s="7">
        <v>5.343</v>
      </c>
      <c r="H483" s="7">
        <v>4.4660000000000002</v>
      </c>
      <c r="I483" s="7">
        <v>5.0570000000000004</v>
      </c>
      <c r="J483" s="7">
        <v>3.9689999999999999</v>
      </c>
      <c r="K483" s="7">
        <v>4.484</v>
      </c>
      <c r="L483" s="7">
        <v>5.2039999999999997</v>
      </c>
      <c r="M483" s="7">
        <v>4.9740000000000002</v>
      </c>
      <c r="N483" s="7">
        <v>5.3540000000000001</v>
      </c>
      <c r="O483" s="7">
        <v>5.218</v>
      </c>
    </row>
    <row r="484" spans="1:15" x14ac:dyDescent="0.25">
      <c r="A484" s="5" t="s">
        <v>496</v>
      </c>
      <c r="B484" s="5">
        <v>37</v>
      </c>
      <c r="C484" s="5" t="s">
        <v>2</v>
      </c>
      <c r="D484" s="6">
        <v>101</v>
      </c>
      <c r="E484" s="7">
        <v>20.045000000000002</v>
      </c>
      <c r="F484" s="7">
        <v>4.8369999999999997</v>
      </c>
      <c r="G484" s="7">
        <v>4.7709999999999999</v>
      </c>
      <c r="H484" s="7">
        <v>6.3079999999999998</v>
      </c>
      <c r="I484" s="7">
        <v>4.6390000000000002</v>
      </c>
      <c r="J484" s="7">
        <v>4.1760000000000002</v>
      </c>
      <c r="K484" s="7">
        <v>5.851</v>
      </c>
      <c r="L484" s="7">
        <v>4.9189999999999996</v>
      </c>
      <c r="M484" s="7">
        <v>5.2489999999999997</v>
      </c>
      <c r="N484" s="7">
        <v>4.9180000000000001</v>
      </c>
      <c r="O484" s="7">
        <v>5.3579999999999997</v>
      </c>
    </row>
    <row r="485" spans="1:15" x14ac:dyDescent="0.25">
      <c r="A485" s="5" t="s">
        <v>497</v>
      </c>
      <c r="B485" s="5">
        <v>80</v>
      </c>
      <c r="C485" s="5" t="s">
        <v>3</v>
      </c>
      <c r="D485" s="6">
        <v>124</v>
      </c>
      <c r="E485" s="7">
        <v>24.297999999999998</v>
      </c>
      <c r="F485" s="7">
        <v>7.11</v>
      </c>
      <c r="G485" s="7">
        <v>5.4530000000000003</v>
      </c>
      <c r="H485" s="7">
        <v>5.7830000000000004</v>
      </c>
      <c r="I485" s="7">
        <v>4.2670000000000003</v>
      </c>
      <c r="J485" s="7">
        <v>5.0789999999999997</v>
      </c>
      <c r="K485" s="7">
        <v>3.8050000000000002</v>
      </c>
      <c r="L485" s="7">
        <v>4.9930000000000003</v>
      </c>
      <c r="M485" s="7">
        <v>4.51</v>
      </c>
      <c r="N485" s="7">
        <v>5.173</v>
      </c>
      <c r="O485" s="7">
        <v>5.3840000000000003</v>
      </c>
    </row>
    <row r="486" spans="1:15" x14ac:dyDescent="0.25">
      <c r="A486" s="5" t="s">
        <v>498</v>
      </c>
      <c r="B486" s="5">
        <v>71</v>
      </c>
      <c r="C486" s="5" t="s">
        <v>3</v>
      </c>
      <c r="D486" s="6">
        <v>120</v>
      </c>
      <c r="E486" s="7">
        <v>24.097999999999999</v>
      </c>
      <c r="F486" s="7">
        <v>6.4630000000000001</v>
      </c>
      <c r="G486" s="7">
        <v>5.0839999999999996</v>
      </c>
      <c r="H486" s="7">
        <v>4.7169999999999996</v>
      </c>
      <c r="I486" s="7">
        <v>4.6639999999999997</v>
      </c>
      <c r="J486" s="7">
        <v>5.4009999999999998</v>
      </c>
      <c r="K486" s="7">
        <v>3.9809999999999999</v>
      </c>
      <c r="L486" s="7">
        <v>4.601</v>
      </c>
      <c r="M486" s="7">
        <v>5.0049999999999999</v>
      </c>
      <c r="N486" s="7">
        <v>5.4740000000000002</v>
      </c>
      <c r="O486" s="7">
        <v>4.8440000000000003</v>
      </c>
    </row>
    <row r="487" spans="1:15" x14ac:dyDescent="0.25">
      <c r="A487" s="5" t="s">
        <v>499</v>
      </c>
      <c r="B487" s="5">
        <v>74</v>
      </c>
      <c r="C487" s="5" t="s">
        <v>2</v>
      </c>
      <c r="D487" s="6">
        <v>117</v>
      </c>
      <c r="E487" s="7">
        <v>22.867999999999999</v>
      </c>
      <c r="F487" s="7">
        <v>5.9139999999999997</v>
      </c>
      <c r="G487" s="7">
        <v>3.21</v>
      </c>
      <c r="H487" s="7">
        <v>4.8789999999999996</v>
      </c>
      <c r="I487" s="7">
        <v>5.5810000000000004</v>
      </c>
      <c r="J487" s="7">
        <v>5.07</v>
      </c>
      <c r="K487" s="7">
        <v>5.2190000000000003</v>
      </c>
      <c r="L487" s="7">
        <v>5.4059999999999997</v>
      </c>
      <c r="M487" s="7">
        <v>5.59</v>
      </c>
      <c r="N487" s="7">
        <v>5.1829999999999998</v>
      </c>
      <c r="O487" s="7">
        <v>5.2270000000000003</v>
      </c>
    </row>
    <row r="488" spans="1:15" x14ac:dyDescent="0.25">
      <c r="A488" s="5" t="s">
        <v>500</v>
      </c>
      <c r="B488" s="5">
        <v>58</v>
      </c>
      <c r="C488" s="5" t="s">
        <v>3</v>
      </c>
      <c r="D488" s="6">
        <v>121</v>
      </c>
      <c r="E488" s="7">
        <v>24.661000000000001</v>
      </c>
      <c r="F488" s="7">
        <v>6.5119999999999996</v>
      </c>
      <c r="G488" s="7">
        <v>4.6349999999999998</v>
      </c>
      <c r="H488" s="7">
        <v>5.34</v>
      </c>
      <c r="I488" s="7">
        <v>5.4109999999999996</v>
      </c>
      <c r="J488" s="7">
        <v>5.59</v>
      </c>
      <c r="K488" s="7">
        <v>5.0250000000000004</v>
      </c>
      <c r="L488" s="7">
        <v>4.3209999999999997</v>
      </c>
      <c r="M488" s="7">
        <v>5.21</v>
      </c>
      <c r="N488" s="7">
        <v>5.6260000000000003</v>
      </c>
      <c r="O488" s="7">
        <v>5.1100000000000003</v>
      </c>
    </row>
    <row r="489" spans="1:15" x14ac:dyDescent="0.25">
      <c r="A489" s="5" t="s">
        <v>501</v>
      </c>
      <c r="B489" s="5">
        <v>20</v>
      </c>
      <c r="C489" s="5" t="s">
        <v>2</v>
      </c>
      <c r="D489" s="6">
        <v>106</v>
      </c>
      <c r="E489" s="7">
        <v>21.141999999999999</v>
      </c>
      <c r="F489" s="7">
        <v>4.5460000000000003</v>
      </c>
      <c r="G489" s="7">
        <v>4.0030000000000001</v>
      </c>
      <c r="H489" s="7">
        <v>3.7149999999999999</v>
      </c>
      <c r="I489" s="7">
        <v>5.5750000000000002</v>
      </c>
      <c r="J489" s="7">
        <v>4.681</v>
      </c>
      <c r="K489" s="7">
        <v>4.9969999999999999</v>
      </c>
      <c r="L489" s="7">
        <v>4.6719999999999997</v>
      </c>
      <c r="M489" s="7">
        <v>4.7530000000000001</v>
      </c>
      <c r="N489" s="7">
        <v>5.1779999999999999</v>
      </c>
      <c r="O489" s="7">
        <v>5.1360000000000001</v>
      </c>
    </row>
    <row r="490" spans="1:15" x14ac:dyDescent="0.25">
      <c r="A490" s="5" t="s">
        <v>502</v>
      </c>
      <c r="B490" s="5">
        <v>23</v>
      </c>
      <c r="C490" s="5" t="s">
        <v>2</v>
      </c>
      <c r="D490" s="6">
        <v>97</v>
      </c>
      <c r="E490" s="7">
        <v>19.826000000000001</v>
      </c>
      <c r="F490" s="7">
        <v>3.8610000000000002</v>
      </c>
      <c r="G490" s="7">
        <v>4.3819999999999997</v>
      </c>
      <c r="H490" s="7">
        <v>4.4020000000000001</v>
      </c>
      <c r="I490" s="7">
        <v>5.0640000000000001</v>
      </c>
      <c r="J490" s="7">
        <v>5.5990000000000002</v>
      </c>
      <c r="K490" s="7">
        <v>4.7489999999999997</v>
      </c>
      <c r="L490" s="7">
        <v>5.1680000000000001</v>
      </c>
      <c r="M490" s="7">
        <v>5.4059999999999997</v>
      </c>
      <c r="N490" s="7">
        <v>4.7480000000000002</v>
      </c>
      <c r="O490" s="7">
        <v>5.0259999999999998</v>
      </c>
    </row>
    <row r="491" spans="1:15" x14ac:dyDescent="0.25">
      <c r="A491" s="5" t="s">
        <v>503</v>
      </c>
      <c r="B491" s="5">
        <v>22</v>
      </c>
      <c r="C491" s="5" t="s">
        <v>3</v>
      </c>
      <c r="D491" s="6">
        <v>112</v>
      </c>
      <c r="E491" s="7">
        <v>22.228999999999999</v>
      </c>
      <c r="F491" s="7">
        <v>4.2949999999999999</v>
      </c>
      <c r="G491" s="7">
        <v>3.2050000000000001</v>
      </c>
      <c r="H491" s="7">
        <v>4.226</v>
      </c>
      <c r="I491" s="7">
        <v>4.3250000000000002</v>
      </c>
      <c r="J491" s="7">
        <v>3.9950000000000001</v>
      </c>
      <c r="K491" s="7">
        <v>5.1669999999999998</v>
      </c>
      <c r="L491" s="7">
        <v>5.423</v>
      </c>
      <c r="M491" s="7">
        <v>5.8070000000000004</v>
      </c>
      <c r="N491" s="7">
        <v>4.9660000000000002</v>
      </c>
      <c r="O491" s="7">
        <v>5.4139999999999997</v>
      </c>
    </row>
    <row r="492" spans="1:15" x14ac:dyDescent="0.25">
      <c r="A492" s="5" t="s">
        <v>504</v>
      </c>
      <c r="B492" s="5">
        <v>22</v>
      </c>
      <c r="C492" s="5" t="s">
        <v>2</v>
      </c>
      <c r="D492" s="6">
        <v>96</v>
      </c>
      <c r="E492" s="7">
        <v>19.295999999999999</v>
      </c>
      <c r="F492" s="7">
        <v>4.6689999999999996</v>
      </c>
      <c r="G492" s="7">
        <v>5.28</v>
      </c>
      <c r="H492" s="7">
        <v>4.2140000000000004</v>
      </c>
      <c r="I492" s="7">
        <v>5.149</v>
      </c>
      <c r="J492" s="7">
        <v>4.0389999999999997</v>
      </c>
      <c r="K492" s="7">
        <v>5.5030000000000001</v>
      </c>
      <c r="L492" s="7">
        <v>5.048</v>
      </c>
      <c r="M492" s="7">
        <v>5.6269999999999998</v>
      </c>
      <c r="N492" s="7">
        <v>4.5039999999999996</v>
      </c>
      <c r="O492" s="7">
        <v>4.68</v>
      </c>
    </row>
    <row r="493" spans="1:15" x14ac:dyDescent="0.25">
      <c r="A493" s="5" t="s">
        <v>505</v>
      </c>
      <c r="B493" s="5">
        <v>71</v>
      </c>
      <c r="C493" s="5" t="s">
        <v>2</v>
      </c>
      <c r="D493" s="6">
        <v>88</v>
      </c>
      <c r="E493" s="7">
        <v>17.675000000000001</v>
      </c>
      <c r="F493" s="7">
        <v>3.4790000000000001</v>
      </c>
      <c r="G493" s="7">
        <v>5.0430000000000001</v>
      </c>
      <c r="H493" s="7">
        <v>5.3920000000000003</v>
      </c>
      <c r="I493" s="7">
        <v>4.7309999999999999</v>
      </c>
      <c r="J493" s="7">
        <v>4.7839999999999998</v>
      </c>
      <c r="K493" s="7">
        <v>4.6310000000000002</v>
      </c>
      <c r="L493" s="7">
        <v>5.3070000000000004</v>
      </c>
      <c r="M493" s="7">
        <v>5.47</v>
      </c>
      <c r="N493" s="7">
        <v>5.3109999999999999</v>
      </c>
      <c r="O493" s="7">
        <v>5.2359999999999998</v>
      </c>
    </row>
    <row r="494" spans="1:15" x14ac:dyDescent="0.25">
      <c r="A494" s="5" t="s">
        <v>506</v>
      </c>
      <c r="B494" s="5">
        <v>64</v>
      </c>
      <c r="C494" s="5" t="s">
        <v>2</v>
      </c>
      <c r="D494" s="6">
        <v>106</v>
      </c>
      <c r="E494" s="7">
        <v>21.184000000000001</v>
      </c>
      <c r="F494" s="7">
        <v>5.165</v>
      </c>
      <c r="G494" s="7">
        <v>5.1970000000000001</v>
      </c>
      <c r="H494" s="7">
        <v>5.0860000000000003</v>
      </c>
      <c r="I494" s="7">
        <v>4.5739999999999998</v>
      </c>
      <c r="J494" s="7">
        <v>5.0970000000000004</v>
      </c>
      <c r="K494" s="7">
        <v>5.8520000000000003</v>
      </c>
      <c r="L494" s="7">
        <v>4.4870000000000001</v>
      </c>
      <c r="M494" s="7">
        <v>4.7880000000000003</v>
      </c>
      <c r="N494" s="7">
        <v>4.7679999999999998</v>
      </c>
      <c r="O494" s="7">
        <v>4.9980000000000002</v>
      </c>
    </row>
    <row r="495" spans="1:15" x14ac:dyDescent="0.25">
      <c r="A495" s="5" t="s">
        <v>507</v>
      </c>
      <c r="B495" s="5">
        <v>66</v>
      </c>
      <c r="C495" s="5" t="s">
        <v>2</v>
      </c>
      <c r="D495" s="6">
        <v>99</v>
      </c>
      <c r="E495" s="7">
        <v>19.646000000000001</v>
      </c>
      <c r="F495" s="7">
        <v>4.5119999999999996</v>
      </c>
      <c r="G495" s="7">
        <v>4.7839999999999998</v>
      </c>
      <c r="H495" s="7">
        <v>4.641</v>
      </c>
      <c r="I495" s="7">
        <v>5.5739999999999998</v>
      </c>
      <c r="J495" s="7">
        <v>7.093</v>
      </c>
      <c r="K495" s="7">
        <v>4.8470000000000004</v>
      </c>
      <c r="L495" s="7">
        <v>4.3070000000000004</v>
      </c>
      <c r="M495" s="7">
        <v>4.8570000000000002</v>
      </c>
      <c r="N495" s="7">
        <v>5.1859999999999999</v>
      </c>
      <c r="O495" s="7">
        <v>5.2750000000000004</v>
      </c>
    </row>
    <row r="496" spans="1:15" x14ac:dyDescent="0.25">
      <c r="A496" s="5" t="s">
        <v>508</v>
      </c>
      <c r="B496" s="5">
        <v>26</v>
      </c>
      <c r="C496" s="5" t="s">
        <v>3</v>
      </c>
      <c r="D496" s="6">
        <v>102</v>
      </c>
      <c r="E496" s="7">
        <v>20.54</v>
      </c>
      <c r="F496" s="7">
        <v>5.5869999999999997</v>
      </c>
      <c r="G496" s="7">
        <v>6.5179999999999998</v>
      </c>
      <c r="H496" s="7">
        <v>5.3040000000000003</v>
      </c>
      <c r="I496" s="7">
        <v>4.8319999999999999</v>
      </c>
      <c r="J496" s="7">
        <v>4.6669999999999998</v>
      </c>
      <c r="K496" s="7">
        <v>5.0030000000000001</v>
      </c>
      <c r="L496" s="7">
        <v>4.4359999999999999</v>
      </c>
      <c r="M496" s="7">
        <v>5.08</v>
      </c>
      <c r="N496" s="7">
        <v>4.8719999999999999</v>
      </c>
      <c r="O496" s="7">
        <v>4.843</v>
      </c>
    </row>
    <row r="497" spans="1:15" x14ac:dyDescent="0.25">
      <c r="A497" s="5" t="s">
        <v>509</v>
      </c>
      <c r="B497" s="5">
        <v>37</v>
      </c>
      <c r="C497" s="5" t="s">
        <v>2</v>
      </c>
      <c r="D497" s="6">
        <v>100</v>
      </c>
      <c r="E497" s="7">
        <v>19.670000000000002</v>
      </c>
      <c r="F497" s="7">
        <v>4.0970000000000004</v>
      </c>
      <c r="G497" s="7">
        <v>4.7969999999999997</v>
      </c>
      <c r="H497" s="7">
        <v>4.25</v>
      </c>
      <c r="I497" s="7">
        <v>4.8970000000000002</v>
      </c>
      <c r="J497" s="7">
        <v>4.7539999999999996</v>
      </c>
      <c r="K497" s="7">
        <v>5.2370000000000001</v>
      </c>
      <c r="L497" s="7">
        <v>5</v>
      </c>
      <c r="M497" s="7">
        <v>4.9109999999999996</v>
      </c>
      <c r="N497" s="7">
        <v>4.9089999999999998</v>
      </c>
      <c r="O497" s="7">
        <v>4.6980000000000004</v>
      </c>
    </row>
    <row r="498" spans="1:15" x14ac:dyDescent="0.25">
      <c r="A498" s="5" t="s">
        <v>510</v>
      </c>
      <c r="B498" s="5">
        <v>78</v>
      </c>
      <c r="C498" s="5" t="s">
        <v>2</v>
      </c>
      <c r="D498" s="6">
        <v>112</v>
      </c>
      <c r="E498" s="7">
        <v>21.969000000000001</v>
      </c>
      <c r="F498" s="7">
        <v>5.3710000000000004</v>
      </c>
      <c r="G498" s="7">
        <v>3.7509999999999999</v>
      </c>
      <c r="H498" s="7">
        <v>3.75</v>
      </c>
      <c r="I498" s="7">
        <v>5.7549999999999999</v>
      </c>
      <c r="J498" s="7">
        <v>4.8289999999999997</v>
      </c>
      <c r="K498" s="7">
        <v>4.444</v>
      </c>
      <c r="L498" s="7">
        <v>5.476</v>
      </c>
      <c r="M498" s="7">
        <v>4.9560000000000004</v>
      </c>
      <c r="N498" s="7">
        <v>5.1289999999999996</v>
      </c>
      <c r="O498" s="7">
        <v>4.8230000000000004</v>
      </c>
    </row>
    <row r="499" spans="1:15" x14ac:dyDescent="0.25">
      <c r="A499" s="5" t="s">
        <v>511</v>
      </c>
      <c r="B499" s="5">
        <v>52</v>
      </c>
      <c r="C499" s="5" t="s">
        <v>2</v>
      </c>
      <c r="D499" s="6">
        <v>94</v>
      </c>
      <c r="E499" s="7">
        <v>19.242999999999999</v>
      </c>
      <c r="F499" s="7">
        <v>3.74</v>
      </c>
      <c r="G499" s="7">
        <v>5.78</v>
      </c>
      <c r="H499" s="7">
        <v>4.9020000000000001</v>
      </c>
      <c r="I499" s="7">
        <v>5.5490000000000004</v>
      </c>
      <c r="J499" s="7">
        <v>4.5860000000000003</v>
      </c>
      <c r="K499" s="7">
        <v>5.5270000000000001</v>
      </c>
      <c r="L499" s="7">
        <v>4.72</v>
      </c>
      <c r="M499" s="7">
        <v>5.2759999999999998</v>
      </c>
      <c r="N499" s="7">
        <v>5.28</v>
      </c>
      <c r="O499" s="7">
        <v>5.1909999999999998</v>
      </c>
    </row>
    <row r="500" spans="1:15" x14ac:dyDescent="0.25">
      <c r="A500" s="5" t="s">
        <v>512</v>
      </c>
      <c r="B500" s="5">
        <v>67</v>
      </c>
      <c r="C500" s="5" t="s">
        <v>3</v>
      </c>
      <c r="D500" s="6">
        <v>105</v>
      </c>
      <c r="E500" s="7">
        <v>21.259</v>
      </c>
      <c r="F500" s="7">
        <v>5.2229999999999999</v>
      </c>
      <c r="G500" s="7">
        <v>5.6580000000000004</v>
      </c>
      <c r="H500" s="7">
        <v>4.04</v>
      </c>
      <c r="I500" s="7">
        <v>4.1219999999999999</v>
      </c>
      <c r="J500" s="7">
        <v>4.2320000000000002</v>
      </c>
      <c r="K500" s="7">
        <v>5.3029999999999999</v>
      </c>
      <c r="L500" s="7">
        <v>4.8719999999999999</v>
      </c>
      <c r="M500" s="7">
        <v>4.601</v>
      </c>
      <c r="N500" s="7">
        <v>5.2519999999999998</v>
      </c>
      <c r="O500" s="7">
        <v>5.0640000000000001</v>
      </c>
    </row>
    <row r="501" spans="1:15" x14ac:dyDescent="0.25">
      <c r="A501" s="5" t="s">
        <v>513</v>
      </c>
      <c r="B501" s="5">
        <v>79</v>
      </c>
      <c r="C501" s="5" t="s">
        <v>2</v>
      </c>
      <c r="D501" s="6">
        <v>98</v>
      </c>
      <c r="E501" s="7">
        <v>19.623000000000001</v>
      </c>
      <c r="F501" s="7">
        <v>4.5869999999999997</v>
      </c>
      <c r="G501" s="7">
        <v>5.65</v>
      </c>
      <c r="H501" s="7">
        <v>4.1470000000000002</v>
      </c>
      <c r="I501" s="7">
        <v>4.1059999999999999</v>
      </c>
      <c r="J501" s="7">
        <v>5.032</v>
      </c>
      <c r="K501" s="7">
        <v>5.1260000000000003</v>
      </c>
      <c r="L501" s="7">
        <v>4.5750000000000002</v>
      </c>
      <c r="M501" s="7">
        <v>5.25</v>
      </c>
      <c r="N501" s="7">
        <v>4.891</v>
      </c>
      <c r="O501" s="7">
        <v>5.1689999999999996</v>
      </c>
    </row>
    <row r="502" spans="1:15" x14ac:dyDescent="0.25">
      <c r="A502" s="5" t="s">
        <v>514</v>
      </c>
      <c r="B502" s="5">
        <v>34</v>
      </c>
      <c r="C502" s="5" t="s">
        <v>3</v>
      </c>
      <c r="D502" s="6">
        <v>92</v>
      </c>
      <c r="E502" s="7">
        <v>18.992999999999999</v>
      </c>
      <c r="F502" s="7">
        <v>3.9830000000000001</v>
      </c>
      <c r="G502" s="7">
        <v>5.5869999999999997</v>
      </c>
      <c r="H502" s="7">
        <v>5.758</v>
      </c>
      <c r="I502" s="7">
        <v>4.4409999999999998</v>
      </c>
      <c r="J502" s="7">
        <v>4.67</v>
      </c>
      <c r="K502" s="7">
        <v>4.4000000000000004</v>
      </c>
      <c r="L502" s="7">
        <v>4.4749999999999996</v>
      </c>
      <c r="M502" s="7">
        <v>5.1459999999999999</v>
      </c>
      <c r="N502" s="7">
        <v>4.7290000000000001</v>
      </c>
      <c r="O502" s="7">
        <v>5.0010000000000003</v>
      </c>
    </row>
  </sheetData>
  <sheetProtection algorithmName="SHA-512" hashValue="fuabjL0Z6gqXtvjoe0R9EiEg+uhH7l3eYpVCfmmSc8MsF7aYG0ANIcM3gBOg9zHroWkxvOMRjUxei7oLsPuzJQ==" saltValue="X4h0yXae2L/+0+505sjKjg==" spinCount="100000" sheet="1" formatCells="0" formatColumns="0" formatRows="0" insertColumns="0" insertRows="0" insertHyperlinks="0" deleteColumns="0" deleteRows="0" sort="0" autoFilter="0" pivotTables="0"/>
  <mergeCells count="1">
    <mergeCell ref="A1:O1"/>
  </mergeCells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2"/>
  <sheetViews>
    <sheetView workbookViewId="0">
      <selection sqref="A1:O1"/>
    </sheetView>
  </sheetViews>
  <sheetFormatPr defaultRowHeight="13.8" x14ac:dyDescent="0.25"/>
  <cols>
    <col min="1" max="1" width="10.77734375" style="12" bestFit="1" customWidth="1"/>
    <col min="2" max="2" width="4.44140625" style="12" bestFit="1" customWidth="1"/>
    <col min="3" max="3" width="7.88671875" style="12" bestFit="1" customWidth="1"/>
    <col min="4" max="4" width="8.6640625" style="12" bestFit="1" customWidth="1"/>
    <col min="5" max="13" width="11.21875" style="12" bestFit="1" customWidth="1"/>
    <col min="14" max="15" width="12.44140625" style="12" bestFit="1" customWidth="1"/>
    <col min="16" max="16384" width="8.88671875" style="1"/>
  </cols>
  <sheetData>
    <row r="1" spans="1:15" s="9" customFormat="1" ht="48.6" customHeight="1" x14ac:dyDescent="0.25">
      <c r="A1" s="11" t="s">
        <v>517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5" ht="41.4" x14ac:dyDescent="0.25">
      <c r="A2" s="2" t="s">
        <v>515</v>
      </c>
      <c r="B2" s="2" t="s">
        <v>0</v>
      </c>
      <c r="C2" s="2" t="s">
        <v>1</v>
      </c>
      <c r="D2" s="3" t="s">
        <v>516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</row>
    <row r="3" spans="1:15" x14ac:dyDescent="0.25">
      <c r="A3" s="5" t="s">
        <v>15</v>
      </c>
      <c r="B3" s="5">
        <v>43</v>
      </c>
      <c r="C3" s="5" t="s">
        <v>2</v>
      </c>
      <c r="D3" s="7">
        <v>248</v>
      </c>
      <c r="E3" s="8">
        <v>31.546000000000003</v>
      </c>
      <c r="F3" s="8">
        <v>4.851</v>
      </c>
      <c r="G3" s="8">
        <v>5.1529999999999996</v>
      </c>
      <c r="H3" s="8">
        <v>4.6859999999999999</v>
      </c>
      <c r="I3" s="8">
        <v>4.8630000000000004</v>
      </c>
      <c r="J3" s="8">
        <v>4.9960000000000004</v>
      </c>
      <c r="K3" s="8">
        <v>4.9059999999999997</v>
      </c>
      <c r="L3" s="8">
        <v>6.4</v>
      </c>
      <c r="M3" s="8">
        <v>4.5330000000000004</v>
      </c>
      <c r="N3" s="8">
        <v>4.7240000000000002</v>
      </c>
      <c r="O3" s="8">
        <v>4.2389999999999999</v>
      </c>
    </row>
    <row r="4" spans="1:15" x14ac:dyDescent="0.25">
      <c r="A4" s="5" t="s">
        <v>16</v>
      </c>
      <c r="B4" s="5">
        <v>81</v>
      </c>
      <c r="C4" s="5" t="s">
        <v>3</v>
      </c>
      <c r="D4" s="7">
        <v>342</v>
      </c>
      <c r="E4" s="8">
        <v>33.225000000000001</v>
      </c>
      <c r="F4" s="8">
        <v>6.681</v>
      </c>
      <c r="G4" s="8">
        <v>5.7080000000000002</v>
      </c>
      <c r="H4" s="8">
        <v>5.069</v>
      </c>
      <c r="I4" s="8">
        <v>6.6079999999999997</v>
      </c>
      <c r="J4" s="8">
        <v>5.84</v>
      </c>
      <c r="K4" s="8">
        <v>4.4989999999999997</v>
      </c>
      <c r="L4" s="8">
        <v>5.78</v>
      </c>
      <c r="M4" s="8">
        <v>3.7290000000000001</v>
      </c>
      <c r="N4" s="8">
        <v>4.633</v>
      </c>
      <c r="O4" s="8">
        <v>4.3339999999999996</v>
      </c>
    </row>
    <row r="5" spans="1:15" x14ac:dyDescent="0.25">
      <c r="A5" s="5" t="s">
        <v>17</v>
      </c>
      <c r="B5" s="5">
        <v>29</v>
      </c>
      <c r="C5" s="5" t="s">
        <v>3</v>
      </c>
      <c r="D5" s="7">
        <v>243</v>
      </c>
      <c r="E5" s="8">
        <v>31.437000000000001</v>
      </c>
      <c r="F5" s="8">
        <v>4.742</v>
      </c>
      <c r="G5" s="8">
        <v>5.4390000000000001</v>
      </c>
      <c r="H5" s="8">
        <v>5.2859999999999996</v>
      </c>
      <c r="I5" s="8">
        <v>5.4640000000000004</v>
      </c>
      <c r="J5" s="8">
        <v>6.7380000000000004</v>
      </c>
      <c r="K5" s="8">
        <v>4.7699999999999996</v>
      </c>
      <c r="L5" s="8">
        <v>6.4</v>
      </c>
      <c r="M5" s="8">
        <v>4.798</v>
      </c>
      <c r="N5" s="8">
        <v>4.2190000000000003</v>
      </c>
      <c r="O5" s="8">
        <v>4.5279999999999996</v>
      </c>
    </row>
    <row r="6" spans="1:15" x14ac:dyDescent="0.25">
      <c r="A6" s="5" t="s">
        <v>18</v>
      </c>
      <c r="B6" s="5">
        <v>21</v>
      </c>
      <c r="C6" s="5" t="s">
        <v>3</v>
      </c>
      <c r="D6" s="7">
        <v>230</v>
      </c>
      <c r="E6" s="8">
        <v>31.085000000000004</v>
      </c>
      <c r="F6" s="8">
        <v>4.3899999999999997</v>
      </c>
      <c r="G6" s="8">
        <v>5.4829999999999997</v>
      </c>
      <c r="H6" s="8">
        <v>5.5620000000000003</v>
      </c>
      <c r="I6" s="8">
        <v>4.173</v>
      </c>
      <c r="J6" s="8">
        <v>6.399</v>
      </c>
      <c r="K6" s="8">
        <v>3.194</v>
      </c>
      <c r="L6" s="8">
        <v>4.9260000000000002</v>
      </c>
      <c r="M6" s="8">
        <v>3.7240000000000002</v>
      </c>
      <c r="N6" s="8">
        <v>4.5449999999999999</v>
      </c>
      <c r="O6" s="8">
        <v>4.5839999999999996</v>
      </c>
    </row>
    <row r="7" spans="1:15" x14ac:dyDescent="0.25">
      <c r="A7" s="5" t="s">
        <v>19</v>
      </c>
      <c r="B7" s="5">
        <v>23</v>
      </c>
      <c r="C7" s="5" t="s">
        <v>2</v>
      </c>
      <c r="D7" s="7">
        <v>229</v>
      </c>
      <c r="E7" s="8">
        <v>31.349000000000004</v>
      </c>
      <c r="F7" s="8">
        <v>4.6539999999999999</v>
      </c>
      <c r="G7" s="8">
        <v>4.4489999999999998</v>
      </c>
      <c r="H7" s="8">
        <v>6.4539999999999997</v>
      </c>
      <c r="I7" s="8">
        <v>6.1159999999999997</v>
      </c>
      <c r="J7" s="8">
        <v>5.9429999999999996</v>
      </c>
      <c r="K7" s="8">
        <v>4.1120000000000001</v>
      </c>
      <c r="L7" s="8">
        <v>5.702</v>
      </c>
      <c r="M7" s="8">
        <v>4.0910000000000002</v>
      </c>
      <c r="N7" s="8">
        <v>4.1669999999999998</v>
      </c>
      <c r="O7" s="8">
        <v>4.1719999999999997</v>
      </c>
    </row>
    <row r="8" spans="1:15" x14ac:dyDescent="0.25">
      <c r="A8" s="5" t="s">
        <v>20</v>
      </c>
      <c r="B8" s="5">
        <v>23</v>
      </c>
      <c r="C8" s="5" t="s">
        <v>3</v>
      </c>
      <c r="D8" s="7">
        <v>246</v>
      </c>
      <c r="E8" s="8">
        <v>31.622000000000003</v>
      </c>
      <c r="F8" s="8">
        <v>4.9269999999999996</v>
      </c>
      <c r="G8" s="8">
        <v>5.7919999999999998</v>
      </c>
      <c r="H8" s="8">
        <v>4.68</v>
      </c>
      <c r="I8" s="8">
        <v>6.8070000000000004</v>
      </c>
      <c r="J8" s="8">
        <v>5.0369999999999999</v>
      </c>
      <c r="K8" s="8">
        <v>2.9980000000000002</v>
      </c>
      <c r="L8" s="8">
        <v>6.0609999999999999</v>
      </c>
      <c r="M8" s="8">
        <v>3.79</v>
      </c>
      <c r="N8" s="8">
        <v>3.9449999999999998</v>
      </c>
      <c r="O8" s="8">
        <v>4.1870000000000003</v>
      </c>
    </row>
    <row r="9" spans="1:15" x14ac:dyDescent="0.25">
      <c r="A9" s="5" t="s">
        <v>21</v>
      </c>
      <c r="B9" s="5">
        <v>47</v>
      </c>
      <c r="C9" s="5" t="s">
        <v>2</v>
      </c>
      <c r="D9" s="7">
        <v>263</v>
      </c>
      <c r="E9" s="8">
        <v>31.636000000000003</v>
      </c>
      <c r="F9" s="8">
        <v>4.9409999999999998</v>
      </c>
      <c r="G9" s="8">
        <v>5.6050000000000004</v>
      </c>
      <c r="H9" s="8">
        <v>5.6890000000000001</v>
      </c>
      <c r="I9" s="8">
        <v>7.367</v>
      </c>
      <c r="J9" s="8">
        <v>4.82</v>
      </c>
      <c r="K9" s="8">
        <v>4.593</v>
      </c>
      <c r="L9" s="8">
        <v>6.2720000000000002</v>
      </c>
      <c r="M9" s="8">
        <v>4.5149999999999997</v>
      </c>
      <c r="N9" s="8">
        <v>3.5760000000000001</v>
      </c>
      <c r="O9" s="8">
        <v>4.1310000000000002</v>
      </c>
    </row>
    <row r="10" spans="1:15" x14ac:dyDescent="0.25">
      <c r="A10" s="5" t="s">
        <v>22</v>
      </c>
      <c r="B10" s="5">
        <v>84</v>
      </c>
      <c r="C10" s="5" t="s">
        <v>3</v>
      </c>
      <c r="D10" s="7">
        <v>300</v>
      </c>
      <c r="E10" s="8">
        <v>32.373000000000005</v>
      </c>
      <c r="F10" s="8">
        <v>5.6779999999999999</v>
      </c>
      <c r="G10" s="8">
        <v>6.4880000000000004</v>
      </c>
      <c r="H10" s="8">
        <v>3.9430000000000001</v>
      </c>
      <c r="I10" s="8">
        <v>5.4290000000000003</v>
      </c>
      <c r="J10" s="8">
        <v>6.3840000000000003</v>
      </c>
      <c r="K10" s="8">
        <v>3.0289999999999999</v>
      </c>
      <c r="L10" s="8">
        <v>5.97</v>
      </c>
      <c r="M10" s="8">
        <v>4.1379999999999999</v>
      </c>
      <c r="N10" s="8">
        <v>4.0369999999999999</v>
      </c>
      <c r="O10" s="8">
        <v>4.3819999999999997</v>
      </c>
    </row>
    <row r="11" spans="1:15" x14ac:dyDescent="0.25">
      <c r="A11" s="5" t="s">
        <v>23</v>
      </c>
      <c r="B11" s="5">
        <v>68</v>
      </c>
      <c r="C11" s="5" t="s">
        <v>2</v>
      </c>
      <c r="D11" s="7">
        <v>218</v>
      </c>
      <c r="E11" s="8">
        <v>31.197000000000003</v>
      </c>
      <c r="F11" s="8">
        <v>5.3029999999999999</v>
      </c>
      <c r="G11" s="8">
        <v>6.96</v>
      </c>
      <c r="H11" s="8">
        <v>6.46</v>
      </c>
      <c r="I11" s="8">
        <v>5.0389999999999997</v>
      </c>
      <c r="J11" s="8">
        <v>5.0490000000000004</v>
      </c>
      <c r="K11" s="8">
        <v>3.496</v>
      </c>
      <c r="L11" s="8">
        <v>6.8719999999999999</v>
      </c>
      <c r="M11" s="8">
        <v>4.7679999999999998</v>
      </c>
      <c r="N11" s="8">
        <v>4.2990000000000004</v>
      </c>
      <c r="O11" s="8">
        <v>4.3769999999999998</v>
      </c>
    </row>
    <row r="12" spans="1:15" x14ac:dyDescent="0.25">
      <c r="A12" s="5" t="s">
        <v>24</v>
      </c>
      <c r="B12" s="5">
        <v>43</v>
      </c>
      <c r="C12" s="5" t="s">
        <v>2</v>
      </c>
      <c r="D12" s="7">
        <v>322</v>
      </c>
      <c r="E12" s="8">
        <v>32.781000000000006</v>
      </c>
      <c r="F12" s="8">
        <v>6.0860000000000003</v>
      </c>
      <c r="G12" s="8">
        <v>5.758</v>
      </c>
      <c r="H12" s="8">
        <v>6.2809999999999997</v>
      </c>
      <c r="I12" s="8">
        <v>6.2750000000000004</v>
      </c>
      <c r="J12" s="8">
        <v>5.9429999999999996</v>
      </c>
      <c r="K12" s="8">
        <v>3.8610000000000002</v>
      </c>
      <c r="L12" s="8">
        <v>6.9950000000000001</v>
      </c>
      <c r="M12" s="8">
        <v>3.6139999999999999</v>
      </c>
      <c r="N12" s="8">
        <v>3.9820000000000002</v>
      </c>
      <c r="O12" s="8">
        <v>4.2329999999999997</v>
      </c>
    </row>
    <row r="13" spans="1:15" x14ac:dyDescent="0.25">
      <c r="A13" s="5" t="s">
        <v>25</v>
      </c>
      <c r="B13" s="5">
        <v>76</v>
      </c>
      <c r="C13" s="5" t="s">
        <v>2</v>
      </c>
      <c r="D13" s="7">
        <v>227</v>
      </c>
      <c r="E13" s="8">
        <v>31.343000000000004</v>
      </c>
      <c r="F13" s="8">
        <v>4.6479999999999997</v>
      </c>
      <c r="G13" s="8">
        <v>3.7930000000000001</v>
      </c>
      <c r="H13" s="8">
        <v>4.7679999999999998</v>
      </c>
      <c r="I13" s="8">
        <v>6.5759999999999996</v>
      </c>
      <c r="J13" s="8">
        <v>6.63</v>
      </c>
      <c r="K13" s="8">
        <v>3.8490000000000002</v>
      </c>
      <c r="L13" s="8">
        <v>5.9489999999999998</v>
      </c>
      <c r="M13" s="8">
        <v>4.1479999999999997</v>
      </c>
      <c r="N13" s="8">
        <v>4.58</v>
      </c>
      <c r="O13" s="8">
        <v>4.6159999999999997</v>
      </c>
    </row>
    <row r="14" spans="1:15" x14ac:dyDescent="0.25">
      <c r="A14" s="5" t="s">
        <v>26</v>
      </c>
      <c r="B14" s="5">
        <v>76</v>
      </c>
      <c r="C14" s="5" t="s">
        <v>2</v>
      </c>
      <c r="D14" s="7">
        <v>325</v>
      </c>
      <c r="E14" s="8">
        <v>32.995000000000005</v>
      </c>
      <c r="F14" s="8">
        <v>6.3</v>
      </c>
      <c r="G14" s="8">
        <v>4.7190000000000003</v>
      </c>
      <c r="H14" s="8">
        <v>5.7210000000000001</v>
      </c>
      <c r="I14" s="8">
        <v>7.0650000000000004</v>
      </c>
      <c r="J14" s="8">
        <v>5.4710000000000001</v>
      </c>
      <c r="K14" s="8">
        <v>3.5489999999999999</v>
      </c>
      <c r="L14" s="8">
        <v>6.3739999999999997</v>
      </c>
      <c r="M14" s="8">
        <v>4.4669999999999996</v>
      </c>
      <c r="N14" s="8">
        <v>3.87</v>
      </c>
      <c r="O14" s="8">
        <v>4.5990000000000002</v>
      </c>
    </row>
    <row r="15" spans="1:15" x14ac:dyDescent="0.25">
      <c r="A15" s="5" t="s">
        <v>27</v>
      </c>
      <c r="B15" s="5">
        <v>50</v>
      </c>
      <c r="C15" s="5" t="s">
        <v>3</v>
      </c>
      <c r="D15" s="7">
        <v>171</v>
      </c>
      <c r="E15" s="8">
        <v>30.294000000000004</v>
      </c>
      <c r="F15" s="8">
        <v>3.9910000000000001</v>
      </c>
      <c r="G15" s="8">
        <v>4.9269999999999996</v>
      </c>
      <c r="H15" s="8">
        <v>5.1639999999999997</v>
      </c>
      <c r="I15" s="8">
        <v>6.1980000000000004</v>
      </c>
      <c r="J15" s="8">
        <v>4.7359999999999998</v>
      </c>
      <c r="K15" s="8">
        <v>3.3759999999999999</v>
      </c>
      <c r="L15" s="8">
        <v>5.9710000000000001</v>
      </c>
      <c r="M15" s="8">
        <v>4.7380000000000004</v>
      </c>
      <c r="N15" s="8">
        <v>4.6879999999999997</v>
      </c>
      <c r="O15" s="8">
        <v>4.181</v>
      </c>
    </row>
    <row r="16" spans="1:15" x14ac:dyDescent="0.25">
      <c r="A16" s="5" t="s">
        <v>28</v>
      </c>
      <c r="B16" s="5">
        <v>70</v>
      </c>
      <c r="C16" s="5" t="s">
        <v>2</v>
      </c>
      <c r="D16" s="7">
        <v>316</v>
      </c>
      <c r="E16" s="8">
        <v>33.070999999999998</v>
      </c>
      <c r="F16" s="8">
        <v>6.3760000000000003</v>
      </c>
      <c r="G16" s="8">
        <v>5.2370000000000001</v>
      </c>
      <c r="H16" s="8">
        <v>7.9029999999999996</v>
      </c>
      <c r="I16" s="8">
        <v>6.7489999999999997</v>
      </c>
      <c r="J16" s="8">
        <v>4.8609999999999998</v>
      </c>
      <c r="K16" s="8">
        <v>3.5819999999999999</v>
      </c>
      <c r="L16" s="8">
        <v>6.3860000000000001</v>
      </c>
      <c r="M16" s="8">
        <v>4.2169999999999996</v>
      </c>
      <c r="N16" s="8">
        <v>4.58</v>
      </c>
      <c r="O16" s="8">
        <v>4.298</v>
      </c>
    </row>
    <row r="17" spans="1:15" x14ac:dyDescent="0.25">
      <c r="A17" s="5" t="s">
        <v>29</v>
      </c>
      <c r="B17" s="5">
        <v>39</v>
      </c>
      <c r="C17" s="5" t="s">
        <v>3</v>
      </c>
      <c r="D17" s="7">
        <v>251</v>
      </c>
      <c r="E17" s="8">
        <v>31.952000000000002</v>
      </c>
      <c r="F17" s="8">
        <v>5.2569999999999997</v>
      </c>
      <c r="G17" s="8">
        <v>5.1719999999999997</v>
      </c>
      <c r="H17" s="8">
        <v>8.048</v>
      </c>
      <c r="I17" s="8">
        <v>6.68</v>
      </c>
      <c r="J17" s="8">
        <v>5.48</v>
      </c>
      <c r="K17" s="8">
        <v>3.7120000000000002</v>
      </c>
      <c r="L17" s="8">
        <v>5.34</v>
      </c>
      <c r="M17" s="8">
        <v>3.7509999999999999</v>
      </c>
      <c r="N17" s="8">
        <v>4.0309999999999997</v>
      </c>
      <c r="O17" s="8">
        <v>4.3550000000000004</v>
      </c>
    </row>
    <row r="18" spans="1:15" x14ac:dyDescent="0.25">
      <c r="A18" s="5" t="s">
        <v>30</v>
      </c>
      <c r="B18" s="5">
        <v>38</v>
      </c>
      <c r="C18" s="5" t="s">
        <v>3</v>
      </c>
      <c r="D18" s="7">
        <v>287</v>
      </c>
      <c r="E18" s="8">
        <v>32.362000000000002</v>
      </c>
      <c r="F18" s="8">
        <v>5.6669999999999998</v>
      </c>
      <c r="G18" s="8">
        <v>6.944</v>
      </c>
      <c r="H18" s="8">
        <v>6.2670000000000003</v>
      </c>
      <c r="I18" s="8">
        <v>5.7930000000000001</v>
      </c>
      <c r="J18" s="8">
        <v>6.6479999999999997</v>
      </c>
      <c r="K18" s="8">
        <v>5.7480000000000002</v>
      </c>
      <c r="L18" s="8">
        <v>5.4790000000000001</v>
      </c>
      <c r="M18" s="8">
        <v>4.633</v>
      </c>
      <c r="N18" s="8">
        <v>4.46</v>
      </c>
      <c r="O18" s="8">
        <v>4.242</v>
      </c>
    </row>
    <row r="19" spans="1:15" x14ac:dyDescent="0.25">
      <c r="A19" s="5" t="s">
        <v>31</v>
      </c>
      <c r="B19" s="5">
        <v>21</v>
      </c>
      <c r="C19" s="5" t="s">
        <v>3</v>
      </c>
      <c r="D19" s="7">
        <v>155</v>
      </c>
      <c r="E19" s="8">
        <v>30.230000000000004</v>
      </c>
      <c r="F19" s="8">
        <v>3.5350000000000001</v>
      </c>
      <c r="G19" s="8">
        <v>3.7210000000000001</v>
      </c>
      <c r="H19" s="8">
        <v>7.2510000000000003</v>
      </c>
      <c r="I19" s="8">
        <v>6.157</v>
      </c>
      <c r="J19" s="8">
        <v>5.2050000000000001</v>
      </c>
      <c r="K19" s="8">
        <v>3.2029999999999998</v>
      </c>
      <c r="L19" s="8">
        <v>6.5060000000000002</v>
      </c>
      <c r="M19" s="8">
        <v>4.53</v>
      </c>
      <c r="N19" s="8">
        <v>4.4690000000000003</v>
      </c>
      <c r="O19" s="8">
        <v>4.444</v>
      </c>
    </row>
    <row r="20" spans="1:15" x14ac:dyDescent="0.25">
      <c r="A20" s="5" t="s">
        <v>32</v>
      </c>
      <c r="B20" s="5">
        <v>79</v>
      </c>
      <c r="C20" s="5" t="s">
        <v>3</v>
      </c>
      <c r="D20" s="7">
        <v>209</v>
      </c>
      <c r="E20" s="8">
        <v>30.925000000000004</v>
      </c>
      <c r="F20" s="8">
        <v>4.2300000000000004</v>
      </c>
      <c r="G20" s="8">
        <v>6.6509999999999998</v>
      </c>
      <c r="H20" s="8">
        <v>5.6260000000000003</v>
      </c>
      <c r="I20" s="8">
        <v>5.9589999999999996</v>
      </c>
      <c r="J20" s="8">
        <v>4.9740000000000002</v>
      </c>
      <c r="K20" s="8">
        <v>4.6779999999999999</v>
      </c>
      <c r="L20" s="8">
        <v>6.4619999999999997</v>
      </c>
      <c r="M20" s="8">
        <v>4.2249999999999996</v>
      </c>
      <c r="N20" s="8">
        <v>4.0380000000000003</v>
      </c>
      <c r="O20" s="8">
        <v>4.2590000000000003</v>
      </c>
    </row>
    <row r="21" spans="1:15" x14ac:dyDescent="0.25">
      <c r="A21" s="5" t="s">
        <v>33</v>
      </c>
      <c r="B21" s="5">
        <v>79</v>
      </c>
      <c r="C21" s="5" t="s">
        <v>2</v>
      </c>
      <c r="D21" s="7">
        <v>343</v>
      </c>
      <c r="E21" s="8">
        <v>33.370000000000005</v>
      </c>
      <c r="F21" s="8">
        <v>6.6749999999999998</v>
      </c>
      <c r="G21" s="8">
        <v>5.9349999999999996</v>
      </c>
      <c r="H21" s="8">
        <v>6.6539999999999999</v>
      </c>
      <c r="I21" s="8">
        <v>6.3730000000000002</v>
      </c>
      <c r="J21" s="8">
        <v>4.2640000000000002</v>
      </c>
      <c r="K21" s="8">
        <v>3.3719999999999999</v>
      </c>
      <c r="L21" s="8">
        <v>5.7290000000000001</v>
      </c>
      <c r="M21" s="8">
        <v>4.1429999999999998</v>
      </c>
      <c r="N21" s="8">
        <v>4.1959999999999997</v>
      </c>
      <c r="O21" s="8">
        <v>4.4820000000000002</v>
      </c>
    </row>
    <row r="22" spans="1:15" x14ac:dyDescent="0.25">
      <c r="A22" s="5" t="s">
        <v>34</v>
      </c>
      <c r="B22" s="5">
        <v>41</v>
      </c>
      <c r="C22" s="5" t="s">
        <v>2</v>
      </c>
      <c r="D22" s="7">
        <v>389</v>
      </c>
      <c r="E22" s="8">
        <v>34.224000000000004</v>
      </c>
      <c r="F22" s="8">
        <v>7.5289999999999999</v>
      </c>
      <c r="G22" s="8">
        <v>5.9980000000000002</v>
      </c>
      <c r="H22" s="8">
        <v>5.4619999999999997</v>
      </c>
      <c r="I22" s="8">
        <v>6.2229999999999999</v>
      </c>
      <c r="J22" s="8">
        <v>6.4539999999999997</v>
      </c>
      <c r="K22" s="8">
        <v>3.2309999999999999</v>
      </c>
      <c r="L22" s="8">
        <v>6.1440000000000001</v>
      </c>
      <c r="M22" s="8">
        <v>4.95</v>
      </c>
      <c r="N22" s="8">
        <v>4.524</v>
      </c>
      <c r="O22" s="8">
        <v>4.2359999999999998</v>
      </c>
    </row>
    <row r="23" spans="1:15" x14ac:dyDescent="0.25">
      <c r="A23" s="5" t="s">
        <v>35</v>
      </c>
      <c r="B23" s="5">
        <v>72</v>
      </c>
      <c r="C23" s="5" t="s">
        <v>3</v>
      </c>
      <c r="D23" s="7">
        <v>279</v>
      </c>
      <c r="E23" s="8">
        <v>31.92</v>
      </c>
      <c r="F23" s="8">
        <v>5.2249999999999996</v>
      </c>
      <c r="G23" s="8">
        <v>5.8760000000000003</v>
      </c>
      <c r="H23" s="8">
        <v>4.7789999999999999</v>
      </c>
      <c r="I23" s="8">
        <v>5.968</v>
      </c>
      <c r="J23" s="8">
        <v>5.492</v>
      </c>
      <c r="K23" s="8">
        <v>3.7149999999999999</v>
      </c>
      <c r="L23" s="8">
        <v>5.7770000000000001</v>
      </c>
      <c r="M23" s="8">
        <v>3.5680000000000001</v>
      </c>
      <c r="N23" s="8">
        <v>4.0599999999999996</v>
      </c>
      <c r="O23" s="8">
        <v>4.34</v>
      </c>
    </row>
    <row r="24" spans="1:15" x14ac:dyDescent="0.25">
      <c r="A24" s="5" t="s">
        <v>36</v>
      </c>
      <c r="B24" s="5">
        <v>26</v>
      </c>
      <c r="C24" s="5" t="s">
        <v>2</v>
      </c>
      <c r="D24" s="7">
        <v>316</v>
      </c>
      <c r="E24" s="8">
        <v>32.799000000000007</v>
      </c>
      <c r="F24" s="8">
        <v>6.1040000000000001</v>
      </c>
      <c r="G24" s="8">
        <v>5.64</v>
      </c>
      <c r="H24" s="8">
        <v>7.077</v>
      </c>
      <c r="I24" s="8">
        <v>6.7389999999999999</v>
      </c>
      <c r="J24" s="8">
        <v>5.641</v>
      </c>
      <c r="K24" s="8">
        <v>3.69</v>
      </c>
      <c r="L24" s="8">
        <v>5.6820000000000004</v>
      </c>
      <c r="M24" s="8">
        <v>3.835</v>
      </c>
      <c r="N24" s="8">
        <v>3.78</v>
      </c>
      <c r="O24" s="8">
        <v>4.5890000000000004</v>
      </c>
    </row>
    <row r="25" spans="1:15" x14ac:dyDescent="0.25">
      <c r="A25" s="5" t="s">
        <v>37</v>
      </c>
      <c r="B25" s="5">
        <v>20</v>
      </c>
      <c r="C25" s="5" t="s">
        <v>3</v>
      </c>
      <c r="D25" s="7">
        <v>388</v>
      </c>
      <c r="E25" s="8">
        <v>33.975999999999999</v>
      </c>
      <c r="F25" s="8">
        <v>7.2809999999999997</v>
      </c>
      <c r="G25" s="8">
        <v>5.3979999999999997</v>
      </c>
      <c r="H25" s="8">
        <v>6.0890000000000004</v>
      </c>
      <c r="I25" s="8">
        <v>5.9580000000000002</v>
      </c>
      <c r="J25" s="8">
        <v>4.9340000000000002</v>
      </c>
      <c r="K25" s="8">
        <v>3.9529999999999998</v>
      </c>
      <c r="L25" s="8">
        <v>5.8890000000000002</v>
      </c>
      <c r="M25" s="8">
        <v>4.1509999999999998</v>
      </c>
      <c r="N25" s="8">
        <v>4.109</v>
      </c>
      <c r="O25" s="8">
        <v>4.2089999999999996</v>
      </c>
    </row>
    <row r="26" spans="1:15" x14ac:dyDescent="0.25">
      <c r="A26" s="5" t="s">
        <v>38</v>
      </c>
      <c r="B26" s="5">
        <v>48</v>
      </c>
      <c r="C26" s="5" t="s">
        <v>3</v>
      </c>
      <c r="D26" s="7">
        <v>374</v>
      </c>
      <c r="E26" s="8">
        <v>33.969000000000001</v>
      </c>
      <c r="F26" s="8">
        <v>7.274</v>
      </c>
      <c r="G26" s="8">
        <v>2.657</v>
      </c>
      <c r="H26" s="8">
        <v>4.6420000000000003</v>
      </c>
      <c r="I26" s="8">
        <v>6.3920000000000003</v>
      </c>
      <c r="J26" s="8">
        <v>5.6589999999999998</v>
      </c>
      <c r="K26" s="8">
        <v>4.7389999999999999</v>
      </c>
      <c r="L26" s="8">
        <v>5.68</v>
      </c>
      <c r="M26" s="8">
        <v>3.9870000000000001</v>
      </c>
      <c r="N26" s="8">
        <v>3.7090000000000001</v>
      </c>
      <c r="O26" s="8">
        <v>4.2249999999999996</v>
      </c>
    </row>
    <row r="27" spans="1:15" x14ac:dyDescent="0.25">
      <c r="A27" s="5" t="s">
        <v>39</v>
      </c>
      <c r="B27" s="5">
        <v>57</v>
      </c>
      <c r="C27" s="5" t="s">
        <v>2</v>
      </c>
      <c r="D27" s="7">
        <v>166</v>
      </c>
      <c r="E27" s="8">
        <v>30.330000000000002</v>
      </c>
      <c r="F27" s="8">
        <v>3.6349999999999998</v>
      </c>
      <c r="G27" s="8">
        <v>4.8920000000000003</v>
      </c>
      <c r="H27" s="8">
        <v>6.8890000000000002</v>
      </c>
      <c r="I27" s="8">
        <v>5.5250000000000004</v>
      </c>
      <c r="J27" s="8">
        <v>5.7169999999999996</v>
      </c>
      <c r="K27" s="8">
        <v>4.3230000000000004</v>
      </c>
      <c r="L27" s="8">
        <v>4.992</v>
      </c>
      <c r="M27" s="8">
        <v>3.8359999999999999</v>
      </c>
      <c r="N27" s="8">
        <v>4.117</v>
      </c>
      <c r="O27" s="8">
        <v>4.1980000000000004</v>
      </c>
    </row>
    <row r="28" spans="1:15" x14ac:dyDescent="0.25">
      <c r="A28" s="5" t="s">
        <v>40</v>
      </c>
      <c r="B28" s="5">
        <v>53</v>
      </c>
      <c r="C28" s="5" t="s">
        <v>3</v>
      </c>
      <c r="D28" s="7">
        <v>220</v>
      </c>
      <c r="E28" s="8">
        <v>31.144000000000002</v>
      </c>
      <c r="F28" s="8">
        <v>4.4489999999999998</v>
      </c>
      <c r="G28" s="8">
        <v>5.4349999999999996</v>
      </c>
      <c r="H28" s="8">
        <v>6.3259999999999996</v>
      </c>
      <c r="I28" s="8">
        <v>4.6479999999999997</v>
      </c>
      <c r="J28" s="8">
        <v>5.8109999999999999</v>
      </c>
      <c r="K28" s="8">
        <v>3.8119999999999998</v>
      </c>
      <c r="L28" s="8">
        <v>5.9119999999999999</v>
      </c>
      <c r="M28" s="8">
        <v>3.8170000000000002</v>
      </c>
      <c r="N28" s="8">
        <v>4.0179999999999998</v>
      </c>
      <c r="O28" s="8">
        <v>4.47</v>
      </c>
    </row>
    <row r="29" spans="1:15" x14ac:dyDescent="0.25">
      <c r="A29" s="5" t="s">
        <v>41</v>
      </c>
      <c r="B29" s="5">
        <v>41</v>
      </c>
      <c r="C29" s="5" t="s">
        <v>3</v>
      </c>
      <c r="D29" s="7">
        <v>246</v>
      </c>
      <c r="E29" s="8">
        <v>31.778000000000002</v>
      </c>
      <c r="F29" s="8">
        <v>5.0830000000000002</v>
      </c>
      <c r="G29" s="8">
        <v>6.1580000000000004</v>
      </c>
      <c r="H29" s="8">
        <v>6.0149999999999997</v>
      </c>
      <c r="I29" s="8">
        <v>6.8970000000000002</v>
      </c>
      <c r="J29" s="8">
        <v>5.7050000000000001</v>
      </c>
      <c r="K29" s="8">
        <v>3.9889999999999999</v>
      </c>
      <c r="L29" s="8">
        <v>6.2220000000000004</v>
      </c>
      <c r="M29" s="8">
        <v>4.5510000000000002</v>
      </c>
      <c r="N29" s="8">
        <v>3.9340000000000002</v>
      </c>
      <c r="O29" s="8">
        <v>4.32</v>
      </c>
    </row>
    <row r="30" spans="1:15" x14ac:dyDescent="0.25">
      <c r="A30" s="5" t="s">
        <v>42</v>
      </c>
      <c r="B30" s="5">
        <v>23</v>
      </c>
      <c r="C30" s="5" t="s">
        <v>2</v>
      </c>
      <c r="D30" s="7">
        <v>369</v>
      </c>
      <c r="E30" s="8">
        <v>33.597000000000001</v>
      </c>
      <c r="F30" s="8">
        <v>6.9020000000000001</v>
      </c>
      <c r="G30" s="8">
        <v>5.3680000000000003</v>
      </c>
      <c r="H30" s="8">
        <v>5.8929999999999998</v>
      </c>
      <c r="I30" s="8">
        <v>6.4470000000000001</v>
      </c>
      <c r="J30" s="8">
        <v>5.0250000000000004</v>
      </c>
      <c r="K30" s="8">
        <v>4.6219999999999999</v>
      </c>
      <c r="L30" s="8">
        <v>6.1639999999999997</v>
      </c>
      <c r="M30" s="8">
        <v>3.9420000000000002</v>
      </c>
      <c r="N30" s="8">
        <v>4.6369999999999996</v>
      </c>
      <c r="O30" s="8">
        <v>4.6070000000000002</v>
      </c>
    </row>
    <row r="31" spans="1:15" x14ac:dyDescent="0.25">
      <c r="A31" s="5" t="s">
        <v>43</v>
      </c>
      <c r="B31" s="5">
        <v>83</v>
      </c>
      <c r="C31" s="5" t="s">
        <v>3</v>
      </c>
      <c r="D31" s="7">
        <v>195</v>
      </c>
      <c r="E31" s="8">
        <v>30.827000000000002</v>
      </c>
      <c r="F31" s="8">
        <v>4.1319999999999997</v>
      </c>
      <c r="G31" s="8">
        <v>5.3140000000000001</v>
      </c>
      <c r="H31" s="8">
        <v>5.1470000000000002</v>
      </c>
      <c r="I31" s="8">
        <v>5.1580000000000004</v>
      </c>
      <c r="J31" s="8">
        <v>6.101</v>
      </c>
      <c r="K31" s="8">
        <v>4.4290000000000003</v>
      </c>
      <c r="L31" s="8">
        <v>6.0679999999999996</v>
      </c>
      <c r="M31" s="8">
        <v>4.1449999999999996</v>
      </c>
      <c r="N31" s="8">
        <v>4.1260000000000003</v>
      </c>
      <c r="O31" s="8">
        <v>4.5220000000000002</v>
      </c>
    </row>
    <row r="32" spans="1:15" x14ac:dyDescent="0.25">
      <c r="A32" s="5" t="s">
        <v>44</v>
      </c>
      <c r="B32" s="5">
        <v>68</v>
      </c>
      <c r="C32" s="5" t="s">
        <v>3</v>
      </c>
      <c r="D32" s="7">
        <v>262</v>
      </c>
      <c r="E32" s="8">
        <v>31.902000000000001</v>
      </c>
      <c r="F32" s="8">
        <v>5.2069999999999999</v>
      </c>
      <c r="G32" s="8">
        <v>4.641</v>
      </c>
      <c r="H32" s="8">
        <v>5.9370000000000003</v>
      </c>
      <c r="I32" s="8">
        <v>6.032</v>
      </c>
      <c r="J32" s="8">
        <v>5.5620000000000003</v>
      </c>
      <c r="K32" s="8">
        <v>3.6459999999999999</v>
      </c>
      <c r="L32" s="8">
        <v>5.8019999999999996</v>
      </c>
      <c r="M32" s="8">
        <v>4.4009999999999998</v>
      </c>
      <c r="N32" s="8">
        <v>4.2789999999999999</v>
      </c>
      <c r="O32" s="8">
        <v>4.2770000000000001</v>
      </c>
    </row>
    <row r="33" spans="1:15" x14ac:dyDescent="0.25">
      <c r="A33" s="5" t="s">
        <v>45</v>
      </c>
      <c r="B33" s="5">
        <v>79</v>
      </c>
      <c r="C33" s="5" t="s">
        <v>2</v>
      </c>
      <c r="D33" s="7">
        <v>352</v>
      </c>
      <c r="E33" s="8">
        <v>33.466000000000001</v>
      </c>
      <c r="F33" s="8">
        <v>6.7709999999999999</v>
      </c>
      <c r="G33" s="8">
        <v>4.7430000000000003</v>
      </c>
      <c r="H33" s="8">
        <v>6.734</v>
      </c>
      <c r="I33" s="8">
        <v>6.7629999999999999</v>
      </c>
      <c r="J33" s="8">
        <v>5.702</v>
      </c>
      <c r="K33" s="8">
        <v>3.6339999999999999</v>
      </c>
      <c r="L33" s="8">
        <v>5.7149999999999999</v>
      </c>
      <c r="M33" s="8">
        <v>4.4169999999999998</v>
      </c>
      <c r="N33" s="8">
        <v>4.26</v>
      </c>
      <c r="O33" s="8">
        <v>4.1950000000000003</v>
      </c>
    </row>
    <row r="34" spans="1:15" x14ac:dyDescent="0.25">
      <c r="A34" s="5" t="s">
        <v>46</v>
      </c>
      <c r="B34" s="5">
        <v>74</v>
      </c>
      <c r="C34" s="5" t="s">
        <v>2</v>
      </c>
      <c r="D34" s="7">
        <v>303</v>
      </c>
      <c r="E34" s="8">
        <v>32.261000000000003</v>
      </c>
      <c r="F34" s="8">
        <v>5.5659999999999998</v>
      </c>
      <c r="G34" s="8">
        <v>6.0229999999999997</v>
      </c>
      <c r="H34" s="8">
        <v>4.569</v>
      </c>
      <c r="I34" s="8">
        <v>5.6369999999999996</v>
      </c>
      <c r="J34" s="8">
        <v>5.383</v>
      </c>
      <c r="K34" s="8">
        <v>4.7160000000000002</v>
      </c>
      <c r="L34" s="8">
        <v>6.5910000000000002</v>
      </c>
      <c r="M34" s="8">
        <v>3.88</v>
      </c>
      <c r="N34" s="8">
        <v>4.1779999999999999</v>
      </c>
      <c r="O34" s="8">
        <v>4.3479999999999999</v>
      </c>
    </row>
    <row r="35" spans="1:15" x14ac:dyDescent="0.25">
      <c r="A35" s="5" t="s">
        <v>47</v>
      </c>
      <c r="B35" s="5">
        <v>83</v>
      </c>
      <c r="C35" s="5" t="s">
        <v>2</v>
      </c>
      <c r="D35" s="7">
        <v>309</v>
      </c>
      <c r="E35" s="8">
        <v>32.646000000000001</v>
      </c>
      <c r="F35" s="8">
        <v>5.9509999999999996</v>
      </c>
      <c r="G35" s="8">
        <v>4.2510000000000003</v>
      </c>
      <c r="H35" s="8">
        <v>4.4589999999999996</v>
      </c>
      <c r="I35" s="8">
        <v>5.0289999999999999</v>
      </c>
      <c r="J35" s="8">
        <v>5.5789999999999997</v>
      </c>
      <c r="K35" s="8">
        <v>3.698</v>
      </c>
      <c r="L35" s="8">
        <v>6.0960000000000001</v>
      </c>
      <c r="M35" s="8">
        <v>3.6240000000000001</v>
      </c>
      <c r="N35" s="8">
        <v>4.4059999999999997</v>
      </c>
      <c r="O35" s="8">
        <v>4.827</v>
      </c>
    </row>
    <row r="36" spans="1:15" x14ac:dyDescent="0.25">
      <c r="A36" s="5" t="s">
        <v>48</v>
      </c>
      <c r="B36" s="5">
        <v>25</v>
      </c>
      <c r="C36" s="5" t="s">
        <v>3</v>
      </c>
      <c r="D36" s="7">
        <v>253</v>
      </c>
      <c r="E36" s="8">
        <v>31.873000000000001</v>
      </c>
      <c r="F36" s="8">
        <v>5.1779999999999999</v>
      </c>
      <c r="G36" s="8">
        <v>6.2690000000000001</v>
      </c>
      <c r="H36" s="8">
        <v>6.6929999999999996</v>
      </c>
      <c r="I36" s="8">
        <v>6.1890000000000001</v>
      </c>
      <c r="J36" s="8">
        <v>6.1369999999999996</v>
      </c>
      <c r="K36" s="8">
        <v>3.9769999999999999</v>
      </c>
      <c r="L36" s="8">
        <v>5.6</v>
      </c>
      <c r="M36" s="8">
        <v>4.1109999999999998</v>
      </c>
      <c r="N36" s="8">
        <v>4.0490000000000004</v>
      </c>
      <c r="O36" s="8">
        <v>4.5570000000000004</v>
      </c>
    </row>
    <row r="37" spans="1:15" x14ac:dyDescent="0.25">
      <c r="A37" s="5" t="s">
        <v>49</v>
      </c>
      <c r="B37" s="5">
        <v>43</v>
      </c>
      <c r="C37" s="5" t="s">
        <v>3</v>
      </c>
      <c r="D37" s="7">
        <v>336</v>
      </c>
      <c r="E37" s="8">
        <v>32.983000000000004</v>
      </c>
      <c r="F37" s="8">
        <v>6.2880000000000003</v>
      </c>
      <c r="G37" s="8">
        <v>4.6980000000000004</v>
      </c>
      <c r="H37" s="8">
        <v>6.1239999999999997</v>
      </c>
      <c r="I37" s="8">
        <v>5.1909999999999998</v>
      </c>
      <c r="J37" s="8">
        <v>5.8920000000000003</v>
      </c>
      <c r="K37" s="8">
        <v>3.6549999999999998</v>
      </c>
      <c r="L37" s="8">
        <v>5.819</v>
      </c>
      <c r="M37" s="8">
        <v>4.1139999999999999</v>
      </c>
      <c r="N37" s="8">
        <v>4.6180000000000003</v>
      </c>
      <c r="O37" s="8">
        <v>4.218</v>
      </c>
    </row>
    <row r="38" spans="1:15" x14ac:dyDescent="0.25">
      <c r="A38" s="5" t="s">
        <v>50</v>
      </c>
      <c r="B38" s="5">
        <v>62</v>
      </c>
      <c r="C38" s="5" t="s">
        <v>3</v>
      </c>
      <c r="D38" s="7">
        <v>326</v>
      </c>
      <c r="E38" s="8">
        <v>33.124000000000002</v>
      </c>
      <c r="F38" s="8">
        <v>6.4290000000000003</v>
      </c>
      <c r="G38" s="8">
        <v>4.9260000000000002</v>
      </c>
      <c r="H38" s="8">
        <v>5.867</v>
      </c>
      <c r="I38" s="8">
        <v>6.3179999999999996</v>
      </c>
      <c r="J38" s="8">
        <v>5.6379999999999999</v>
      </c>
      <c r="K38" s="8">
        <v>5.1219999999999999</v>
      </c>
      <c r="L38" s="8">
        <v>6.306</v>
      </c>
      <c r="M38" s="8">
        <v>4.6589999999999998</v>
      </c>
      <c r="N38" s="8">
        <v>3.855</v>
      </c>
      <c r="O38" s="8">
        <v>4.6059999999999999</v>
      </c>
    </row>
    <row r="39" spans="1:15" x14ac:dyDescent="0.25">
      <c r="A39" s="5" t="s">
        <v>51</v>
      </c>
      <c r="B39" s="5">
        <v>61</v>
      </c>
      <c r="C39" s="5" t="s">
        <v>3</v>
      </c>
      <c r="D39" s="7">
        <v>255</v>
      </c>
      <c r="E39" s="8">
        <v>31.704000000000004</v>
      </c>
      <c r="F39" s="8">
        <v>5.0090000000000003</v>
      </c>
      <c r="G39" s="8">
        <v>5.4729999999999999</v>
      </c>
      <c r="H39" s="8">
        <v>5.0919999999999996</v>
      </c>
      <c r="I39" s="8">
        <v>6.0990000000000002</v>
      </c>
      <c r="J39" s="8">
        <v>5.7779999999999996</v>
      </c>
      <c r="K39" s="8">
        <v>4.0229999999999997</v>
      </c>
      <c r="L39" s="8">
        <v>5.6529999999999996</v>
      </c>
      <c r="M39" s="8">
        <v>3.927</v>
      </c>
      <c r="N39" s="8">
        <v>4.3940000000000001</v>
      </c>
      <c r="O39" s="8">
        <v>4.6870000000000003</v>
      </c>
    </row>
    <row r="40" spans="1:15" x14ac:dyDescent="0.25">
      <c r="A40" s="5" t="s">
        <v>52</v>
      </c>
      <c r="B40" s="5">
        <v>22</v>
      </c>
      <c r="C40" s="5" t="s">
        <v>3</v>
      </c>
      <c r="D40" s="7">
        <v>371</v>
      </c>
      <c r="E40" s="8">
        <v>33.992000000000004</v>
      </c>
      <c r="F40" s="8">
        <v>7.2969999999999997</v>
      </c>
      <c r="G40" s="8">
        <v>5.9630000000000001</v>
      </c>
      <c r="H40" s="8">
        <v>4.7990000000000004</v>
      </c>
      <c r="I40" s="8">
        <v>6.5490000000000004</v>
      </c>
      <c r="J40" s="8">
        <v>5.2119999999999997</v>
      </c>
      <c r="K40" s="8">
        <v>4.0410000000000004</v>
      </c>
      <c r="L40" s="8">
        <v>5.4240000000000004</v>
      </c>
      <c r="M40" s="8">
        <v>4.0069999999999997</v>
      </c>
      <c r="N40" s="8">
        <v>4.0979999999999999</v>
      </c>
      <c r="O40" s="8">
        <v>4.133</v>
      </c>
    </row>
    <row r="41" spans="1:15" x14ac:dyDescent="0.25">
      <c r="A41" s="5" t="s">
        <v>53</v>
      </c>
      <c r="B41" s="5">
        <v>43</v>
      </c>
      <c r="C41" s="5" t="s">
        <v>3</v>
      </c>
      <c r="D41" s="7">
        <v>305</v>
      </c>
      <c r="E41" s="8">
        <v>32.786000000000001</v>
      </c>
      <c r="F41" s="8">
        <v>6.0910000000000002</v>
      </c>
      <c r="G41" s="8">
        <v>5.2930000000000001</v>
      </c>
      <c r="H41" s="8">
        <v>6.4969999999999999</v>
      </c>
      <c r="I41" s="8">
        <v>4.6909999999999998</v>
      </c>
      <c r="J41" s="8">
        <v>6.1779999999999999</v>
      </c>
      <c r="K41" s="8">
        <v>3.5150000000000001</v>
      </c>
      <c r="L41" s="8">
        <v>5.4779999999999998</v>
      </c>
      <c r="M41" s="8">
        <v>3.9079999999999999</v>
      </c>
      <c r="N41" s="8">
        <v>4.1280000000000001</v>
      </c>
      <c r="O41" s="8">
        <v>4.1829999999999998</v>
      </c>
    </row>
    <row r="42" spans="1:15" x14ac:dyDescent="0.25">
      <c r="A42" s="5" t="s">
        <v>54</v>
      </c>
      <c r="B42" s="5">
        <v>84</v>
      </c>
      <c r="C42" s="5" t="s">
        <v>2</v>
      </c>
      <c r="D42" s="7">
        <v>246</v>
      </c>
      <c r="E42" s="8">
        <v>31.559000000000001</v>
      </c>
      <c r="F42" s="8">
        <v>4.8639999999999999</v>
      </c>
      <c r="G42" s="8">
        <v>4.859</v>
      </c>
      <c r="H42" s="8">
        <v>5.4880000000000004</v>
      </c>
      <c r="I42" s="8">
        <v>4.8150000000000004</v>
      </c>
      <c r="J42" s="8">
        <v>5.3789999999999996</v>
      </c>
      <c r="K42" s="8">
        <v>4.04</v>
      </c>
      <c r="L42" s="8">
        <v>6.468</v>
      </c>
      <c r="M42" s="8">
        <v>3.8119999999999998</v>
      </c>
      <c r="N42" s="8">
        <v>4.1420000000000003</v>
      </c>
      <c r="O42" s="8">
        <v>4.5010000000000003</v>
      </c>
    </row>
    <row r="43" spans="1:15" x14ac:dyDescent="0.25">
      <c r="A43" s="5" t="s">
        <v>55</v>
      </c>
      <c r="B43" s="5">
        <v>36</v>
      </c>
      <c r="C43" s="5" t="s">
        <v>2</v>
      </c>
      <c r="D43" s="7">
        <v>325</v>
      </c>
      <c r="E43" s="8">
        <v>32.798000000000002</v>
      </c>
      <c r="F43" s="8">
        <v>6.1029999999999998</v>
      </c>
      <c r="G43" s="8">
        <v>5.31</v>
      </c>
      <c r="H43" s="8">
        <v>4.6260000000000003</v>
      </c>
      <c r="I43" s="8">
        <v>6.2370000000000001</v>
      </c>
      <c r="J43" s="8">
        <v>7.2839999999999998</v>
      </c>
      <c r="K43" s="8">
        <v>3.8319999999999999</v>
      </c>
      <c r="L43" s="8">
        <v>6.1390000000000002</v>
      </c>
      <c r="M43" s="8">
        <v>3.7989999999999999</v>
      </c>
      <c r="N43" s="8">
        <v>4.375</v>
      </c>
      <c r="O43" s="8">
        <v>4.3920000000000003</v>
      </c>
    </row>
    <row r="44" spans="1:15" x14ac:dyDescent="0.25">
      <c r="A44" s="5" t="s">
        <v>56</v>
      </c>
      <c r="B44" s="5">
        <v>37</v>
      </c>
      <c r="C44" s="5" t="s">
        <v>2</v>
      </c>
      <c r="D44" s="7">
        <v>252</v>
      </c>
      <c r="E44" s="8">
        <v>31.660000000000004</v>
      </c>
      <c r="F44" s="8">
        <v>4.9649999999999999</v>
      </c>
      <c r="G44" s="8">
        <v>5.4660000000000002</v>
      </c>
      <c r="H44" s="8">
        <v>6.2069999999999999</v>
      </c>
      <c r="I44" s="8">
        <v>5.5670000000000002</v>
      </c>
      <c r="J44" s="8">
        <v>5.8659999999999997</v>
      </c>
      <c r="K44" s="8">
        <v>3.4860000000000002</v>
      </c>
      <c r="L44" s="8">
        <v>5.93</v>
      </c>
      <c r="M44" s="8">
        <v>4.0449999999999999</v>
      </c>
      <c r="N44" s="8">
        <v>3.9460000000000002</v>
      </c>
      <c r="O44" s="8">
        <v>4.2</v>
      </c>
    </row>
    <row r="45" spans="1:15" x14ac:dyDescent="0.25">
      <c r="A45" s="5" t="s">
        <v>57</v>
      </c>
      <c r="B45" s="5">
        <v>29</v>
      </c>
      <c r="C45" s="5" t="s">
        <v>3</v>
      </c>
      <c r="D45" s="7">
        <v>272</v>
      </c>
      <c r="E45" s="8">
        <v>32.040000000000006</v>
      </c>
      <c r="F45" s="8">
        <v>5.3449999999999998</v>
      </c>
      <c r="G45" s="8">
        <v>6.2039999999999997</v>
      </c>
      <c r="H45" s="8">
        <v>5.1689999999999996</v>
      </c>
      <c r="I45" s="8">
        <v>5</v>
      </c>
      <c r="J45" s="8">
        <v>5.851</v>
      </c>
      <c r="K45" s="8">
        <v>3.137</v>
      </c>
      <c r="L45" s="8">
        <v>6.3639999999999999</v>
      </c>
      <c r="M45" s="8">
        <v>3.7469999999999999</v>
      </c>
      <c r="N45" s="8">
        <v>4.0759999999999996</v>
      </c>
      <c r="O45" s="8">
        <v>4.6070000000000002</v>
      </c>
    </row>
    <row r="46" spans="1:15" x14ac:dyDescent="0.25">
      <c r="A46" s="5" t="s">
        <v>58</v>
      </c>
      <c r="B46" s="5">
        <v>64</v>
      </c>
      <c r="C46" s="5" t="s">
        <v>2</v>
      </c>
      <c r="D46" s="7">
        <v>315</v>
      </c>
      <c r="E46" s="8">
        <v>32.807000000000002</v>
      </c>
      <c r="F46" s="8">
        <v>6.1120000000000001</v>
      </c>
      <c r="G46" s="8">
        <v>6.0869999999999997</v>
      </c>
      <c r="H46" s="8">
        <v>6.6950000000000003</v>
      </c>
      <c r="I46" s="8">
        <v>5.61</v>
      </c>
      <c r="J46" s="8">
        <v>5.2880000000000003</v>
      </c>
      <c r="K46" s="8">
        <v>4.0540000000000003</v>
      </c>
      <c r="L46" s="8">
        <v>6.0129999999999999</v>
      </c>
      <c r="M46" s="8">
        <v>4.3550000000000004</v>
      </c>
      <c r="N46" s="8">
        <v>4.1029999999999998</v>
      </c>
      <c r="O46" s="8">
        <v>4.2679999999999998</v>
      </c>
    </row>
    <row r="47" spans="1:15" x14ac:dyDescent="0.25">
      <c r="A47" s="5" t="s">
        <v>59</v>
      </c>
      <c r="B47" s="5">
        <v>22</v>
      </c>
      <c r="C47" s="5" t="s">
        <v>2</v>
      </c>
      <c r="D47" s="7">
        <v>206</v>
      </c>
      <c r="E47" s="8">
        <v>31.151000000000003</v>
      </c>
      <c r="F47" s="8">
        <v>4.4560000000000004</v>
      </c>
      <c r="G47" s="8">
        <v>4.5330000000000004</v>
      </c>
      <c r="H47" s="8">
        <v>6.8840000000000003</v>
      </c>
      <c r="I47" s="8">
        <v>6.3620000000000001</v>
      </c>
      <c r="J47" s="8">
        <v>5.6210000000000004</v>
      </c>
      <c r="K47" s="8">
        <v>4.7690000000000001</v>
      </c>
      <c r="L47" s="8">
        <v>5.8570000000000002</v>
      </c>
      <c r="M47" s="8">
        <v>4.3109999999999999</v>
      </c>
      <c r="N47" s="8">
        <v>3.944</v>
      </c>
      <c r="O47" s="8">
        <v>4.3920000000000003</v>
      </c>
    </row>
    <row r="48" spans="1:15" x14ac:dyDescent="0.25">
      <c r="A48" s="5" t="s">
        <v>60</v>
      </c>
      <c r="B48" s="5">
        <v>31</v>
      </c>
      <c r="C48" s="5" t="s">
        <v>3</v>
      </c>
      <c r="D48" s="7">
        <v>255</v>
      </c>
      <c r="E48" s="8">
        <v>31.849000000000004</v>
      </c>
      <c r="F48" s="8">
        <v>5.1539999999999999</v>
      </c>
      <c r="G48" s="8">
        <v>3.4049999999999998</v>
      </c>
      <c r="H48" s="8">
        <v>5.7350000000000003</v>
      </c>
      <c r="I48" s="8">
        <v>5.5890000000000004</v>
      </c>
      <c r="J48" s="8">
        <v>5.7859999999999996</v>
      </c>
      <c r="K48" s="8">
        <v>4.7290000000000001</v>
      </c>
      <c r="L48" s="8">
        <v>5.15</v>
      </c>
      <c r="M48" s="8">
        <v>3.5750000000000002</v>
      </c>
      <c r="N48" s="8">
        <v>4.218</v>
      </c>
      <c r="O48" s="8">
        <v>4.57</v>
      </c>
    </row>
    <row r="49" spans="1:15" x14ac:dyDescent="0.25">
      <c r="A49" s="5" t="s">
        <v>61</v>
      </c>
      <c r="B49" s="5">
        <v>81</v>
      </c>
      <c r="C49" s="5" t="s">
        <v>3</v>
      </c>
      <c r="D49" s="7">
        <v>208</v>
      </c>
      <c r="E49" s="8">
        <v>31.024000000000004</v>
      </c>
      <c r="F49" s="8">
        <v>4.3289999999999997</v>
      </c>
      <c r="G49" s="8">
        <v>5.5430000000000001</v>
      </c>
      <c r="H49" s="8">
        <v>5.97</v>
      </c>
      <c r="I49" s="8">
        <v>7.2910000000000004</v>
      </c>
      <c r="J49" s="8">
        <v>6.9820000000000002</v>
      </c>
      <c r="K49" s="8">
        <v>4.0179999999999998</v>
      </c>
      <c r="L49" s="8">
        <v>6.1459999999999999</v>
      </c>
      <c r="M49" s="8">
        <v>4.7240000000000002</v>
      </c>
      <c r="N49" s="8">
        <v>3.9020000000000001</v>
      </c>
      <c r="O49" s="8">
        <v>4.2839999999999998</v>
      </c>
    </row>
    <row r="50" spans="1:15" x14ac:dyDescent="0.25">
      <c r="A50" s="5" t="s">
        <v>62</v>
      </c>
      <c r="B50" s="5">
        <v>55</v>
      </c>
      <c r="C50" s="5" t="s">
        <v>2</v>
      </c>
      <c r="D50" s="7">
        <v>251</v>
      </c>
      <c r="E50" s="8">
        <v>31.509000000000004</v>
      </c>
      <c r="F50" s="8">
        <v>4.8140000000000001</v>
      </c>
      <c r="G50" s="8">
        <v>6.2720000000000002</v>
      </c>
      <c r="H50" s="8">
        <v>5.7779999999999996</v>
      </c>
      <c r="I50" s="8">
        <v>6.6929999999999996</v>
      </c>
      <c r="J50" s="8">
        <v>5.3239999999999998</v>
      </c>
      <c r="K50" s="8">
        <v>4.2649999999999997</v>
      </c>
      <c r="L50" s="8">
        <v>5.8259999999999996</v>
      </c>
      <c r="M50" s="8">
        <v>4.0510000000000002</v>
      </c>
      <c r="N50" s="8">
        <v>4.6479999999999997</v>
      </c>
      <c r="O50" s="8">
        <v>4.5529999999999999</v>
      </c>
    </row>
    <row r="51" spans="1:15" x14ac:dyDescent="0.25">
      <c r="A51" s="5" t="s">
        <v>63</v>
      </c>
      <c r="B51" s="5">
        <v>54</v>
      </c>
      <c r="C51" s="5" t="s">
        <v>2</v>
      </c>
      <c r="D51" s="7">
        <v>340</v>
      </c>
      <c r="E51" s="8">
        <v>33.121000000000002</v>
      </c>
      <c r="F51" s="8">
        <v>6.4260000000000002</v>
      </c>
      <c r="G51" s="8">
        <v>2.7109999999999999</v>
      </c>
      <c r="H51" s="8">
        <v>6.069</v>
      </c>
      <c r="I51" s="8">
        <v>7.8609999999999998</v>
      </c>
      <c r="J51" s="8">
        <v>5.3410000000000002</v>
      </c>
      <c r="K51" s="8">
        <v>3.9249999999999998</v>
      </c>
      <c r="L51" s="8">
        <v>6.0750000000000002</v>
      </c>
      <c r="M51" s="8">
        <v>4.3940000000000001</v>
      </c>
      <c r="N51" s="8">
        <v>4.4720000000000004</v>
      </c>
      <c r="O51" s="8">
        <v>4.3010000000000002</v>
      </c>
    </row>
    <row r="52" spans="1:15" x14ac:dyDescent="0.25">
      <c r="A52" s="5" t="s">
        <v>64</v>
      </c>
      <c r="B52" s="5">
        <v>28</v>
      </c>
      <c r="C52" s="5" t="s">
        <v>2</v>
      </c>
      <c r="D52" s="7">
        <v>177</v>
      </c>
      <c r="E52" s="8">
        <v>30.713000000000001</v>
      </c>
      <c r="F52" s="8">
        <v>4.0179999999999998</v>
      </c>
      <c r="G52" s="8">
        <v>6.0510000000000002</v>
      </c>
      <c r="H52" s="8">
        <v>6.3170000000000002</v>
      </c>
      <c r="I52" s="8">
        <v>6.2510000000000003</v>
      </c>
      <c r="J52" s="8">
        <v>6.351</v>
      </c>
      <c r="K52" s="8">
        <v>3.4889999999999999</v>
      </c>
      <c r="L52" s="8">
        <v>7.327</v>
      </c>
      <c r="M52" s="8">
        <v>4.2699999999999996</v>
      </c>
      <c r="N52" s="8">
        <v>4.2779999999999996</v>
      </c>
      <c r="O52" s="8">
        <v>4.3129999999999997</v>
      </c>
    </row>
    <row r="53" spans="1:15" x14ac:dyDescent="0.25">
      <c r="A53" s="5" t="s">
        <v>65</v>
      </c>
      <c r="B53" s="5">
        <v>20</v>
      </c>
      <c r="C53" s="5" t="s">
        <v>2</v>
      </c>
      <c r="D53" s="7">
        <v>252</v>
      </c>
      <c r="E53" s="8">
        <v>31.637000000000004</v>
      </c>
      <c r="F53" s="8">
        <v>4.9420000000000002</v>
      </c>
      <c r="G53" s="8">
        <v>6.1429999999999998</v>
      </c>
      <c r="H53" s="8">
        <v>5.0279999999999996</v>
      </c>
      <c r="I53" s="8">
        <v>5.6929999999999996</v>
      </c>
      <c r="J53" s="8">
        <v>6.4359999999999999</v>
      </c>
      <c r="K53" s="8">
        <v>3.2210000000000001</v>
      </c>
      <c r="L53" s="8">
        <v>5.5030000000000001</v>
      </c>
      <c r="M53" s="8">
        <v>3.9060000000000001</v>
      </c>
      <c r="N53" s="8">
        <v>4.319</v>
      </c>
      <c r="O53" s="8">
        <v>4.1529999999999996</v>
      </c>
    </row>
    <row r="54" spans="1:15" x14ac:dyDescent="0.25">
      <c r="A54" s="5" t="s">
        <v>66</v>
      </c>
      <c r="B54" s="5">
        <v>50</v>
      </c>
      <c r="C54" s="5" t="s">
        <v>3</v>
      </c>
      <c r="D54" s="7">
        <v>277</v>
      </c>
      <c r="E54" s="8">
        <v>32.167000000000002</v>
      </c>
      <c r="F54" s="8">
        <v>5.4720000000000004</v>
      </c>
      <c r="G54" s="8">
        <v>5.2949999999999999</v>
      </c>
      <c r="H54" s="8">
        <v>6.63</v>
      </c>
      <c r="I54" s="8">
        <v>6.4</v>
      </c>
      <c r="J54" s="8">
        <v>5.5229999999999997</v>
      </c>
      <c r="K54" s="8">
        <v>4.3780000000000001</v>
      </c>
      <c r="L54" s="8">
        <v>6.5359999999999996</v>
      </c>
      <c r="M54" s="8">
        <v>4.3789999999999996</v>
      </c>
      <c r="N54" s="8">
        <v>4.6669999999999998</v>
      </c>
      <c r="O54" s="8">
        <v>4.4820000000000002</v>
      </c>
    </row>
    <row r="55" spans="1:15" x14ac:dyDescent="0.25">
      <c r="A55" s="5" t="s">
        <v>67</v>
      </c>
      <c r="B55" s="5">
        <v>67</v>
      </c>
      <c r="C55" s="5" t="s">
        <v>2</v>
      </c>
      <c r="D55" s="7">
        <v>188</v>
      </c>
      <c r="E55" s="8">
        <v>30.719000000000001</v>
      </c>
      <c r="F55" s="8">
        <v>4.024</v>
      </c>
      <c r="G55" s="8">
        <v>6.0960000000000001</v>
      </c>
      <c r="H55" s="8">
        <v>5.8860000000000001</v>
      </c>
      <c r="I55" s="8">
        <v>5.3979999999999997</v>
      </c>
      <c r="J55" s="8">
        <v>5.25</v>
      </c>
      <c r="K55" s="8">
        <v>4.67</v>
      </c>
      <c r="L55" s="8">
        <v>6.28</v>
      </c>
      <c r="M55" s="8">
        <v>4.6420000000000003</v>
      </c>
      <c r="N55" s="8">
        <v>4.4119999999999999</v>
      </c>
      <c r="O55" s="8">
        <v>4.7169999999999996</v>
      </c>
    </row>
    <row r="56" spans="1:15" x14ac:dyDescent="0.25">
      <c r="A56" s="5" t="s">
        <v>68</v>
      </c>
      <c r="B56" s="5">
        <v>27</v>
      </c>
      <c r="C56" s="5" t="s">
        <v>3</v>
      </c>
      <c r="D56" s="7">
        <v>303</v>
      </c>
      <c r="E56" s="8">
        <v>32.454000000000008</v>
      </c>
      <c r="F56" s="8">
        <v>5.7590000000000003</v>
      </c>
      <c r="G56" s="8">
        <v>6.0229999999999997</v>
      </c>
      <c r="H56" s="8">
        <v>4.6109999999999998</v>
      </c>
      <c r="I56" s="8">
        <v>5.66</v>
      </c>
      <c r="J56" s="8">
        <v>5.6760000000000002</v>
      </c>
      <c r="K56" s="8">
        <v>3.298</v>
      </c>
      <c r="L56" s="8">
        <v>5.4530000000000003</v>
      </c>
      <c r="M56" s="8">
        <v>4.3819999999999997</v>
      </c>
      <c r="N56" s="8">
        <v>4.3490000000000002</v>
      </c>
      <c r="O56" s="8">
        <v>4.3129999999999997</v>
      </c>
    </row>
    <row r="57" spans="1:15" x14ac:dyDescent="0.25">
      <c r="A57" s="5" t="s">
        <v>69</v>
      </c>
      <c r="B57" s="5">
        <v>22</v>
      </c>
      <c r="C57" s="5" t="s">
        <v>2</v>
      </c>
      <c r="D57" s="7">
        <v>171</v>
      </c>
      <c r="E57" s="8">
        <v>30.176000000000002</v>
      </c>
      <c r="F57" s="8">
        <v>3.4809999999999999</v>
      </c>
      <c r="G57" s="8">
        <v>4.7539999999999996</v>
      </c>
      <c r="H57" s="8">
        <v>4.9349999999999996</v>
      </c>
      <c r="I57" s="8">
        <v>5.9939999999999998</v>
      </c>
      <c r="J57" s="8">
        <v>6.1029999999999998</v>
      </c>
      <c r="K57" s="8">
        <v>3.8610000000000002</v>
      </c>
      <c r="L57" s="8">
        <v>6.4829999999999997</v>
      </c>
      <c r="M57" s="8">
        <v>3.95</v>
      </c>
      <c r="N57" s="8">
        <v>3.968</v>
      </c>
      <c r="O57" s="8">
        <v>4.5220000000000002</v>
      </c>
    </row>
    <row r="58" spans="1:15" x14ac:dyDescent="0.25">
      <c r="A58" s="5" t="s">
        <v>70</v>
      </c>
      <c r="B58" s="5">
        <v>40</v>
      </c>
      <c r="C58" s="5" t="s">
        <v>3</v>
      </c>
      <c r="D58" s="7">
        <v>302</v>
      </c>
      <c r="E58" s="8">
        <v>32.395000000000003</v>
      </c>
      <c r="F58" s="8">
        <v>5.7</v>
      </c>
      <c r="G58" s="8">
        <v>6.532</v>
      </c>
      <c r="H58" s="8">
        <v>6.0609999999999999</v>
      </c>
      <c r="I58" s="8">
        <v>6.2329999999999997</v>
      </c>
      <c r="J58" s="8">
        <v>6.9560000000000004</v>
      </c>
      <c r="K58" s="8">
        <v>4.2439999999999998</v>
      </c>
      <c r="L58" s="8">
        <v>6.6449999999999996</v>
      </c>
      <c r="M58" s="8">
        <v>4.0579999999999998</v>
      </c>
      <c r="N58" s="8">
        <v>4.1870000000000003</v>
      </c>
      <c r="O58" s="8">
        <v>4.5519999999999996</v>
      </c>
    </row>
    <row r="59" spans="1:15" x14ac:dyDescent="0.25">
      <c r="A59" s="5" t="s">
        <v>71</v>
      </c>
      <c r="B59" s="5">
        <v>27</v>
      </c>
      <c r="C59" s="5" t="s">
        <v>3</v>
      </c>
      <c r="D59" s="7">
        <v>299</v>
      </c>
      <c r="E59" s="8">
        <v>32.621000000000002</v>
      </c>
      <c r="F59" s="8">
        <v>5.9260000000000002</v>
      </c>
      <c r="G59" s="8">
        <v>6.51</v>
      </c>
      <c r="H59" s="8">
        <v>4.6820000000000004</v>
      </c>
      <c r="I59" s="8">
        <v>7.4119999999999999</v>
      </c>
      <c r="J59" s="8">
        <v>7.2439999999999998</v>
      </c>
      <c r="K59" s="8">
        <v>3.6230000000000002</v>
      </c>
      <c r="L59" s="8">
        <v>6.0979999999999999</v>
      </c>
      <c r="M59" s="8">
        <v>5.056</v>
      </c>
      <c r="N59" s="8">
        <v>4.2919999999999998</v>
      </c>
      <c r="O59" s="8">
        <v>4.3129999999999997</v>
      </c>
    </row>
    <row r="60" spans="1:15" x14ac:dyDescent="0.25">
      <c r="A60" s="5" t="s">
        <v>72</v>
      </c>
      <c r="B60" s="5">
        <v>61</v>
      </c>
      <c r="C60" s="5" t="s">
        <v>3</v>
      </c>
      <c r="D60" s="7">
        <v>203</v>
      </c>
      <c r="E60" s="8">
        <v>30.925000000000004</v>
      </c>
      <c r="F60" s="8">
        <v>4.2300000000000004</v>
      </c>
      <c r="G60" s="8">
        <v>5.8490000000000002</v>
      </c>
      <c r="H60" s="8">
        <v>4.9409999999999998</v>
      </c>
      <c r="I60" s="8">
        <v>4.8600000000000003</v>
      </c>
      <c r="J60" s="8">
        <v>6.0140000000000002</v>
      </c>
      <c r="K60" s="8">
        <v>4.2539999999999996</v>
      </c>
      <c r="L60" s="8">
        <v>6.2549999999999999</v>
      </c>
      <c r="M60" s="8">
        <v>4.5529999999999999</v>
      </c>
      <c r="N60" s="8">
        <v>4.298</v>
      </c>
      <c r="O60" s="8">
        <v>4.1849999999999996</v>
      </c>
    </row>
    <row r="61" spans="1:15" x14ac:dyDescent="0.25">
      <c r="A61" s="5" t="s">
        <v>73</v>
      </c>
      <c r="B61" s="5">
        <v>22</v>
      </c>
      <c r="C61" s="5" t="s">
        <v>2</v>
      </c>
      <c r="D61" s="7">
        <v>256</v>
      </c>
      <c r="E61" s="8">
        <v>31.710000000000004</v>
      </c>
      <c r="F61" s="8">
        <v>5.0149999999999997</v>
      </c>
      <c r="G61" s="8">
        <v>6.1459999999999999</v>
      </c>
      <c r="H61" s="8">
        <v>4.923</v>
      </c>
      <c r="I61" s="8">
        <v>6.6180000000000003</v>
      </c>
      <c r="J61" s="8">
        <v>5.4630000000000001</v>
      </c>
      <c r="K61" s="8">
        <v>4.3600000000000003</v>
      </c>
      <c r="L61" s="8">
        <v>5.3460000000000001</v>
      </c>
      <c r="M61" s="8">
        <v>4.1829999999999998</v>
      </c>
      <c r="N61" s="8">
        <v>4.5979999999999999</v>
      </c>
      <c r="O61" s="8">
        <v>4.1870000000000003</v>
      </c>
    </row>
    <row r="62" spans="1:15" x14ac:dyDescent="0.25">
      <c r="A62" s="5" t="s">
        <v>74</v>
      </c>
      <c r="B62" s="5">
        <v>30</v>
      </c>
      <c r="C62" s="5" t="s">
        <v>2</v>
      </c>
      <c r="D62" s="7">
        <v>326</v>
      </c>
      <c r="E62" s="8">
        <v>32.789000000000001</v>
      </c>
      <c r="F62" s="8">
        <v>6.0940000000000003</v>
      </c>
      <c r="G62" s="8">
        <v>5.6070000000000002</v>
      </c>
      <c r="H62" s="8">
        <v>7.0529999999999999</v>
      </c>
      <c r="I62" s="8">
        <v>7.1749999999999998</v>
      </c>
      <c r="J62" s="8">
        <v>6.0739999999999998</v>
      </c>
      <c r="K62" s="8">
        <v>4.2519999999999998</v>
      </c>
      <c r="L62" s="8">
        <v>6.5490000000000004</v>
      </c>
      <c r="M62" s="8">
        <v>3.6379999999999999</v>
      </c>
      <c r="N62" s="8">
        <v>4.0810000000000004</v>
      </c>
      <c r="O62" s="8">
        <v>4.3150000000000004</v>
      </c>
    </row>
    <row r="63" spans="1:15" x14ac:dyDescent="0.25">
      <c r="A63" s="5" t="s">
        <v>75</v>
      </c>
      <c r="B63" s="5">
        <v>57</v>
      </c>
      <c r="C63" s="5" t="s">
        <v>3</v>
      </c>
      <c r="D63" s="7">
        <v>261</v>
      </c>
      <c r="E63" s="8">
        <v>31.919000000000004</v>
      </c>
      <c r="F63" s="8">
        <v>5.2240000000000002</v>
      </c>
      <c r="G63" s="8">
        <v>4.8710000000000004</v>
      </c>
      <c r="H63" s="8">
        <v>6.1479999999999997</v>
      </c>
      <c r="I63" s="8">
        <v>6.1639999999999997</v>
      </c>
      <c r="J63" s="8">
        <v>6.6349999999999998</v>
      </c>
      <c r="K63" s="8">
        <v>4.6509999999999998</v>
      </c>
      <c r="L63" s="8">
        <v>5.8570000000000002</v>
      </c>
      <c r="M63" s="8">
        <v>4.524</v>
      </c>
      <c r="N63" s="8">
        <v>4.3959999999999999</v>
      </c>
      <c r="O63" s="8">
        <v>4.3460000000000001</v>
      </c>
    </row>
    <row r="64" spans="1:15" x14ac:dyDescent="0.25">
      <c r="A64" s="5" t="s">
        <v>76</v>
      </c>
      <c r="B64" s="5">
        <v>24</v>
      </c>
      <c r="C64" s="5" t="s">
        <v>2</v>
      </c>
      <c r="D64" s="7">
        <v>170</v>
      </c>
      <c r="E64" s="8">
        <v>30.337000000000003</v>
      </c>
      <c r="F64" s="8">
        <v>3.6419999999999999</v>
      </c>
      <c r="G64" s="8">
        <v>5.69</v>
      </c>
      <c r="H64" s="8">
        <v>6.5389999999999997</v>
      </c>
      <c r="I64" s="8">
        <v>6.9610000000000003</v>
      </c>
      <c r="J64" s="8">
        <v>5.1849999999999996</v>
      </c>
      <c r="K64" s="8">
        <v>4.7569999999999997</v>
      </c>
      <c r="L64" s="8">
        <v>4.694</v>
      </c>
      <c r="M64" s="8">
        <v>3.8980000000000001</v>
      </c>
      <c r="N64" s="8">
        <v>3.9940000000000002</v>
      </c>
      <c r="O64" s="8">
        <v>4.3769999999999998</v>
      </c>
    </row>
    <row r="65" spans="1:15" x14ac:dyDescent="0.25">
      <c r="A65" s="5" t="s">
        <v>77</v>
      </c>
      <c r="B65" s="5">
        <v>82</v>
      </c>
      <c r="C65" s="5" t="s">
        <v>2</v>
      </c>
      <c r="D65" s="7">
        <v>274</v>
      </c>
      <c r="E65" s="8">
        <v>32.236000000000004</v>
      </c>
      <c r="F65" s="8">
        <v>5.5410000000000004</v>
      </c>
      <c r="G65" s="8">
        <v>5.9580000000000002</v>
      </c>
      <c r="H65" s="8">
        <v>5.3010000000000002</v>
      </c>
      <c r="I65" s="8">
        <v>5.3129999999999997</v>
      </c>
      <c r="J65" s="8">
        <v>5.4450000000000003</v>
      </c>
      <c r="K65" s="8">
        <v>4.0759999999999996</v>
      </c>
      <c r="L65" s="8">
        <v>6.28</v>
      </c>
      <c r="M65" s="8">
        <v>4.5590000000000002</v>
      </c>
      <c r="N65" s="8">
        <v>4.1449999999999996</v>
      </c>
      <c r="O65" s="8">
        <v>4.625</v>
      </c>
    </row>
    <row r="66" spans="1:15" x14ac:dyDescent="0.25">
      <c r="A66" s="5" t="s">
        <v>78</v>
      </c>
      <c r="B66" s="5">
        <v>80</v>
      </c>
      <c r="C66" s="5" t="s">
        <v>3</v>
      </c>
      <c r="D66" s="7">
        <v>288</v>
      </c>
      <c r="E66" s="8">
        <v>32.478000000000002</v>
      </c>
      <c r="F66" s="8">
        <v>5.7830000000000004</v>
      </c>
      <c r="G66" s="8">
        <v>5.1550000000000002</v>
      </c>
      <c r="H66" s="8">
        <v>5.968</v>
      </c>
      <c r="I66" s="8">
        <v>6.984</v>
      </c>
      <c r="J66" s="8">
        <v>6.7770000000000001</v>
      </c>
      <c r="K66" s="8">
        <v>4.7869999999999999</v>
      </c>
      <c r="L66" s="8">
        <v>6.48</v>
      </c>
      <c r="M66" s="8">
        <v>4.2380000000000004</v>
      </c>
      <c r="N66" s="8">
        <v>4.8049999999999997</v>
      </c>
      <c r="O66" s="8">
        <v>3.7810000000000001</v>
      </c>
    </row>
    <row r="67" spans="1:15" x14ac:dyDescent="0.25">
      <c r="A67" s="5" t="s">
        <v>79</v>
      </c>
      <c r="B67" s="5">
        <v>34</v>
      </c>
      <c r="C67" s="5" t="s">
        <v>3</v>
      </c>
      <c r="D67" s="7">
        <v>293</v>
      </c>
      <c r="E67" s="8">
        <v>32.259</v>
      </c>
      <c r="F67" s="8">
        <v>5.5640000000000001</v>
      </c>
      <c r="G67" s="8">
        <v>5.6680000000000001</v>
      </c>
      <c r="H67" s="8">
        <v>6.0270000000000001</v>
      </c>
      <c r="I67" s="8">
        <v>5.476</v>
      </c>
      <c r="J67" s="8">
        <v>5.3780000000000001</v>
      </c>
      <c r="K67" s="8">
        <v>3.9630000000000001</v>
      </c>
      <c r="L67" s="8">
        <v>6.8470000000000004</v>
      </c>
      <c r="M67" s="8">
        <v>3.4220000000000002</v>
      </c>
      <c r="N67" s="8">
        <v>4.0949999999999998</v>
      </c>
      <c r="O67" s="8">
        <v>4.3369999999999997</v>
      </c>
    </row>
    <row r="68" spans="1:15" x14ac:dyDescent="0.25">
      <c r="A68" s="5" t="s">
        <v>80</v>
      </c>
      <c r="B68" s="5">
        <v>26</v>
      </c>
      <c r="C68" s="5" t="s">
        <v>2</v>
      </c>
      <c r="D68" s="7">
        <v>320</v>
      </c>
      <c r="E68" s="8">
        <v>32.628</v>
      </c>
      <c r="F68" s="8">
        <v>5.9329999999999998</v>
      </c>
      <c r="G68" s="8">
        <v>4.8410000000000002</v>
      </c>
      <c r="H68" s="8">
        <v>6.0590000000000002</v>
      </c>
      <c r="I68" s="8">
        <v>6.8769999999999998</v>
      </c>
      <c r="J68" s="8">
        <v>6.33</v>
      </c>
      <c r="K68" s="8">
        <v>4.2460000000000004</v>
      </c>
      <c r="L68" s="8">
        <v>5.12</v>
      </c>
      <c r="M68" s="8">
        <v>4.4960000000000004</v>
      </c>
      <c r="N68" s="8">
        <v>4.09</v>
      </c>
      <c r="O68" s="8">
        <v>4.3250000000000002</v>
      </c>
    </row>
    <row r="69" spans="1:15" x14ac:dyDescent="0.25">
      <c r="A69" s="5" t="s">
        <v>81</v>
      </c>
      <c r="B69" s="5">
        <v>32</v>
      </c>
      <c r="C69" s="5" t="s">
        <v>3</v>
      </c>
      <c r="D69" s="7">
        <v>306</v>
      </c>
      <c r="E69" s="8">
        <v>32.618000000000002</v>
      </c>
      <c r="F69" s="8">
        <v>5.923</v>
      </c>
      <c r="G69" s="8">
        <v>5.944</v>
      </c>
      <c r="H69" s="8">
        <v>4.8869999999999996</v>
      </c>
      <c r="I69" s="8">
        <v>4.4569999999999999</v>
      </c>
      <c r="J69" s="8">
        <v>4.8620000000000001</v>
      </c>
      <c r="K69" s="8">
        <v>4.6980000000000004</v>
      </c>
      <c r="L69" s="8">
        <v>4.9909999999999997</v>
      </c>
      <c r="M69" s="8">
        <v>4.4400000000000004</v>
      </c>
      <c r="N69" s="8">
        <v>4.1989999999999998</v>
      </c>
      <c r="O69" s="8">
        <v>4.3150000000000004</v>
      </c>
    </row>
    <row r="70" spans="1:15" x14ac:dyDescent="0.25">
      <c r="A70" s="5" t="s">
        <v>82</v>
      </c>
      <c r="B70" s="5">
        <v>41</v>
      </c>
      <c r="C70" s="5" t="s">
        <v>2</v>
      </c>
      <c r="D70" s="7">
        <v>369</v>
      </c>
      <c r="E70" s="8">
        <v>33.495000000000005</v>
      </c>
      <c r="F70" s="8">
        <v>6.8</v>
      </c>
      <c r="G70" s="8">
        <v>4.78</v>
      </c>
      <c r="H70" s="8">
        <v>6.633</v>
      </c>
      <c r="I70" s="8">
        <v>5.0490000000000004</v>
      </c>
      <c r="J70" s="8">
        <v>6.306</v>
      </c>
      <c r="K70" s="8">
        <v>4.3090000000000002</v>
      </c>
      <c r="L70" s="8">
        <v>6.0419999999999998</v>
      </c>
      <c r="M70" s="8">
        <v>4.3840000000000003</v>
      </c>
      <c r="N70" s="8">
        <v>3.9049999999999998</v>
      </c>
      <c r="O70" s="8">
        <v>4.3730000000000002</v>
      </c>
    </row>
    <row r="71" spans="1:15" x14ac:dyDescent="0.25">
      <c r="A71" s="5" t="s">
        <v>83</v>
      </c>
      <c r="B71" s="5">
        <v>55</v>
      </c>
      <c r="C71" s="5" t="s">
        <v>2</v>
      </c>
      <c r="D71" s="7">
        <v>223</v>
      </c>
      <c r="E71" s="8">
        <v>31.145000000000003</v>
      </c>
      <c r="F71" s="8">
        <v>4.45</v>
      </c>
      <c r="G71" s="8">
        <v>6.0119999999999996</v>
      </c>
      <c r="H71" s="8">
        <v>6.9020000000000001</v>
      </c>
      <c r="I71" s="8">
        <v>7.9210000000000003</v>
      </c>
      <c r="J71" s="8">
        <v>5.3780000000000001</v>
      </c>
      <c r="K71" s="8">
        <v>3.589</v>
      </c>
      <c r="L71" s="8">
        <v>5.9169999999999998</v>
      </c>
      <c r="M71" s="8">
        <v>3.5760000000000001</v>
      </c>
      <c r="N71" s="8">
        <v>4.1120000000000001</v>
      </c>
      <c r="O71" s="8">
        <v>4.7</v>
      </c>
    </row>
    <row r="72" spans="1:15" x14ac:dyDescent="0.25">
      <c r="A72" s="5" t="s">
        <v>84</v>
      </c>
      <c r="B72" s="5">
        <v>52</v>
      </c>
      <c r="C72" s="5" t="s">
        <v>2</v>
      </c>
      <c r="D72" s="7">
        <v>169</v>
      </c>
      <c r="E72" s="8">
        <v>30.409000000000002</v>
      </c>
      <c r="F72" s="8">
        <v>3.714</v>
      </c>
      <c r="G72" s="8">
        <v>5.242</v>
      </c>
      <c r="H72" s="8">
        <v>5.8140000000000001</v>
      </c>
      <c r="I72" s="8">
        <v>6.2539999999999996</v>
      </c>
      <c r="J72" s="8">
        <v>6.8869999999999996</v>
      </c>
      <c r="K72" s="8">
        <v>4.2279999999999998</v>
      </c>
      <c r="L72" s="8">
        <v>6.3789999999999996</v>
      </c>
      <c r="M72" s="8">
        <v>3.7469999999999999</v>
      </c>
      <c r="N72" s="8">
        <v>4.3860000000000001</v>
      </c>
      <c r="O72" s="8">
        <v>4.1360000000000001</v>
      </c>
    </row>
    <row r="73" spans="1:15" x14ac:dyDescent="0.25">
      <c r="A73" s="5" t="s">
        <v>85</v>
      </c>
      <c r="B73" s="5">
        <v>66</v>
      </c>
      <c r="C73" s="5" t="s">
        <v>2</v>
      </c>
      <c r="D73" s="7">
        <v>334</v>
      </c>
      <c r="E73" s="8">
        <v>33.011000000000003</v>
      </c>
      <c r="F73" s="8">
        <v>6.3159999999999998</v>
      </c>
      <c r="G73" s="8">
        <v>6.1980000000000004</v>
      </c>
      <c r="H73" s="8">
        <v>4.8360000000000003</v>
      </c>
      <c r="I73" s="8">
        <v>5.7110000000000003</v>
      </c>
      <c r="J73" s="8">
        <v>5.577</v>
      </c>
      <c r="K73" s="8">
        <v>3.6789999999999998</v>
      </c>
      <c r="L73" s="8">
        <v>6.7140000000000004</v>
      </c>
      <c r="M73" s="8">
        <v>4.5709999999999997</v>
      </c>
      <c r="N73" s="8">
        <v>4.3140000000000001</v>
      </c>
      <c r="O73" s="8">
        <v>4.9290000000000003</v>
      </c>
    </row>
    <row r="74" spans="1:15" x14ac:dyDescent="0.25">
      <c r="A74" s="5" t="s">
        <v>86</v>
      </c>
      <c r="B74" s="5">
        <v>79</v>
      </c>
      <c r="C74" s="5" t="s">
        <v>3</v>
      </c>
      <c r="D74" s="7">
        <v>277</v>
      </c>
      <c r="E74" s="8">
        <v>31.867000000000004</v>
      </c>
      <c r="F74" s="8">
        <v>5.1719999999999997</v>
      </c>
      <c r="G74" s="8">
        <v>5.3090000000000002</v>
      </c>
      <c r="H74" s="8">
        <v>6.5149999999999997</v>
      </c>
      <c r="I74" s="8">
        <v>5.2729999999999997</v>
      </c>
      <c r="J74" s="8">
        <v>5.8120000000000003</v>
      </c>
      <c r="K74" s="8">
        <v>3.633</v>
      </c>
      <c r="L74" s="8">
        <v>6.5090000000000003</v>
      </c>
      <c r="M74" s="8">
        <v>4.4029999999999996</v>
      </c>
      <c r="N74" s="8">
        <v>4.8280000000000003</v>
      </c>
      <c r="O74" s="8">
        <v>4.2030000000000003</v>
      </c>
    </row>
    <row r="75" spans="1:15" x14ac:dyDescent="0.25">
      <c r="A75" s="5" t="s">
        <v>87</v>
      </c>
      <c r="B75" s="5">
        <v>77</v>
      </c>
      <c r="C75" s="5" t="s">
        <v>3</v>
      </c>
      <c r="D75" s="7">
        <v>209</v>
      </c>
      <c r="E75" s="8">
        <v>30.980000000000004</v>
      </c>
      <c r="F75" s="8">
        <v>4.2850000000000001</v>
      </c>
      <c r="G75" s="8">
        <v>4.258</v>
      </c>
      <c r="H75" s="8">
        <v>4.593</v>
      </c>
      <c r="I75" s="8">
        <v>6.1669999999999998</v>
      </c>
      <c r="J75" s="8">
        <v>7.28</v>
      </c>
      <c r="K75" s="8">
        <v>4.2300000000000004</v>
      </c>
      <c r="L75" s="8">
        <v>6.2960000000000003</v>
      </c>
      <c r="M75" s="8">
        <v>4.008</v>
      </c>
      <c r="N75" s="8">
        <v>4.2809999999999997</v>
      </c>
      <c r="O75" s="8">
        <v>4.3940000000000001</v>
      </c>
    </row>
    <row r="76" spans="1:15" x14ac:dyDescent="0.25">
      <c r="A76" s="5" t="s">
        <v>88</v>
      </c>
      <c r="B76" s="5">
        <v>67</v>
      </c>
      <c r="C76" s="5" t="s">
        <v>3</v>
      </c>
      <c r="D76" s="7">
        <v>363</v>
      </c>
      <c r="E76" s="8">
        <v>33.307000000000002</v>
      </c>
      <c r="F76" s="8">
        <v>6.6120000000000001</v>
      </c>
      <c r="G76" s="8">
        <v>6.1580000000000004</v>
      </c>
      <c r="H76" s="8">
        <v>5.3470000000000004</v>
      </c>
      <c r="I76" s="8">
        <v>4.6959999999999997</v>
      </c>
      <c r="J76" s="8">
        <v>5.5579999999999998</v>
      </c>
      <c r="K76" s="8">
        <v>2.9780000000000002</v>
      </c>
      <c r="L76" s="8">
        <v>6.8769999999999998</v>
      </c>
      <c r="M76" s="8">
        <v>4.0359999999999996</v>
      </c>
      <c r="N76" s="8">
        <v>4.3</v>
      </c>
      <c r="O76" s="8">
        <v>4.4619999999999997</v>
      </c>
    </row>
    <row r="77" spans="1:15" x14ac:dyDescent="0.25">
      <c r="A77" s="5" t="s">
        <v>89</v>
      </c>
      <c r="B77" s="5">
        <v>26</v>
      </c>
      <c r="C77" s="5" t="s">
        <v>3</v>
      </c>
      <c r="D77" s="7">
        <v>227</v>
      </c>
      <c r="E77" s="8">
        <v>31.688000000000002</v>
      </c>
      <c r="F77" s="8">
        <v>4.9930000000000003</v>
      </c>
      <c r="G77" s="8">
        <v>4.375</v>
      </c>
      <c r="H77" s="8">
        <v>6.4050000000000002</v>
      </c>
      <c r="I77" s="8">
        <v>5.5350000000000001</v>
      </c>
      <c r="J77" s="8">
        <v>5.1529999999999996</v>
      </c>
      <c r="K77" s="8">
        <v>4.0090000000000003</v>
      </c>
      <c r="L77" s="8">
        <v>5.6310000000000002</v>
      </c>
      <c r="M77" s="8">
        <v>4.1970000000000001</v>
      </c>
      <c r="N77" s="8">
        <v>4.4450000000000003</v>
      </c>
      <c r="O77" s="8">
        <v>4.5209999999999999</v>
      </c>
    </row>
    <row r="78" spans="1:15" x14ac:dyDescent="0.25">
      <c r="A78" s="5" t="s">
        <v>90</v>
      </c>
      <c r="B78" s="5">
        <v>51</v>
      </c>
      <c r="C78" s="5" t="s">
        <v>2</v>
      </c>
      <c r="D78" s="7">
        <v>343</v>
      </c>
      <c r="E78" s="8">
        <v>33.094000000000001</v>
      </c>
      <c r="F78" s="8">
        <v>6.399</v>
      </c>
      <c r="G78" s="8">
        <v>5.7119999999999997</v>
      </c>
      <c r="H78" s="8">
        <v>6.0140000000000002</v>
      </c>
      <c r="I78" s="8">
        <v>5.3259999999999996</v>
      </c>
      <c r="J78" s="8">
        <v>6.1239999999999997</v>
      </c>
      <c r="K78" s="8">
        <v>4.5629999999999997</v>
      </c>
      <c r="L78" s="8">
        <v>5.0810000000000004</v>
      </c>
      <c r="M78" s="8">
        <v>4.2699999999999996</v>
      </c>
      <c r="N78" s="8">
        <v>3.8559999999999999</v>
      </c>
      <c r="O78" s="8">
        <v>4.4429999999999996</v>
      </c>
    </row>
    <row r="79" spans="1:15" x14ac:dyDescent="0.25">
      <c r="A79" s="5" t="s">
        <v>91</v>
      </c>
      <c r="B79" s="5">
        <v>52</v>
      </c>
      <c r="C79" s="5" t="s">
        <v>2</v>
      </c>
      <c r="D79" s="7">
        <v>305</v>
      </c>
      <c r="E79" s="8">
        <v>32.572000000000003</v>
      </c>
      <c r="F79" s="8">
        <v>5.8769999999999998</v>
      </c>
      <c r="G79" s="8">
        <v>5.859</v>
      </c>
      <c r="H79" s="8">
        <v>7.2510000000000003</v>
      </c>
      <c r="I79" s="8">
        <v>6.3079999999999998</v>
      </c>
      <c r="J79" s="8">
        <v>6.109</v>
      </c>
      <c r="K79" s="8">
        <v>3.8650000000000002</v>
      </c>
      <c r="L79" s="8">
        <v>6.2990000000000004</v>
      </c>
      <c r="M79" s="8">
        <v>4</v>
      </c>
      <c r="N79" s="8">
        <v>4.5469999999999997</v>
      </c>
      <c r="O79" s="8">
        <v>4.9139999999999997</v>
      </c>
    </row>
    <row r="80" spans="1:15" x14ac:dyDescent="0.25">
      <c r="A80" s="5" t="s">
        <v>92</v>
      </c>
      <c r="B80" s="5">
        <v>21</v>
      </c>
      <c r="C80" s="5" t="s">
        <v>3</v>
      </c>
      <c r="D80" s="7">
        <v>365</v>
      </c>
      <c r="E80" s="8">
        <v>33.647000000000006</v>
      </c>
      <c r="F80" s="8">
        <v>6.952</v>
      </c>
      <c r="G80" s="8">
        <v>4.9619999999999997</v>
      </c>
      <c r="H80" s="8">
        <v>5.8529999999999998</v>
      </c>
      <c r="I80" s="8">
        <v>6.3230000000000004</v>
      </c>
      <c r="J80" s="8">
        <v>5.1040000000000001</v>
      </c>
      <c r="K80" s="8">
        <v>3.0659999999999998</v>
      </c>
      <c r="L80" s="8">
        <v>5.6619999999999999</v>
      </c>
      <c r="M80" s="8">
        <v>3.5510000000000002</v>
      </c>
      <c r="N80" s="8">
        <v>3.948</v>
      </c>
      <c r="O80" s="8">
        <v>4.3620000000000001</v>
      </c>
    </row>
    <row r="81" spans="1:15" x14ac:dyDescent="0.25">
      <c r="A81" s="5" t="s">
        <v>93</v>
      </c>
      <c r="B81" s="5">
        <v>57</v>
      </c>
      <c r="C81" s="5" t="s">
        <v>2</v>
      </c>
      <c r="D81" s="7">
        <v>309</v>
      </c>
      <c r="E81" s="8">
        <v>32.642000000000003</v>
      </c>
      <c r="F81" s="8">
        <v>5.9470000000000001</v>
      </c>
      <c r="G81" s="8">
        <v>4.6109999999999998</v>
      </c>
      <c r="H81" s="8">
        <v>6.8049999999999997</v>
      </c>
      <c r="I81" s="8">
        <v>6.2919999999999998</v>
      </c>
      <c r="J81" s="8">
        <v>5.7510000000000003</v>
      </c>
      <c r="K81" s="8">
        <v>3.9590000000000001</v>
      </c>
      <c r="L81" s="8">
        <v>5.8849999999999998</v>
      </c>
      <c r="M81" s="8">
        <v>3.968</v>
      </c>
      <c r="N81" s="8">
        <v>4.1829999999999998</v>
      </c>
      <c r="O81" s="8">
        <v>4.7539999999999996</v>
      </c>
    </row>
    <row r="82" spans="1:15" x14ac:dyDescent="0.25">
      <c r="A82" s="5" t="s">
        <v>94</v>
      </c>
      <c r="B82" s="5">
        <v>81</v>
      </c>
      <c r="C82" s="5" t="s">
        <v>2</v>
      </c>
      <c r="D82" s="7">
        <v>302</v>
      </c>
      <c r="E82" s="8">
        <v>32.841000000000001</v>
      </c>
      <c r="F82" s="8">
        <v>6.1459999999999999</v>
      </c>
      <c r="G82" s="8">
        <v>4.8250000000000002</v>
      </c>
      <c r="H82" s="8">
        <v>6.5229999999999997</v>
      </c>
      <c r="I82" s="8">
        <v>7.0880000000000001</v>
      </c>
      <c r="J82" s="8">
        <v>6.3680000000000003</v>
      </c>
      <c r="K82" s="8">
        <v>4.6680000000000001</v>
      </c>
      <c r="L82" s="8">
        <v>6.1479999999999997</v>
      </c>
      <c r="M82" s="8">
        <v>4.8019999999999996</v>
      </c>
      <c r="N82" s="8">
        <v>4.0659999999999998</v>
      </c>
      <c r="O82" s="8">
        <v>4.5229999999999997</v>
      </c>
    </row>
    <row r="83" spans="1:15" x14ac:dyDescent="0.25">
      <c r="A83" s="5" t="s">
        <v>95</v>
      </c>
      <c r="B83" s="5">
        <v>39</v>
      </c>
      <c r="C83" s="5" t="s">
        <v>2</v>
      </c>
      <c r="D83" s="7">
        <v>243</v>
      </c>
      <c r="E83" s="8">
        <v>31.571000000000002</v>
      </c>
      <c r="F83" s="8">
        <v>4.8760000000000003</v>
      </c>
      <c r="G83" s="8">
        <v>4.4539999999999997</v>
      </c>
      <c r="H83" s="8">
        <v>5</v>
      </c>
      <c r="I83" s="8">
        <v>6.3719999999999999</v>
      </c>
      <c r="J83" s="8">
        <v>6.3929999999999998</v>
      </c>
      <c r="K83" s="8">
        <v>4.3890000000000002</v>
      </c>
      <c r="L83" s="8">
        <v>6.0010000000000003</v>
      </c>
      <c r="M83" s="8">
        <v>3.8149999999999999</v>
      </c>
      <c r="N83" s="8">
        <v>4.282</v>
      </c>
      <c r="O83" s="8">
        <v>4.242</v>
      </c>
    </row>
    <row r="84" spans="1:15" x14ac:dyDescent="0.25">
      <c r="A84" s="5" t="s">
        <v>96</v>
      </c>
      <c r="B84" s="5">
        <v>77</v>
      </c>
      <c r="C84" s="5" t="s">
        <v>3</v>
      </c>
      <c r="D84" s="7">
        <v>250</v>
      </c>
      <c r="E84" s="8">
        <v>31.6</v>
      </c>
      <c r="F84" s="8">
        <v>4.9050000000000002</v>
      </c>
      <c r="G84" s="8">
        <v>5.0039999999999996</v>
      </c>
      <c r="H84" s="8">
        <v>5.3079999999999998</v>
      </c>
      <c r="I84" s="8">
        <v>6.1740000000000004</v>
      </c>
      <c r="J84" s="8">
        <v>6.1470000000000002</v>
      </c>
      <c r="K84" s="8">
        <v>4.2060000000000004</v>
      </c>
      <c r="L84" s="8">
        <v>5.84</v>
      </c>
      <c r="M84" s="8">
        <v>3.883</v>
      </c>
      <c r="N84" s="8">
        <v>4.2869999999999999</v>
      </c>
      <c r="O84" s="8">
        <v>4.0529999999999999</v>
      </c>
    </row>
    <row r="85" spans="1:15" x14ac:dyDescent="0.25">
      <c r="A85" s="5" t="s">
        <v>97</v>
      </c>
      <c r="B85" s="5">
        <v>81</v>
      </c>
      <c r="C85" s="5" t="s">
        <v>3</v>
      </c>
      <c r="D85" s="7">
        <v>392</v>
      </c>
      <c r="E85" s="8">
        <v>33.805999999999997</v>
      </c>
      <c r="F85" s="8">
        <v>7.1109999999999998</v>
      </c>
      <c r="G85" s="8">
        <v>4.6130000000000004</v>
      </c>
      <c r="H85" s="8">
        <v>5.9749999999999996</v>
      </c>
      <c r="I85" s="8">
        <v>5.7510000000000003</v>
      </c>
      <c r="J85" s="8">
        <v>6.1669999999999998</v>
      </c>
      <c r="K85" s="8">
        <v>3.4460000000000002</v>
      </c>
      <c r="L85" s="8">
        <v>5.3010000000000002</v>
      </c>
      <c r="M85" s="8">
        <v>3.5089999999999999</v>
      </c>
      <c r="N85" s="8">
        <v>4.1029999999999998</v>
      </c>
      <c r="O85" s="8">
        <v>4.5019999999999998</v>
      </c>
    </row>
    <row r="86" spans="1:15" x14ac:dyDescent="0.25">
      <c r="A86" s="5" t="s">
        <v>98</v>
      </c>
      <c r="B86" s="5">
        <v>28</v>
      </c>
      <c r="C86" s="5" t="s">
        <v>3</v>
      </c>
      <c r="D86" s="7">
        <v>256</v>
      </c>
      <c r="E86" s="8">
        <v>31.846000000000004</v>
      </c>
      <c r="F86" s="8">
        <v>5.1509999999999998</v>
      </c>
      <c r="G86" s="8">
        <v>3.5990000000000002</v>
      </c>
      <c r="H86" s="8">
        <v>5.5949999999999998</v>
      </c>
      <c r="I86" s="8">
        <v>7.15</v>
      </c>
      <c r="J86" s="8">
        <v>6.2919999999999998</v>
      </c>
      <c r="K86" s="8">
        <v>3.5339999999999998</v>
      </c>
      <c r="L86" s="8">
        <v>6.01</v>
      </c>
      <c r="M86" s="8">
        <v>4.1079999999999997</v>
      </c>
      <c r="N86" s="8">
        <v>4.7039999999999997</v>
      </c>
      <c r="O86" s="8">
        <v>4.4619999999999997</v>
      </c>
    </row>
    <row r="87" spans="1:15" x14ac:dyDescent="0.25">
      <c r="A87" s="5" t="s">
        <v>99</v>
      </c>
      <c r="B87" s="5">
        <v>31</v>
      </c>
      <c r="C87" s="5" t="s">
        <v>2</v>
      </c>
      <c r="D87" s="7">
        <v>284</v>
      </c>
      <c r="E87" s="8">
        <v>32.359000000000002</v>
      </c>
      <c r="F87" s="8">
        <v>5.6639999999999997</v>
      </c>
      <c r="G87" s="8">
        <v>6.032</v>
      </c>
      <c r="H87" s="8">
        <v>4.0730000000000004</v>
      </c>
      <c r="I87" s="8">
        <v>5.2770000000000001</v>
      </c>
      <c r="J87" s="8">
        <v>6.41</v>
      </c>
      <c r="K87" s="8">
        <v>3.9990000000000001</v>
      </c>
      <c r="L87" s="8">
        <v>5.367</v>
      </c>
      <c r="M87" s="8">
        <v>3.8769999999999998</v>
      </c>
      <c r="N87" s="8">
        <v>4.476</v>
      </c>
      <c r="O87" s="8">
        <v>4.2619999999999996</v>
      </c>
    </row>
    <row r="88" spans="1:15" x14ac:dyDescent="0.25">
      <c r="A88" s="5" t="s">
        <v>100</v>
      </c>
      <c r="B88" s="5">
        <v>77</v>
      </c>
      <c r="C88" s="5" t="s">
        <v>3</v>
      </c>
      <c r="D88" s="7">
        <v>100</v>
      </c>
      <c r="E88" s="8">
        <v>29.225000000000001</v>
      </c>
      <c r="F88" s="8">
        <v>3.863</v>
      </c>
      <c r="G88" s="8">
        <v>6.4850000000000003</v>
      </c>
      <c r="H88" s="8">
        <v>6.1970000000000001</v>
      </c>
      <c r="I88" s="8">
        <v>7.2320000000000002</v>
      </c>
      <c r="J88" s="8">
        <v>5.9329999999999998</v>
      </c>
      <c r="K88" s="8">
        <v>5.1980000000000004</v>
      </c>
      <c r="L88" s="8">
        <v>6.53</v>
      </c>
      <c r="M88" s="8">
        <v>4.22</v>
      </c>
      <c r="N88" s="8">
        <v>4.3339999999999996</v>
      </c>
      <c r="O88" s="8">
        <v>3.931</v>
      </c>
    </row>
    <row r="89" spans="1:15" x14ac:dyDescent="0.25">
      <c r="A89" s="5" t="s">
        <v>101</v>
      </c>
      <c r="B89" s="5">
        <v>47</v>
      </c>
      <c r="C89" s="5" t="s">
        <v>3</v>
      </c>
      <c r="D89" s="7">
        <v>325</v>
      </c>
      <c r="E89" s="8">
        <v>32.776000000000003</v>
      </c>
      <c r="F89" s="8">
        <v>6.0810000000000004</v>
      </c>
      <c r="G89" s="8">
        <v>4.734</v>
      </c>
      <c r="H89" s="8">
        <v>4.9370000000000003</v>
      </c>
      <c r="I89" s="8">
        <v>5.5949999999999998</v>
      </c>
      <c r="J89" s="8">
        <v>6.577</v>
      </c>
      <c r="K89" s="8">
        <v>3.488</v>
      </c>
      <c r="L89" s="8">
        <v>6.2320000000000002</v>
      </c>
      <c r="M89" s="8">
        <v>4.2160000000000002</v>
      </c>
      <c r="N89" s="8">
        <v>4.1989999999999998</v>
      </c>
      <c r="O89" s="8">
        <v>4.4619999999999997</v>
      </c>
    </row>
    <row r="90" spans="1:15" x14ac:dyDescent="0.25">
      <c r="A90" s="5" t="s">
        <v>102</v>
      </c>
      <c r="B90" s="5">
        <v>52</v>
      </c>
      <c r="C90" s="5" t="s">
        <v>3</v>
      </c>
      <c r="D90" s="7">
        <v>277</v>
      </c>
      <c r="E90" s="8">
        <v>32.066000000000003</v>
      </c>
      <c r="F90" s="8">
        <v>5.3710000000000004</v>
      </c>
      <c r="G90" s="8">
        <v>4.5279999999999996</v>
      </c>
      <c r="H90" s="8">
        <v>4.6109999999999998</v>
      </c>
      <c r="I90" s="8">
        <v>6.0529999999999999</v>
      </c>
      <c r="J90" s="8">
        <v>5.1189999999999998</v>
      </c>
      <c r="K90" s="8">
        <v>4.2149999999999999</v>
      </c>
      <c r="L90" s="8">
        <v>5.1189999999999998</v>
      </c>
      <c r="M90" s="8">
        <v>4.1180000000000003</v>
      </c>
      <c r="N90" s="8">
        <v>4.3250000000000002</v>
      </c>
      <c r="O90" s="8">
        <v>4.585</v>
      </c>
    </row>
    <row r="91" spans="1:15" x14ac:dyDescent="0.25">
      <c r="A91" s="5" t="s">
        <v>103</v>
      </c>
      <c r="B91" s="5">
        <v>54</v>
      </c>
      <c r="C91" s="5" t="s">
        <v>3</v>
      </c>
      <c r="D91" s="7">
        <v>303</v>
      </c>
      <c r="E91" s="8">
        <v>32.628</v>
      </c>
      <c r="F91" s="8">
        <v>5.9329999999999998</v>
      </c>
      <c r="G91" s="8">
        <v>4.5309999999999997</v>
      </c>
      <c r="H91" s="8">
        <v>6.6180000000000003</v>
      </c>
      <c r="I91" s="8">
        <v>6.3860000000000001</v>
      </c>
      <c r="J91" s="8">
        <v>5.7190000000000003</v>
      </c>
      <c r="K91" s="8">
        <v>4</v>
      </c>
      <c r="L91" s="8">
        <v>6.5860000000000003</v>
      </c>
      <c r="M91" s="8">
        <v>4.3639999999999999</v>
      </c>
      <c r="N91" s="8">
        <v>4.1900000000000004</v>
      </c>
      <c r="O91" s="8">
        <v>4.4139999999999997</v>
      </c>
    </row>
    <row r="92" spans="1:15" x14ac:dyDescent="0.25">
      <c r="A92" s="5" t="s">
        <v>104</v>
      </c>
      <c r="B92" s="5">
        <v>22</v>
      </c>
      <c r="C92" s="5" t="s">
        <v>3</v>
      </c>
      <c r="D92" s="7">
        <v>272</v>
      </c>
      <c r="E92" s="8">
        <v>31.950000000000003</v>
      </c>
      <c r="F92" s="8">
        <v>5.2549999999999999</v>
      </c>
      <c r="G92" s="8">
        <v>6.8360000000000003</v>
      </c>
      <c r="H92" s="8">
        <v>4.3</v>
      </c>
      <c r="I92" s="8">
        <v>5.4610000000000003</v>
      </c>
      <c r="J92" s="8">
        <v>5.4580000000000002</v>
      </c>
      <c r="K92" s="8">
        <v>2.992</v>
      </c>
      <c r="L92" s="8">
        <v>6.4779999999999998</v>
      </c>
      <c r="M92" s="8">
        <v>4.1509999999999998</v>
      </c>
      <c r="N92" s="8">
        <v>4.1900000000000004</v>
      </c>
      <c r="O92" s="8">
        <v>4.4509999999999996</v>
      </c>
    </row>
    <row r="93" spans="1:15" x14ac:dyDescent="0.25">
      <c r="A93" s="5" t="s">
        <v>105</v>
      </c>
      <c r="B93" s="5">
        <v>43</v>
      </c>
      <c r="C93" s="5" t="s">
        <v>3</v>
      </c>
      <c r="D93" s="7">
        <v>218</v>
      </c>
      <c r="E93" s="8">
        <v>31.110000000000003</v>
      </c>
      <c r="F93" s="8">
        <v>4.415</v>
      </c>
      <c r="G93" s="8">
        <v>6.0540000000000003</v>
      </c>
      <c r="H93" s="8">
        <v>4.9980000000000002</v>
      </c>
      <c r="I93" s="8">
        <v>4.9349999999999996</v>
      </c>
      <c r="J93" s="8">
        <v>5.7720000000000002</v>
      </c>
      <c r="K93" s="8">
        <v>5.1180000000000003</v>
      </c>
      <c r="L93" s="8">
        <v>5.3170000000000002</v>
      </c>
      <c r="M93" s="8">
        <v>4.2210000000000001</v>
      </c>
      <c r="N93" s="8">
        <v>4.2629999999999999</v>
      </c>
      <c r="O93" s="8">
        <v>4.234</v>
      </c>
    </row>
    <row r="94" spans="1:15" x14ac:dyDescent="0.25">
      <c r="A94" s="5" t="s">
        <v>106</v>
      </c>
      <c r="B94" s="5">
        <v>79</v>
      </c>
      <c r="C94" s="5" t="s">
        <v>2</v>
      </c>
      <c r="D94" s="7">
        <v>391</v>
      </c>
      <c r="E94" s="8">
        <v>33.876000000000005</v>
      </c>
      <c r="F94" s="8">
        <v>7.181</v>
      </c>
      <c r="G94" s="8">
        <v>5.5149999999999997</v>
      </c>
      <c r="H94" s="8">
        <v>3.64</v>
      </c>
      <c r="I94" s="8">
        <v>5.9710000000000001</v>
      </c>
      <c r="J94" s="8">
        <v>5.8449999999999998</v>
      </c>
      <c r="K94" s="8">
        <v>3.6949999999999998</v>
      </c>
      <c r="L94" s="8">
        <v>5.5129999999999999</v>
      </c>
      <c r="M94" s="8">
        <v>3.88</v>
      </c>
      <c r="N94" s="8">
        <v>4.0289999999999999</v>
      </c>
      <c r="O94" s="8">
        <v>4.4720000000000004</v>
      </c>
    </row>
    <row r="95" spans="1:15" x14ac:dyDescent="0.25">
      <c r="A95" s="5" t="s">
        <v>107</v>
      </c>
      <c r="B95" s="5">
        <v>21</v>
      </c>
      <c r="C95" s="5" t="s">
        <v>2</v>
      </c>
      <c r="D95" s="7">
        <v>286</v>
      </c>
      <c r="E95" s="8">
        <v>32.371000000000002</v>
      </c>
      <c r="F95" s="8">
        <v>5.6760000000000002</v>
      </c>
      <c r="G95" s="8">
        <v>4.9180000000000001</v>
      </c>
      <c r="H95" s="8">
        <v>6.9240000000000004</v>
      </c>
      <c r="I95" s="8">
        <v>6.4349999999999996</v>
      </c>
      <c r="J95" s="8">
        <v>6.2679999999999998</v>
      </c>
      <c r="K95" s="8">
        <v>4.375</v>
      </c>
      <c r="L95" s="8">
        <v>5.9560000000000004</v>
      </c>
      <c r="M95" s="8">
        <v>4.57</v>
      </c>
      <c r="N95" s="8">
        <v>3.7890000000000001</v>
      </c>
      <c r="O95" s="8">
        <v>4.3680000000000003</v>
      </c>
    </row>
    <row r="96" spans="1:15" x14ac:dyDescent="0.25">
      <c r="A96" s="5" t="s">
        <v>108</v>
      </c>
      <c r="B96" s="5">
        <v>59</v>
      </c>
      <c r="C96" s="5" t="s">
        <v>3</v>
      </c>
      <c r="D96" s="7">
        <v>155</v>
      </c>
      <c r="E96" s="8">
        <v>30.124000000000002</v>
      </c>
      <c r="F96" s="8">
        <v>3.4289999999999998</v>
      </c>
      <c r="G96" s="8">
        <v>6.3739999999999997</v>
      </c>
      <c r="H96" s="8">
        <v>5.8310000000000004</v>
      </c>
      <c r="I96" s="8">
        <v>6.7380000000000004</v>
      </c>
      <c r="J96" s="8">
        <v>5.8460000000000001</v>
      </c>
      <c r="K96" s="8">
        <v>4.4000000000000004</v>
      </c>
      <c r="L96" s="8">
        <v>5.7610000000000001</v>
      </c>
      <c r="M96" s="8">
        <v>4.1520000000000001</v>
      </c>
      <c r="N96" s="8">
        <v>4.2629999999999999</v>
      </c>
      <c r="O96" s="8">
        <v>4.6139999999999999</v>
      </c>
    </row>
    <row r="97" spans="1:15" x14ac:dyDescent="0.25">
      <c r="A97" s="5" t="s">
        <v>109</v>
      </c>
      <c r="B97" s="5">
        <v>35</v>
      </c>
      <c r="C97" s="5" t="s">
        <v>3</v>
      </c>
      <c r="D97" s="7">
        <v>291</v>
      </c>
      <c r="E97" s="8">
        <v>32.406000000000006</v>
      </c>
      <c r="F97" s="8">
        <v>5.7110000000000003</v>
      </c>
      <c r="G97" s="8">
        <v>5.2430000000000003</v>
      </c>
      <c r="H97" s="8">
        <v>5.1980000000000004</v>
      </c>
      <c r="I97" s="8">
        <v>5.7619999999999996</v>
      </c>
      <c r="J97" s="8">
        <v>5.9989999999999997</v>
      </c>
      <c r="K97" s="8">
        <v>4.1210000000000004</v>
      </c>
      <c r="L97" s="8">
        <v>6.07</v>
      </c>
      <c r="M97" s="8">
        <v>4.4660000000000002</v>
      </c>
      <c r="N97" s="8">
        <v>3.4129999999999998</v>
      </c>
      <c r="O97" s="8">
        <v>4.5759999999999996</v>
      </c>
    </row>
    <row r="98" spans="1:15" x14ac:dyDescent="0.25">
      <c r="A98" s="5" t="s">
        <v>110</v>
      </c>
      <c r="B98" s="5">
        <v>57</v>
      </c>
      <c r="C98" s="5" t="s">
        <v>2</v>
      </c>
      <c r="D98" s="7">
        <v>233</v>
      </c>
      <c r="E98" s="8">
        <v>31.612000000000002</v>
      </c>
      <c r="F98" s="8">
        <v>4.9169999999999998</v>
      </c>
      <c r="G98" s="8">
        <v>6.0369999999999999</v>
      </c>
      <c r="H98" s="8">
        <v>6.4580000000000002</v>
      </c>
      <c r="I98" s="8">
        <v>6.9809999999999999</v>
      </c>
      <c r="J98" s="8">
        <v>6.1580000000000004</v>
      </c>
      <c r="K98" s="8">
        <v>4.2679999999999998</v>
      </c>
      <c r="L98" s="8">
        <v>6.1689999999999996</v>
      </c>
      <c r="M98" s="8">
        <v>4.0869999999999997</v>
      </c>
      <c r="N98" s="8">
        <v>4.1970000000000001</v>
      </c>
      <c r="O98" s="8">
        <v>4.3550000000000004</v>
      </c>
    </row>
    <row r="99" spans="1:15" x14ac:dyDescent="0.25">
      <c r="A99" s="5" t="s">
        <v>111</v>
      </c>
      <c r="B99" s="5">
        <v>56</v>
      </c>
      <c r="C99" s="5" t="s">
        <v>2</v>
      </c>
      <c r="D99" s="7">
        <v>286</v>
      </c>
      <c r="E99" s="8">
        <v>32.213000000000001</v>
      </c>
      <c r="F99" s="8">
        <v>5.5179999999999998</v>
      </c>
      <c r="G99" s="8">
        <v>5.633</v>
      </c>
      <c r="H99" s="8">
        <v>5.7770000000000001</v>
      </c>
      <c r="I99" s="8">
        <v>5.915</v>
      </c>
      <c r="J99" s="8">
        <v>5.7409999999999997</v>
      </c>
      <c r="K99" s="8">
        <v>3.5590000000000002</v>
      </c>
      <c r="L99" s="8">
        <v>6.29</v>
      </c>
      <c r="M99" s="8">
        <v>4.1539999999999999</v>
      </c>
      <c r="N99" s="8">
        <v>4.7450000000000001</v>
      </c>
      <c r="O99" s="8">
        <v>4.4039999999999999</v>
      </c>
    </row>
    <row r="100" spans="1:15" x14ac:dyDescent="0.25">
      <c r="A100" s="5" t="s">
        <v>112</v>
      </c>
      <c r="B100" s="5">
        <v>31</v>
      </c>
      <c r="C100" s="5" t="s">
        <v>3</v>
      </c>
      <c r="D100" s="7">
        <v>373</v>
      </c>
      <c r="E100" s="8">
        <v>33.69</v>
      </c>
      <c r="F100" s="8">
        <v>6.9950000000000001</v>
      </c>
      <c r="G100" s="8">
        <v>5.4240000000000004</v>
      </c>
      <c r="H100" s="8">
        <v>5.6040000000000001</v>
      </c>
      <c r="I100" s="8">
        <v>6.2969999999999997</v>
      </c>
      <c r="J100" s="8">
        <v>5.016</v>
      </c>
      <c r="K100" s="8">
        <v>3.6760000000000002</v>
      </c>
      <c r="L100" s="8">
        <v>5.3140000000000001</v>
      </c>
      <c r="M100" s="8">
        <v>3.2919999999999998</v>
      </c>
      <c r="N100" s="8">
        <v>4.569</v>
      </c>
      <c r="O100" s="8">
        <v>4.4660000000000002</v>
      </c>
    </row>
    <row r="101" spans="1:15" x14ac:dyDescent="0.25">
      <c r="A101" s="5" t="s">
        <v>113</v>
      </c>
      <c r="B101" s="5">
        <v>49</v>
      </c>
      <c r="C101" s="5" t="s">
        <v>3</v>
      </c>
      <c r="D101" s="7">
        <v>257</v>
      </c>
      <c r="E101" s="8">
        <v>31.770000000000003</v>
      </c>
      <c r="F101" s="8">
        <v>5.0750000000000002</v>
      </c>
      <c r="G101" s="8">
        <v>4.5460000000000003</v>
      </c>
      <c r="H101" s="8">
        <v>6.1369999999999996</v>
      </c>
      <c r="I101" s="8">
        <v>6.0919999999999996</v>
      </c>
      <c r="J101" s="8">
        <v>5.5209999999999999</v>
      </c>
      <c r="K101" s="8">
        <v>4.2530000000000001</v>
      </c>
      <c r="L101" s="8">
        <v>6.7110000000000003</v>
      </c>
      <c r="M101" s="8">
        <v>4.141</v>
      </c>
      <c r="N101" s="8">
        <v>3.6110000000000002</v>
      </c>
      <c r="O101" s="8">
        <v>4.0990000000000002</v>
      </c>
    </row>
    <row r="102" spans="1:15" x14ac:dyDescent="0.25">
      <c r="A102" s="5" t="s">
        <v>114</v>
      </c>
      <c r="B102" s="5">
        <v>68</v>
      </c>
      <c r="C102" s="5" t="s">
        <v>3</v>
      </c>
      <c r="D102" s="7">
        <v>380</v>
      </c>
      <c r="E102" s="8">
        <v>33.881</v>
      </c>
      <c r="F102" s="8">
        <v>7.1859999999999999</v>
      </c>
      <c r="G102" s="8">
        <v>7.2569999999999997</v>
      </c>
      <c r="H102" s="8">
        <v>5.1619999999999999</v>
      </c>
      <c r="I102" s="8">
        <v>4.5739999999999998</v>
      </c>
      <c r="J102" s="8">
        <v>5.44</v>
      </c>
      <c r="K102" s="8">
        <v>3.839</v>
      </c>
      <c r="L102" s="8">
        <v>5.66</v>
      </c>
      <c r="M102" s="8">
        <v>3.8439999999999999</v>
      </c>
      <c r="N102" s="8">
        <v>4.3339999999999996</v>
      </c>
      <c r="O102" s="8">
        <v>4.3049999999999997</v>
      </c>
    </row>
    <row r="103" spans="1:15" x14ac:dyDescent="0.25">
      <c r="A103" s="5" t="s">
        <v>115</v>
      </c>
      <c r="B103" s="5">
        <v>55</v>
      </c>
      <c r="C103" s="5" t="s">
        <v>3</v>
      </c>
      <c r="D103" s="7">
        <v>290</v>
      </c>
      <c r="E103" s="8">
        <v>32.56</v>
      </c>
      <c r="F103" s="8">
        <v>5.8650000000000002</v>
      </c>
      <c r="G103" s="8">
        <v>4.5940000000000003</v>
      </c>
      <c r="H103" s="8">
        <v>4.907</v>
      </c>
      <c r="I103" s="8">
        <v>5.1580000000000004</v>
      </c>
      <c r="J103" s="8">
        <v>5.4790000000000001</v>
      </c>
      <c r="K103" s="8">
        <v>4.3209999999999997</v>
      </c>
      <c r="L103" s="8">
        <v>6.7560000000000002</v>
      </c>
      <c r="M103" s="8">
        <v>3.5430000000000001</v>
      </c>
      <c r="N103" s="8">
        <v>3.7610000000000001</v>
      </c>
      <c r="O103" s="8">
        <v>4.7510000000000003</v>
      </c>
    </row>
    <row r="104" spans="1:15" x14ac:dyDescent="0.25">
      <c r="A104" s="5" t="s">
        <v>116</v>
      </c>
      <c r="B104" s="5">
        <v>40</v>
      </c>
      <c r="C104" s="5" t="s">
        <v>2</v>
      </c>
      <c r="D104" s="7">
        <v>213</v>
      </c>
      <c r="E104" s="8">
        <v>31.098000000000003</v>
      </c>
      <c r="F104" s="8">
        <v>4.4029999999999996</v>
      </c>
      <c r="G104" s="8">
        <v>3.984</v>
      </c>
      <c r="H104" s="8">
        <v>5.2309999999999999</v>
      </c>
      <c r="I104" s="8">
        <v>7.2460000000000004</v>
      </c>
      <c r="J104" s="8">
        <v>5.9089999999999998</v>
      </c>
      <c r="K104" s="8">
        <v>4.8470000000000004</v>
      </c>
      <c r="L104" s="8">
        <v>6.4329999999999998</v>
      </c>
      <c r="M104" s="8">
        <v>4.0759999999999996</v>
      </c>
      <c r="N104" s="8">
        <v>3.9129999999999998</v>
      </c>
      <c r="O104" s="8">
        <v>3.923</v>
      </c>
    </row>
    <row r="105" spans="1:15" x14ac:dyDescent="0.25">
      <c r="A105" s="5" t="s">
        <v>117</v>
      </c>
      <c r="B105" s="5">
        <v>80</v>
      </c>
      <c r="C105" s="5" t="s">
        <v>3</v>
      </c>
      <c r="D105" s="7">
        <v>394</v>
      </c>
      <c r="E105" s="8">
        <v>34.125</v>
      </c>
      <c r="F105" s="8">
        <v>7.43</v>
      </c>
      <c r="G105" s="8">
        <v>5.25</v>
      </c>
      <c r="H105" s="8">
        <v>5.4450000000000003</v>
      </c>
      <c r="I105" s="8">
        <v>6.3090000000000002</v>
      </c>
      <c r="J105" s="8">
        <v>6.0540000000000003</v>
      </c>
      <c r="K105" s="8">
        <v>3.4009999999999998</v>
      </c>
      <c r="L105" s="8">
        <v>6.0469999999999997</v>
      </c>
      <c r="M105" s="8">
        <v>4.3040000000000003</v>
      </c>
      <c r="N105" s="8">
        <v>4.2140000000000004</v>
      </c>
      <c r="O105" s="8">
        <v>4.2279999999999998</v>
      </c>
    </row>
    <row r="106" spans="1:15" x14ac:dyDescent="0.25">
      <c r="A106" s="5" t="s">
        <v>118</v>
      </c>
      <c r="B106" s="5">
        <v>32</v>
      </c>
      <c r="C106" s="5" t="s">
        <v>3</v>
      </c>
      <c r="D106" s="7">
        <v>311</v>
      </c>
      <c r="E106" s="8">
        <v>32.817999999999998</v>
      </c>
      <c r="F106" s="8">
        <v>6.1230000000000002</v>
      </c>
      <c r="G106" s="8">
        <v>5.1970000000000001</v>
      </c>
      <c r="H106" s="8">
        <v>6.1639999999999997</v>
      </c>
      <c r="I106" s="8">
        <v>6.3769999999999998</v>
      </c>
      <c r="J106" s="8">
        <v>5.85</v>
      </c>
      <c r="K106" s="8">
        <v>4.8540000000000001</v>
      </c>
      <c r="L106" s="8">
        <v>6.0650000000000004</v>
      </c>
      <c r="M106" s="8">
        <v>3.9750000000000001</v>
      </c>
      <c r="N106" s="8">
        <v>4.4649999999999999</v>
      </c>
      <c r="O106" s="8">
        <v>4.306</v>
      </c>
    </row>
    <row r="107" spans="1:15" x14ac:dyDescent="0.25">
      <c r="A107" s="5" t="s">
        <v>119</v>
      </c>
      <c r="B107" s="5">
        <v>42</v>
      </c>
      <c r="C107" s="5" t="s">
        <v>3</v>
      </c>
      <c r="D107" s="7">
        <v>319</v>
      </c>
      <c r="E107" s="8">
        <v>32.852000000000004</v>
      </c>
      <c r="F107" s="8">
        <v>6.157</v>
      </c>
      <c r="G107" s="8">
        <v>4.6479999999999997</v>
      </c>
      <c r="H107" s="8">
        <v>6.0250000000000004</v>
      </c>
      <c r="I107" s="8">
        <v>5.5460000000000003</v>
      </c>
      <c r="J107" s="8">
        <v>5.452</v>
      </c>
      <c r="K107" s="8">
        <v>3.9340000000000002</v>
      </c>
      <c r="L107" s="8">
        <v>5.57</v>
      </c>
      <c r="M107" s="8">
        <v>3.706</v>
      </c>
      <c r="N107" s="8">
        <v>4.34</v>
      </c>
      <c r="O107" s="8">
        <v>4.1269999999999998</v>
      </c>
    </row>
    <row r="108" spans="1:15" x14ac:dyDescent="0.25">
      <c r="A108" s="5" t="s">
        <v>120</v>
      </c>
      <c r="B108" s="5">
        <v>34</v>
      </c>
      <c r="C108" s="5" t="s">
        <v>3</v>
      </c>
      <c r="D108" s="7">
        <v>198</v>
      </c>
      <c r="E108" s="8">
        <v>30.732000000000003</v>
      </c>
      <c r="F108" s="8">
        <v>4.0369999999999999</v>
      </c>
      <c r="G108" s="8">
        <v>5.9820000000000002</v>
      </c>
      <c r="H108" s="8">
        <v>4.7539999999999996</v>
      </c>
      <c r="I108" s="8">
        <v>6.0430000000000001</v>
      </c>
      <c r="J108" s="8">
        <v>6.1680000000000001</v>
      </c>
      <c r="K108" s="8">
        <v>5.2389999999999999</v>
      </c>
      <c r="L108" s="8">
        <v>5.7359999999999998</v>
      </c>
      <c r="M108" s="8">
        <v>4.4930000000000003</v>
      </c>
      <c r="N108" s="8">
        <v>3.67</v>
      </c>
      <c r="O108" s="8">
        <v>4.4589999999999996</v>
      </c>
    </row>
    <row r="109" spans="1:15" x14ac:dyDescent="0.25">
      <c r="A109" s="5" t="s">
        <v>121</v>
      </c>
      <c r="B109" s="5">
        <v>83</v>
      </c>
      <c r="C109" s="5" t="s">
        <v>2</v>
      </c>
      <c r="D109" s="7">
        <v>350</v>
      </c>
      <c r="E109" s="8">
        <v>33.049000000000007</v>
      </c>
      <c r="F109" s="8">
        <v>6.3540000000000001</v>
      </c>
      <c r="G109" s="8">
        <v>5.1180000000000003</v>
      </c>
      <c r="H109" s="8">
        <v>7.5609999999999999</v>
      </c>
      <c r="I109" s="8">
        <v>6.3449999999999998</v>
      </c>
      <c r="J109" s="8">
        <v>5.0670000000000002</v>
      </c>
      <c r="K109" s="8">
        <v>4.1900000000000004</v>
      </c>
      <c r="L109" s="8">
        <v>5.2009999999999996</v>
      </c>
      <c r="M109" s="8">
        <v>4.8650000000000002</v>
      </c>
      <c r="N109" s="8">
        <v>4.5620000000000003</v>
      </c>
      <c r="O109" s="8">
        <v>4.6020000000000003</v>
      </c>
    </row>
    <row r="110" spans="1:15" x14ac:dyDescent="0.25">
      <c r="A110" s="5" t="s">
        <v>122</v>
      </c>
      <c r="B110" s="5">
        <v>70</v>
      </c>
      <c r="C110" s="5" t="s">
        <v>2</v>
      </c>
      <c r="D110" s="7">
        <v>318</v>
      </c>
      <c r="E110" s="8">
        <v>32.775000000000006</v>
      </c>
      <c r="F110" s="8">
        <v>6.08</v>
      </c>
      <c r="G110" s="8">
        <v>5.83</v>
      </c>
      <c r="H110" s="8">
        <v>6.3579999999999997</v>
      </c>
      <c r="I110" s="8">
        <v>6.069</v>
      </c>
      <c r="J110" s="8">
        <v>3.9529999999999998</v>
      </c>
      <c r="K110" s="8">
        <v>4.6760000000000002</v>
      </c>
      <c r="L110" s="8">
        <v>5.6619999999999999</v>
      </c>
      <c r="M110" s="8">
        <v>4.5229999999999997</v>
      </c>
      <c r="N110" s="8">
        <v>4.21</v>
      </c>
      <c r="O110" s="8">
        <v>4.3449999999999998</v>
      </c>
    </row>
    <row r="111" spans="1:15" x14ac:dyDescent="0.25">
      <c r="A111" s="5" t="s">
        <v>123</v>
      </c>
      <c r="B111" s="5">
        <v>68</v>
      </c>
      <c r="C111" s="5" t="s">
        <v>2</v>
      </c>
      <c r="D111" s="7">
        <v>230</v>
      </c>
      <c r="E111" s="8">
        <v>31.276000000000003</v>
      </c>
      <c r="F111" s="8">
        <v>4.5810000000000004</v>
      </c>
      <c r="G111" s="8">
        <v>6.6219999999999999</v>
      </c>
      <c r="H111" s="8">
        <v>6.17</v>
      </c>
      <c r="I111" s="8">
        <v>5.4649999999999999</v>
      </c>
      <c r="J111" s="8">
        <v>5.8179999999999996</v>
      </c>
      <c r="K111" s="8">
        <v>4.0430000000000001</v>
      </c>
      <c r="L111" s="8">
        <v>5.4989999999999997</v>
      </c>
      <c r="M111" s="8">
        <v>3.948</v>
      </c>
      <c r="N111" s="8">
        <v>4.4980000000000002</v>
      </c>
      <c r="O111" s="8">
        <v>4.5039999999999996</v>
      </c>
    </row>
    <row r="112" spans="1:15" x14ac:dyDescent="0.25">
      <c r="A112" s="5" t="s">
        <v>124</v>
      </c>
      <c r="B112" s="5">
        <v>56</v>
      </c>
      <c r="C112" s="5" t="s">
        <v>3</v>
      </c>
      <c r="D112" s="7">
        <v>328</v>
      </c>
      <c r="E112" s="8">
        <v>32.99</v>
      </c>
      <c r="F112" s="8">
        <v>6.2949999999999999</v>
      </c>
      <c r="G112" s="8">
        <v>4.1710000000000003</v>
      </c>
      <c r="H112" s="8">
        <v>6.2510000000000003</v>
      </c>
      <c r="I112" s="8">
        <v>5.7229999999999999</v>
      </c>
      <c r="J112" s="8">
        <v>6.2789999999999999</v>
      </c>
      <c r="K112" s="8">
        <v>4.048</v>
      </c>
      <c r="L112" s="8">
        <v>5.99</v>
      </c>
      <c r="M112" s="8">
        <v>4.5190000000000001</v>
      </c>
      <c r="N112" s="8">
        <v>4.1239999999999997</v>
      </c>
      <c r="O112" s="8">
        <v>4.1109999999999998</v>
      </c>
    </row>
    <row r="113" spans="1:15" x14ac:dyDescent="0.25">
      <c r="A113" s="5" t="s">
        <v>125</v>
      </c>
      <c r="B113" s="5">
        <v>68</v>
      </c>
      <c r="C113" s="5" t="s">
        <v>3</v>
      </c>
      <c r="D113" s="7">
        <v>295</v>
      </c>
      <c r="E113" s="8">
        <v>32.713000000000001</v>
      </c>
      <c r="F113" s="8">
        <v>6.0179999999999998</v>
      </c>
      <c r="G113" s="8">
        <v>5.8550000000000004</v>
      </c>
      <c r="H113" s="8">
        <v>4.7220000000000004</v>
      </c>
      <c r="I113" s="8">
        <v>4.5049999999999999</v>
      </c>
      <c r="J113" s="8">
        <v>4.6210000000000004</v>
      </c>
      <c r="K113" s="8">
        <v>3.6070000000000002</v>
      </c>
      <c r="L113" s="8">
        <v>6.1909999999999998</v>
      </c>
      <c r="M113" s="8">
        <v>3.673</v>
      </c>
      <c r="N113" s="8">
        <v>3.7669999999999999</v>
      </c>
      <c r="O113" s="8">
        <v>4.4029999999999996</v>
      </c>
    </row>
    <row r="114" spans="1:15" x14ac:dyDescent="0.25">
      <c r="A114" s="5" t="s">
        <v>126</v>
      </c>
      <c r="B114" s="5">
        <v>23</v>
      </c>
      <c r="C114" s="5" t="s">
        <v>2</v>
      </c>
      <c r="D114" s="7">
        <v>311</v>
      </c>
      <c r="E114" s="8">
        <v>32.69</v>
      </c>
      <c r="F114" s="8">
        <v>5.9950000000000001</v>
      </c>
      <c r="G114" s="8">
        <v>6.7629999999999999</v>
      </c>
      <c r="H114" s="8">
        <v>5.6929999999999996</v>
      </c>
      <c r="I114" s="8">
        <v>7.8019999999999996</v>
      </c>
      <c r="J114" s="8">
        <v>4.9340000000000002</v>
      </c>
      <c r="K114" s="8">
        <v>3.7210000000000001</v>
      </c>
      <c r="L114" s="8">
        <v>5.2720000000000002</v>
      </c>
      <c r="M114" s="8">
        <v>4.0369999999999999</v>
      </c>
      <c r="N114" s="8">
        <v>4.2690000000000001</v>
      </c>
      <c r="O114" s="8">
        <v>4.4130000000000003</v>
      </c>
    </row>
    <row r="115" spans="1:15" x14ac:dyDescent="0.25">
      <c r="A115" s="5" t="s">
        <v>127</v>
      </c>
      <c r="B115" s="5">
        <v>24</v>
      </c>
      <c r="C115" s="5" t="s">
        <v>3</v>
      </c>
      <c r="D115" s="7">
        <v>322</v>
      </c>
      <c r="E115" s="8">
        <v>32.859000000000002</v>
      </c>
      <c r="F115" s="8">
        <v>6.1639999999999997</v>
      </c>
      <c r="G115" s="8">
        <v>5.7530000000000001</v>
      </c>
      <c r="H115" s="8">
        <v>5.59</v>
      </c>
      <c r="I115" s="8">
        <v>7.8630000000000004</v>
      </c>
      <c r="J115" s="8">
        <v>5.62</v>
      </c>
      <c r="K115" s="8">
        <v>3.6360000000000001</v>
      </c>
      <c r="L115" s="8">
        <v>5.8109999999999999</v>
      </c>
      <c r="M115" s="8">
        <v>4.6760000000000002</v>
      </c>
      <c r="N115" s="8">
        <v>4.1769999999999996</v>
      </c>
      <c r="O115" s="8">
        <v>4.6689999999999996</v>
      </c>
    </row>
    <row r="116" spans="1:15" x14ac:dyDescent="0.25">
      <c r="A116" s="5" t="s">
        <v>128</v>
      </c>
      <c r="B116" s="5">
        <v>68</v>
      </c>
      <c r="C116" s="5" t="s">
        <v>2</v>
      </c>
      <c r="D116" s="7">
        <v>262</v>
      </c>
      <c r="E116" s="8">
        <v>31.485000000000003</v>
      </c>
      <c r="F116" s="8">
        <v>4.79</v>
      </c>
      <c r="G116" s="8">
        <v>5.92</v>
      </c>
      <c r="H116" s="8">
        <v>6.0860000000000003</v>
      </c>
      <c r="I116" s="8">
        <v>4.1760000000000002</v>
      </c>
      <c r="J116" s="8">
        <v>6.1630000000000003</v>
      </c>
      <c r="K116" s="8">
        <v>3.3119999999999998</v>
      </c>
      <c r="L116" s="8">
        <v>5.306</v>
      </c>
      <c r="M116" s="8">
        <v>3.8540000000000001</v>
      </c>
      <c r="N116" s="8">
        <v>3.7320000000000002</v>
      </c>
      <c r="O116" s="8">
        <v>4.3739999999999997</v>
      </c>
    </row>
    <row r="117" spans="1:15" x14ac:dyDescent="0.25">
      <c r="A117" s="5" t="s">
        <v>129</v>
      </c>
      <c r="B117" s="5">
        <v>59</v>
      </c>
      <c r="C117" s="5" t="s">
        <v>2</v>
      </c>
      <c r="D117" s="7">
        <v>202</v>
      </c>
      <c r="E117" s="8">
        <v>30.888000000000002</v>
      </c>
      <c r="F117" s="8">
        <v>4.1929999999999996</v>
      </c>
      <c r="G117" s="8">
        <v>5.2389999999999999</v>
      </c>
      <c r="H117" s="8">
        <v>5.6420000000000003</v>
      </c>
      <c r="I117" s="8">
        <v>6.4039999999999999</v>
      </c>
      <c r="J117" s="8">
        <v>4.8929999999999998</v>
      </c>
      <c r="K117" s="8">
        <v>2.42</v>
      </c>
      <c r="L117" s="8">
        <v>5.9909999999999997</v>
      </c>
      <c r="M117" s="8">
        <v>4.0270000000000001</v>
      </c>
      <c r="N117" s="8">
        <v>3.7850000000000001</v>
      </c>
      <c r="O117" s="8">
        <v>4.8360000000000003</v>
      </c>
    </row>
    <row r="118" spans="1:15" x14ac:dyDescent="0.25">
      <c r="A118" s="5" t="s">
        <v>130</v>
      </c>
      <c r="B118" s="5">
        <v>81</v>
      </c>
      <c r="C118" s="5" t="s">
        <v>2</v>
      </c>
      <c r="D118" s="7">
        <v>240</v>
      </c>
      <c r="E118" s="8">
        <v>31.453000000000003</v>
      </c>
      <c r="F118" s="8">
        <v>4.758</v>
      </c>
      <c r="G118" s="8">
        <v>5.9989999999999997</v>
      </c>
      <c r="H118" s="8">
        <v>6.0339999999999998</v>
      </c>
      <c r="I118" s="8">
        <v>5.6130000000000004</v>
      </c>
      <c r="J118" s="8">
        <v>4.851</v>
      </c>
      <c r="K118" s="8">
        <v>3.5089999999999999</v>
      </c>
      <c r="L118" s="8">
        <v>6.1630000000000003</v>
      </c>
      <c r="M118" s="8">
        <v>4.3390000000000004</v>
      </c>
      <c r="N118" s="8">
        <v>3.8969999999999998</v>
      </c>
      <c r="O118" s="8">
        <v>4.3150000000000004</v>
      </c>
    </row>
    <row r="119" spans="1:15" x14ac:dyDescent="0.25">
      <c r="A119" s="5" t="s">
        <v>131</v>
      </c>
      <c r="B119" s="5">
        <v>32</v>
      </c>
      <c r="C119" s="5" t="s">
        <v>2</v>
      </c>
      <c r="D119" s="7">
        <v>194</v>
      </c>
      <c r="E119" s="8">
        <v>30.727000000000004</v>
      </c>
      <c r="F119" s="8">
        <v>4.032</v>
      </c>
      <c r="G119" s="8">
        <v>6.008</v>
      </c>
      <c r="H119" s="8">
        <v>6.2169999999999996</v>
      </c>
      <c r="I119" s="8">
        <v>6.2290000000000001</v>
      </c>
      <c r="J119" s="8">
        <v>5.7729999999999997</v>
      </c>
      <c r="K119" s="8">
        <v>3.4609999999999999</v>
      </c>
      <c r="L119" s="8">
        <v>6.1390000000000002</v>
      </c>
      <c r="M119" s="8">
        <v>4.51</v>
      </c>
      <c r="N119" s="8">
        <v>3.532</v>
      </c>
      <c r="O119" s="8">
        <v>4.5540000000000003</v>
      </c>
    </row>
    <row r="120" spans="1:15" x14ac:dyDescent="0.25">
      <c r="A120" s="5" t="s">
        <v>132</v>
      </c>
      <c r="B120" s="5">
        <v>46</v>
      </c>
      <c r="C120" s="5" t="s">
        <v>3</v>
      </c>
      <c r="D120" s="7">
        <v>248</v>
      </c>
      <c r="E120" s="8">
        <v>31.803000000000004</v>
      </c>
      <c r="F120" s="8">
        <v>5.1079999999999997</v>
      </c>
      <c r="G120" s="8">
        <v>5.093</v>
      </c>
      <c r="H120" s="8">
        <v>6.3109999999999999</v>
      </c>
      <c r="I120" s="8">
        <v>5.7309999999999999</v>
      </c>
      <c r="J120" s="8">
        <v>6.3890000000000002</v>
      </c>
      <c r="K120" s="8">
        <v>4.8</v>
      </c>
      <c r="L120" s="8">
        <v>6.4870000000000001</v>
      </c>
      <c r="M120" s="8">
        <v>3.9980000000000002</v>
      </c>
      <c r="N120" s="8">
        <v>4.0140000000000002</v>
      </c>
      <c r="O120" s="8">
        <v>4.7910000000000004</v>
      </c>
    </row>
    <row r="121" spans="1:15" x14ac:dyDescent="0.25">
      <c r="A121" s="5" t="s">
        <v>133</v>
      </c>
      <c r="B121" s="5">
        <v>50</v>
      </c>
      <c r="C121" s="5" t="s">
        <v>3</v>
      </c>
      <c r="D121" s="7">
        <v>343</v>
      </c>
      <c r="E121" s="8">
        <v>33.037000000000006</v>
      </c>
      <c r="F121" s="8">
        <v>6.3419999999999996</v>
      </c>
      <c r="G121" s="8">
        <v>6.0979999999999999</v>
      </c>
      <c r="H121" s="8">
        <v>5.9470000000000001</v>
      </c>
      <c r="I121" s="8">
        <v>6.1859999999999999</v>
      </c>
      <c r="J121" s="8">
        <v>6.2309999999999999</v>
      </c>
      <c r="K121" s="8">
        <v>2.9569999999999999</v>
      </c>
      <c r="L121" s="8">
        <v>5.8280000000000003</v>
      </c>
      <c r="M121" s="8">
        <v>3.7410000000000001</v>
      </c>
      <c r="N121" s="8">
        <v>4.3239999999999998</v>
      </c>
      <c r="O121" s="8">
        <v>4.3049999999999997</v>
      </c>
    </row>
    <row r="122" spans="1:15" x14ac:dyDescent="0.25">
      <c r="A122" s="5" t="s">
        <v>134</v>
      </c>
      <c r="B122" s="5">
        <v>44</v>
      </c>
      <c r="C122" s="5" t="s">
        <v>2</v>
      </c>
      <c r="D122" s="7">
        <v>294</v>
      </c>
      <c r="E122" s="8">
        <v>32.278000000000006</v>
      </c>
      <c r="F122" s="8">
        <v>5.5830000000000002</v>
      </c>
      <c r="G122" s="8">
        <v>3.7240000000000002</v>
      </c>
      <c r="H122" s="8">
        <v>3.653</v>
      </c>
      <c r="I122" s="8">
        <v>5.5110000000000001</v>
      </c>
      <c r="J122" s="8">
        <v>5.306</v>
      </c>
      <c r="K122" s="8">
        <v>3.4809999999999999</v>
      </c>
      <c r="L122" s="8">
        <v>6.1120000000000001</v>
      </c>
      <c r="M122" s="8">
        <v>4.0229999999999997</v>
      </c>
      <c r="N122" s="8">
        <v>4.2300000000000004</v>
      </c>
      <c r="O122" s="8">
        <v>4.2939999999999996</v>
      </c>
    </row>
    <row r="123" spans="1:15" x14ac:dyDescent="0.25">
      <c r="A123" s="5" t="s">
        <v>135</v>
      </c>
      <c r="B123" s="5">
        <v>53</v>
      </c>
      <c r="C123" s="5" t="s">
        <v>3</v>
      </c>
      <c r="D123" s="7">
        <v>308</v>
      </c>
      <c r="E123" s="8">
        <v>32.510000000000005</v>
      </c>
      <c r="F123" s="8">
        <v>5.8150000000000004</v>
      </c>
      <c r="G123" s="8">
        <v>6.6879999999999997</v>
      </c>
      <c r="H123" s="8">
        <v>6.125</v>
      </c>
      <c r="I123" s="8">
        <v>5.4219999999999997</v>
      </c>
      <c r="J123" s="8">
        <v>6.0720000000000001</v>
      </c>
      <c r="K123" s="8">
        <v>4.3289999999999997</v>
      </c>
      <c r="L123" s="8">
        <v>5.569</v>
      </c>
      <c r="M123" s="8">
        <v>4.617</v>
      </c>
      <c r="N123" s="8">
        <v>4.681</v>
      </c>
      <c r="O123" s="8">
        <v>3.9420000000000002</v>
      </c>
    </row>
    <row r="124" spans="1:15" x14ac:dyDescent="0.25">
      <c r="A124" s="5" t="s">
        <v>136</v>
      </c>
      <c r="B124" s="5">
        <v>46</v>
      </c>
      <c r="C124" s="5" t="s">
        <v>2</v>
      </c>
      <c r="D124" s="7">
        <v>320</v>
      </c>
      <c r="E124" s="8">
        <v>32.984999999999999</v>
      </c>
      <c r="F124" s="8">
        <v>6.29</v>
      </c>
      <c r="G124" s="8">
        <v>4.6189999999999998</v>
      </c>
      <c r="H124" s="8">
        <v>6.657</v>
      </c>
      <c r="I124" s="8">
        <v>7.0410000000000004</v>
      </c>
      <c r="J124" s="8">
        <v>5.7060000000000004</v>
      </c>
      <c r="K124" s="8">
        <v>4.83</v>
      </c>
      <c r="L124" s="8">
        <v>5.117</v>
      </c>
      <c r="M124" s="8">
        <v>4.2439999999999998</v>
      </c>
      <c r="N124" s="8">
        <v>3.9060000000000001</v>
      </c>
      <c r="O124" s="8">
        <v>4.3010000000000002</v>
      </c>
    </row>
    <row r="125" spans="1:15" x14ac:dyDescent="0.25">
      <c r="A125" s="5" t="s">
        <v>137</v>
      </c>
      <c r="B125" s="5">
        <v>55</v>
      </c>
      <c r="C125" s="5" t="s">
        <v>2</v>
      </c>
      <c r="D125" s="7">
        <v>247</v>
      </c>
      <c r="E125" s="8">
        <v>31.394000000000002</v>
      </c>
      <c r="F125" s="8">
        <v>4.6989999999999998</v>
      </c>
      <c r="G125" s="8">
        <v>5.3140000000000001</v>
      </c>
      <c r="H125" s="8">
        <v>6.9509999999999996</v>
      </c>
      <c r="I125" s="8">
        <v>6.9950000000000001</v>
      </c>
      <c r="J125" s="8">
        <v>6.3570000000000002</v>
      </c>
      <c r="K125" s="8">
        <v>3.7759999999999998</v>
      </c>
      <c r="L125" s="8">
        <v>5.8150000000000004</v>
      </c>
      <c r="M125" s="8">
        <v>4.6310000000000002</v>
      </c>
      <c r="N125" s="8">
        <v>4.53</v>
      </c>
      <c r="O125" s="8">
        <v>4.1040000000000001</v>
      </c>
    </row>
    <row r="126" spans="1:15" x14ac:dyDescent="0.25">
      <c r="A126" s="5" t="s">
        <v>138</v>
      </c>
      <c r="B126" s="5">
        <v>74</v>
      </c>
      <c r="C126" s="5" t="s">
        <v>3</v>
      </c>
      <c r="D126" s="7">
        <v>249</v>
      </c>
      <c r="E126" s="8">
        <v>31.869000000000003</v>
      </c>
      <c r="F126" s="8">
        <v>5.1740000000000004</v>
      </c>
      <c r="G126" s="8">
        <v>5.085</v>
      </c>
      <c r="H126" s="8">
        <v>4.806</v>
      </c>
      <c r="I126" s="8">
        <v>6.23</v>
      </c>
      <c r="J126" s="8">
        <v>5.327</v>
      </c>
      <c r="K126" s="8">
        <v>3.2320000000000002</v>
      </c>
      <c r="L126" s="8">
        <v>4.875</v>
      </c>
      <c r="M126" s="8">
        <v>3.9350000000000001</v>
      </c>
      <c r="N126" s="8">
        <v>4.3440000000000003</v>
      </c>
      <c r="O126" s="8">
        <v>4.2619999999999996</v>
      </c>
    </row>
    <row r="127" spans="1:15" x14ac:dyDescent="0.25">
      <c r="A127" s="5" t="s">
        <v>139</v>
      </c>
      <c r="B127" s="5">
        <v>44</v>
      </c>
      <c r="C127" s="5" t="s">
        <v>2</v>
      </c>
      <c r="D127" s="7">
        <v>304</v>
      </c>
      <c r="E127" s="8">
        <v>32.480000000000004</v>
      </c>
      <c r="F127" s="8">
        <v>5.7850000000000001</v>
      </c>
      <c r="G127" s="8">
        <v>4.9240000000000004</v>
      </c>
      <c r="H127" s="8">
        <v>4.8209999999999997</v>
      </c>
      <c r="I127" s="8">
        <v>5.4729999999999999</v>
      </c>
      <c r="J127" s="8">
        <v>5.91</v>
      </c>
      <c r="K127" s="8">
        <v>4.3579999999999997</v>
      </c>
      <c r="L127" s="8">
        <v>6.82</v>
      </c>
      <c r="M127" s="8">
        <v>3.6579999999999999</v>
      </c>
      <c r="N127" s="8">
        <v>4.5449999999999999</v>
      </c>
      <c r="O127" s="8">
        <v>4.1609999999999996</v>
      </c>
    </row>
    <row r="128" spans="1:15" x14ac:dyDescent="0.25">
      <c r="A128" s="5" t="s">
        <v>140</v>
      </c>
      <c r="B128" s="5">
        <v>72</v>
      </c>
      <c r="C128" s="5" t="s">
        <v>3</v>
      </c>
      <c r="D128" s="7">
        <v>380</v>
      </c>
      <c r="E128" s="8">
        <v>33.505000000000003</v>
      </c>
      <c r="F128" s="8">
        <v>6.81</v>
      </c>
      <c r="G128" s="8">
        <v>7.2759999999999998</v>
      </c>
      <c r="H128" s="8">
        <v>5.3970000000000002</v>
      </c>
      <c r="I128" s="8">
        <v>6.9349999999999996</v>
      </c>
      <c r="J128" s="8">
        <v>4.5469999999999997</v>
      </c>
      <c r="K128" s="8">
        <v>4.282</v>
      </c>
      <c r="L128" s="8">
        <v>6.327</v>
      </c>
      <c r="M128" s="8">
        <v>4.0839999999999996</v>
      </c>
      <c r="N128" s="8">
        <v>3.992</v>
      </c>
      <c r="O128" s="8">
        <v>4.4560000000000004</v>
      </c>
    </row>
    <row r="129" spans="1:15" x14ac:dyDescent="0.25">
      <c r="A129" s="5" t="s">
        <v>141</v>
      </c>
      <c r="B129" s="5">
        <v>50</v>
      </c>
      <c r="C129" s="5" t="s">
        <v>3</v>
      </c>
      <c r="D129" s="7">
        <v>282</v>
      </c>
      <c r="E129" s="8">
        <v>32.355000000000004</v>
      </c>
      <c r="F129" s="8">
        <v>5.66</v>
      </c>
      <c r="G129" s="8">
        <v>4.9859999999999998</v>
      </c>
      <c r="H129" s="8">
        <v>5.2770000000000001</v>
      </c>
      <c r="I129" s="8">
        <v>6.0730000000000004</v>
      </c>
      <c r="J129" s="8">
        <v>5.2530000000000001</v>
      </c>
      <c r="K129" s="8">
        <v>3.7930000000000001</v>
      </c>
      <c r="L129" s="8">
        <v>5.157</v>
      </c>
      <c r="M129" s="8">
        <v>3.8029999999999999</v>
      </c>
      <c r="N129" s="8">
        <v>3.9460000000000002</v>
      </c>
      <c r="O129" s="8">
        <v>4.3339999999999996</v>
      </c>
    </row>
    <row r="130" spans="1:15" x14ac:dyDescent="0.25">
      <c r="A130" s="5" t="s">
        <v>142</v>
      </c>
      <c r="B130" s="5">
        <v>83</v>
      </c>
      <c r="C130" s="5" t="s">
        <v>3</v>
      </c>
      <c r="D130" s="7">
        <v>150</v>
      </c>
      <c r="E130" s="8">
        <v>30.077000000000002</v>
      </c>
      <c r="F130" s="8">
        <v>3.3820000000000001</v>
      </c>
      <c r="G130" s="8">
        <v>5.5309999999999997</v>
      </c>
      <c r="H130" s="8">
        <v>6.6870000000000003</v>
      </c>
      <c r="I130" s="8">
        <v>6.4930000000000003</v>
      </c>
      <c r="J130" s="8">
        <v>5.8170000000000002</v>
      </c>
      <c r="K130" s="8">
        <v>3.99</v>
      </c>
      <c r="L130" s="8">
        <v>6.1269999999999998</v>
      </c>
      <c r="M130" s="8">
        <v>4.1669999999999998</v>
      </c>
      <c r="N130" s="8">
        <v>4.3860000000000001</v>
      </c>
      <c r="O130" s="8">
        <v>4.4429999999999996</v>
      </c>
    </row>
    <row r="131" spans="1:15" x14ac:dyDescent="0.25">
      <c r="A131" s="5" t="s">
        <v>143</v>
      </c>
      <c r="B131" s="5">
        <v>83</v>
      </c>
      <c r="C131" s="5" t="s">
        <v>3</v>
      </c>
      <c r="D131" s="7">
        <v>325</v>
      </c>
      <c r="E131" s="8">
        <v>32.902000000000001</v>
      </c>
      <c r="F131" s="8">
        <v>6.2069999999999999</v>
      </c>
      <c r="G131" s="8">
        <v>5.4320000000000004</v>
      </c>
      <c r="H131" s="8">
        <v>5.98</v>
      </c>
      <c r="I131" s="8">
        <v>5.2750000000000004</v>
      </c>
      <c r="J131" s="8">
        <v>5.0549999999999997</v>
      </c>
      <c r="K131" s="8">
        <v>4.2880000000000003</v>
      </c>
      <c r="L131" s="8">
        <v>5.8070000000000004</v>
      </c>
      <c r="M131" s="8">
        <v>4.1749999999999998</v>
      </c>
      <c r="N131" s="8">
        <v>4.2830000000000004</v>
      </c>
      <c r="O131" s="8">
        <v>4.569</v>
      </c>
    </row>
    <row r="132" spans="1:15" x14ac:dyDescent="0.25">
      <c r="A132" s="5" t="s">
        <v>144</v>
      </c>
      <c r="B132" s="5">
        <v>27</v>
      </c>
      <c r="C132" s="5" t="s">
        <v>2</v>
      </c>
      <c r="D132" s="7">
        <v>215</v>
      </c>
      <c r="E132" s="8">
        <v>31.152000000000001</v>
      </c>
      <c r="F132" s="8">
        <v>4.4569999999999999</v>
      </c>
      <c r="G132" s="8">
        <v>4.7779999999999996</v>
      </c>
      <c r="H132" s="8">
        <v>6.3890000000000002</v>
      </c>
      <c r="I132" s="8">
        <v>7.032</v>
      </c>
      <c r="J132" s="8">
        <v>6.1050000000000004</v>
      </c>
      <c r="K132" s="8">
        <v>3.8490000000000002</v>
      </c>
      <c r="L132" s="8">
        <v>6.7610000000000001</v>
      </c>
      <c r="M132" s="8">
        <v>3.762</v>
      </c>
      <c r="N132" s="8">
        <v>4.274</v>
      </c>
      <c r="O132" s="8">
        <v>4.54</v>
      </c>
    </row>
    <row r="133" spans="1:15" x14ac:dyDescent="0.25">
      <c r="A133" s="5" t="s">
        <v>145</v>
      </c>
      <c r="B133" s="5">
        <v>22</v>
      </c>
      <c r="C133" s="5" t="s">
        <v>3</v>
      </c>
      <c r="D133" s="7">
        <v>331</v>
      </c>
      <c r="E133" s="8">
        <v>33.263000000000005</v>
      </c>
      <c r="F133" s="8">
        <v>6.5679999999999996</v>
      </c>
      <c r="G133" s="8">
        <v>4.4000000000000004</v>
      </c>
      <c r="H133" s="8">
        <v>5.6950000000000003</v>
      </c>
      <c r="I133" s="8">
        <v>5.6639999999999997</v>
      </c>
      <c r="J133" s="8">
        <v>5.8920000000000003</v>
      </c>
      <c r="K133" s="8">
        <v>4.4569999999999999</v>
      </c>
      <c r="L133" s="8">
        <v>5.9690000000000003</v>
      </c>
      <c r="M133" s="8">
        <v>3.9180000000000001</v>
      </c>
      <c r="N133" s="8">
        <v>3.6949999999999998</v>
      </c>
      <c r="O133" s="8">
        <v>4.3810000000000002</v>
      </c>
    </row>
    <row r="134" spans="1:15" x14ac:dyDescent="0.25">
      <c r="A134" s="5" t="s">
        <v>146</v>
      </c>
      <c r="B134" s="5">
        <v>55</v>
      </c>
      <c r="C134" s="5" t="s">
        <v>2</v>
      </c>
      <c r="D134" s="7">
        <v>264</v>
      </c>
      <c r="E134" s="8">
        <v>31.878000000000004</v>
      </c>
      <c r="F134" s="8">
        <v>5.1829999999999998</v>
      </c>
      <c r="G134" s="8">
        <v>3.6760000000000002</v>
      </c>
      <c r="H134" s="8">
        <v>4.8230000000000004</v>
      </c>
      <c r="I134" s="8">
        <v>6.2089999999999996</v>
      </c>
      <c r="J134" s="8">
        <v>6.2249999999999996</v>
      </c>
      <c r="K134" s="8">
        <v>4.7069999999999999</v>
      </c>
      <c r="L134" s="8">
        <v>6.5279999999999996</v>
      </c>
      <c r="M134" s="8">
        <v>3.6829999999999998</v>
      </c>
      <c r="N134" s="8">
        <v>4.327</v>
      </c>
      <c r="O134" s="8">
        <v>4.343</v>
      </c>
    </row>
    <row r="135" spans="1:15" x14ac:dyDescent="0.25">
      <c r="A135" s="5" t="s">
        <v>147</v>
      </c>
      <c r="B135" s="5">
        <v>30</v>
      </c>
      <c r="C135" s="5" t="s">
        <v>2</v>
      </c>
      <c r="D135" s="7">
        <v>360</v>
      </c>
      <c r="E135" s="8">
        <v>33.675000000000004</v>
      </c>
      <c r="F135" s="8">
        <v>6.98</v>
      </c>
      <c r="G135" s="8">
        <v>5.4740000000000002</v>
      </c>
      <c r="H135" s="8">
        <v>3.9180000000000001</v>
      </c>
      <c r="I135" s="8">
        <v>6.3019999999999996</v>
      </c>
      <c r="J135" s="8">
        <v>5.6790000000000003</v>
      </c>
      <c r="K135" s="8">
        <v>4.4210000000000003</v>
      </c>
      <c r="L135" s="8">
        <v>5.9050000000000002</v>
      </c>
      <c r="M135" s="8">
        <v>4.0949999999999998</v>
      </c>
      <c r="N135" s="8">
        <v>4.6870000000000003</v>
      </c>
      <c r="O135" s="8">
        <v>4.218</v>
      </c>
    </row>
    <row r="136" spans="1:15" x14ac:dyDescent="0.25">
      <c r="A136" s="5" t="s">
        <v>148</v>
      </c>
      <c r="B136" s="5">
        <v>48</v>
      </c>
      <c r="C136" s="5" t="s">
        <v>2</v>
      </c>
      <c r="D136" s="7">
        <v>328</v>
      </c>
      <c r="E136" s="8">
        <v>32.894000000000005</v>
      </c>
      <c r="F136" s="8">
        <v>6.1989999999999998</v>
      </c>
      <c r="G136" s="8">
        <v>4.6980000000000004</v>
      </c>
      <c r="H136" s="8">
        <v>5.274</v>
      </c>
      <c r="I136" s="8">
        <v>6.3339999999999996</v>
      </c>
      <c r="J136" s="8">
        <v>7.7290000000000001</v>
      </c>
      <c r="K136" s="8">
        <v>3.633</v>
      </c>
      <c r="L136" s="8">
        <v>5.7370000000000001</v>
      </c>
      <c r="M136" s="8">
        <v>3.9009999999999998</v>
      </c>
      <c r="N136" s="8">
        <v>4.5179999999999998</v>
      </c>
      <c r="O136" s="8">
        <v>4.0540000000000003</v>
      </c>
    </row>
    <row r="137" spans="1:15" x14ac:dyDescent="0.25">
      <c r="A137" s="5" t="s">
        <v>149</v>
      </c>
      <c r="B137" s="5">
        <v>64</v>
      </c>
      <c r="C137" s="5" t="s">
        <v>2</v>
      </c>
      <c r="D137" s="7">
        <v>283</v>
      </c>
      <c r="E137" s="8">
        <v>32.353999999999999</v>
      </c>
      <c r="F137" s="8">
        <v>5.6589999999999998</v>
      </c>
      <c r="G137" s="8">
        <v>4.7960000000000003</v>
      </c>
      <c r="H137" s="8">
        <v>4.4000000000000004</v>
      </c>
      <c r="I137" s="8">
        <v>5.4630000000000001</v>
      </c>
      <c r="J137" s="8">
        <v>5.9050000000000002</v>
      </c>
      <c r="K137" s="8">
        <v>5.31</v>
      </c>
      <c r="L137" s="8">
        <v>5.6529999999999996</v>
      </c>
      <c r="M137" s="8">
        <v>4.226</v>
      </c>
      <c r="N137" s="8">
        <v>4.0549999999999997</v>
      </c>
      <c r="O137" s="8">
        <v>4.3289999999999997</v>
      </c>
    </row>
    <row r="138" spans="1:15" x14ac:dyDescent="0.25">
      <c r="A138" s="5" t="s">
        <v>150</v>
      </c>
      <c r="B138" s="5">
        <v>69</v>
      </c>
      <c r="C138" s="5" t="s">
        <v>3</v>
      </c>
      <c r="D138" s="7">
        <v>240</v>
      </c>
      <c r="E138" s="8">
        <v>31.250000000000004</v>
      </c>
      <c r="F138" s="8">
        <v>4.5549999999999997</v>
      </c>
      <c r="G138" s="8">
        <v>3.6819999999999999</v>
      </c>
      <c r="H138" s="8">
        <v>6.3890000000000002</v>
      </c>
      <c r="I138" s="8">
        <v>6.4859999999999998</v>
      </c>
      <c r="J138" s="8">
        <v>5.8380000000000001</v>
      </c>
      <c r="K138" s="8">
        <v>3.9820000000000002</v>
      </c>
      <c r="L138" s="8">
        <v>5.1260000000000003</v>
      </c>
      <c r="M138" s="8">
        <v>4.5359999999999996</v>
      </c>
      <c r="N138" s="8">
        <v>4.1769999999999996</v>
      </c>
      <c r="O138" s="8">
        <v>4.2279999999999998</v>
      </c>
    </row>
    <row r="139" spans="1:15" x14ac:dyDescent="0.25">
      <c r="A139" s="5" t="s">
        <v>151</v>
      </c>
      <c r="B139" s="5">
        <v>73</v>
      </c>
      <c r="C139" s="5" t="s">
        <v>3</v>
      </c>
      <c r="D139" s="7">
        <v>227</v>
      </c>
      <c r="E139" s="8">
        <v>31.402000000000001</v>
      </c>
      <c r="F139" s="8">
        <v>4.7069999999999999</v>
      </c>
      <c r="G139" s="8">
        <v>6.35</v>
      </c>
      <c r="H139" s="8">
        <v>6.056</v>
      </c>
      <c r="I139" s="8">
        <v>6.6660000000000004</v>
      </c>
      <c r="J139" s="8">
        <v>6.4589999999999996</v>
      </c>
      <c r="K139" s="8">
        <v>4.1790000000000003</v>
      </c>
      <c r="L139" s="8">
        <v>5.7990000000000004</v>
      </c>
      <c r="M139" s="8">
        <v>4.1399999999999997</v>
      </c>
      <c r="N139" s="8">
        <v>4.048</v>
      </c>
      <c r="O139" s="8">
        <v>4.12</v>
      </c>
    </row>
    <row r="140" spans="1:15" x14ac:dyDescent="0.25">
      <c r="A140" s="5" t="s">
        <v>152</v>
      </c>
      <c r="B140" s="5">
        <v>32</v>
      </c>
      <c r="C140" s="5" t="s">
        <v>2</v>
      </c>
      <c r="D140" s="7">
        <v>157</v>
      </c>
      <c r="E140" s="8">
        <v>30.146000000000004</v>
      </c>
      <c r="F140" s="8">
        <v>3.4510000000000001</v>
      </c>
      <c r="G140" s="8">
        <v>3.9350000000000001</v>
      </c>
      <c r="H140" s="8">
        <v>6.2880000000000003</v>
      </c>
      <c r="I140" s="8">
        <v>6.1180000000000003</v>
      </c>
      <c r="J140" s="8">
        <v>6.0069999999999997</v>
      </c>
      <c r="K140" s="8">
        <v>4.2590000000000003</v>
      </c>
      <c r="L140" s="8">
        <v>6.03</v>
      </c>
      <c r="M140" s="8">
        <v>3.4209999999999998</v>
      </c>
      <c r="N140" s="8">
        <v>4.0490000000000004</v>
      </c>
      <c r="O140" s="8">
        <v>4.5609999999999999</v>
      </c>
    </row>
    <row r="141" spans="1:15" x14ac:dyDescent="0.25">
      <c r="A141" s="5" t="s">
        <v>153</v>
      </c>
      <c r="B141" s="5">
        <v>46</v>
      </c>
      <c r="C141" s="5" t="s">
        <v>2</v>
      </c>
      <c r="D141" s="7">
        <v>95</v>
      </c>
      <c r="E141" s="8">
        <v>28.933000000000003</v>
      </c>
      <c r="F141" s="8">
        <v>3.141</v>
      </c>
      <c r="G141" s="8">
        <v>7.33</v>
      </c>
      <c r="H141" s="8">
        <v>5.7350000000000003</v>
      </c>
      <c r="I141" s="8">
        <v>4.883</v>
      </c>
      <c r="J141" s="8">
        <v>5.6180000000000003</v>
      </c>
      <c r="K141" s="8">
        <v>4.4809999999999999</v>
      </c>
      <c r="L141" s="8">
        <v>5.9359999999999999</v>
      </c>
      <c r="M141" s="8">
        <v>4.5110000000000001</v>
      </c>
      <c r="N141" s="8">
        <v>4.1509999999999998</v>
      </c>
      <c r="O141" s="8">
        <v>4.4589999999999996</v>
      </c>
    </row>
    <row r="142" spans="1:15" x14ac:dyDescent="0.25">
      <c r="A142" s="5" t="s">
        <v>154</v>
      </c>
      <c r="B142" s="5">
        <v>25</v>
      </c>
      <c r="C142" s="5" t="s">
        <v>3</v>
      </c>
      <c r="D142" s="7">
        <v>172</v>
      </c>
      <c r="E142" s="8">
        <v>30.536000000000001</v>
      </c>
      <c r="F142" s="8">
        <v>3.8410000000000002</v>
      </c>
      <c r="G142" s="8">
        <v>3.5529999999999999</v>
      </c>
      <c r="H142" s="8">
        <v>5.1219999999999999</v>
      </c>
      <c r="I142" s="8">
        <v>5.0579999999999998</v>
      </c>
      <c r="J142" s="8">
        <v>5.8280000000000003</v>
      </c>
      <c r="K142" s="8">
        <v>3.665</v>
      </c>
      <c r="L142" s="8">
        <v>6.6420000000000003</v>
      </c>
      <c r="M142" s="8">
        <v>4.8550000000000004</v>
      </c>
      <c r="N142" s="8">
        <v>4.4169999999999998</v>
      </c>
      <c r="O142" s="8">
        <v>4.835</v>
      </c>
    </row>
    <row r="143" spans="1:15" x14ac:dyDescent="0.25">
      <c r="A143" s="5" t="s">
        <v>155</v>
      </c>
      <c r="B143" s="5">
        <v>22</v>
      </c>
      <c r="C143" s="5" t="s">
        <v>2</v>
      </c>
      <c r="D143" s="7">
        <v>227</v>
      </c>
      <c r="E143" s="8">
        <v>31.237000000000002</v>
      </c>
      <c r="F143" s="8">
        <v>4.5419999999999998</v>
      </c>
      <c r="G143" s="8">
        <v>5.6989999999999998</v>
      </c>
      <c r="H143" s="8">
        <v>5.2320000000000002</v>
      </c>
      <c r="I143" s="8">
        <v>5.4029999999999996</v>
      </c>
      <c r="J143" s="8">
        <v>4.6740000000000004</v>
      </c>
      <c r="K143" s="8">
        <v>3.931</v>
      </c>
      <c r="L143" s="8">
        <v>5.6630000000000003</v>
      </c>
      <c r="M143" s="8">
        <v>3.8220000000000001</v>
      </c>
      <c r="N143" s="8">
        <v>4.4240000000000004</v>
      </c>
      <c r="O143" s="8">
        <v>4.2690000000000001</v>
      </c>
    </row>
    <row r="144" spans="1:15" x14ac:dyDescent="0.25">
      <c r="A144" s="5" t="s">
        <v>156</v>
      </c>
      <c r="B144" s="5">
        <v>46</v>
      </c>
      <c r="C144" s="5" t="s">
        <v>3</v>
      </c>
      <c r="D144" s="7">
        <v>307</v>
      </c>
      <c r="E144" s="8">
        <v>32.421000000000006</v>
      </c>
      <c r="F144" s="8">
        <v>5.726</v>
      </c>
      <c r="G144" s="8">
        <v>3.2850000000000001</v>
      </c>
      <c r="H144" s="8">
        <v>5.649</v>
      </c>
      <c r="I144" s="8">
        <v>5.0410000000000004</v>
      </c>
      <c r="J144" s="8">
        <v>5.6020000000000003</v>
      </c>
      <c r="K144" s="8">
        <v>4.62</v>
      </c>
      <c r="L144" s="8">
        <v>5.6740000000000004</v>
      </c>
      <c r="M144" s="8">
        <v>4.0940000000000003</v>
      </c>
      <c r="N144" s="8">
        <v>4.4340000000000002</v>
      </c>
      <c r="O144" s="8">
        <v>4.3230000000000004</v>
      </c>
    </row>
    <row r="145" spans="1:15" x14ac:dyDescent="0.25">
      <c r="A145" s="5" t="s">
        <v>157</v>
      </c>
      <c r="B145" s="5">
        <v>64</v>
      </c>
      <c r="C145" s="5" t="s">
        <v>2</v>
      </c>
      <c r="D145" s="7">
        <v>280</v>
      </c>
      <c r="E145" s="8">
        <v>32.413000000000004</v>
      </c>
      <c r="F145" s="8">
        <v>5.718</v>
      </c>
      <c r="G145" s="8">
        <v>5.7960000000000003</v>
      </c>
      <c r="H145" s="8">
        <v>5.1219999999999999</v>
      </c>
      <c r="I145" s="8">
        <v>4.6980000000000004</v>
      </c>
      <c r="J145" s="8">
        <v>5.0750000000000002</v>
      </c>
      <c r="K145" s="8">
        <v>4.3959999999999999</v>
      </c>
      <c r="L145" s="8">
        <v>5.452</v>
      </c>
      <c r="M145" s="8">
        <v>4.3639999999999999</v>
      </c>
      <c r="N145" s="8">
        <v>3.8820000000000001</v>
      </c>
      <c r="O145" s="8">
        <v>4.3550000000000004</v>
      </c>
    </row>
    <row r="146" spans="1:15" x14ac:dyDescent="0.25">
      <c r="A146" s="5" t="s">
        <v>158</v>
      </c>
      <c r="B146" s="5">
        <v>82</v>
      </c>
      <c r="C146" s="5" t="s">
        <v>3</v>
      </c>
      <c r="D146" s="7">
        <v>235</v>
      </c>
      <c r="E146" s="8">
        <v>31.372000000000003</v>
      </c>
      <c r="F146" s="8">
        <v>4.6769999999999996</v>
      </c>
      <c r="G146" s="8">
        <v>4.5469999999999997</v>
      </c>
      <c r="H146" s="8">
        <v>4.5730000000000004</v>
      </c>
      <c r="I146" s="8">
        <v>6.3289999999999997</v>
      </c>
      <c r="J146" s="8">
        <v>5.766</v>
      </c>
      <c r="K146" s="8">
        <v>4.5780000000000003</v>
      </c>
      <c r="L146" s="8">
        <v>6.0949999999999998</v>
      </c>
      <c r="M146" s="8">
        <v>3.9820000000000002</v>
      </c>
      <c r="N146" s="8">
        <v>4.4610000000000003</v>
      </c>
      <c r="O146" s="8">
        <v>4.1689999999999996</v>
      </c>
    </row>
    <row r="147" spans="1:15" x14ac:dyDescent="0.25">
      <c r="A147" s="5" t="s">
        <v>159</v>
      </c>
      <c r="B147" s="5">
        <v>62</v>
      </c>
      <c r="C147" s="5" t="s">
        <v>2</v>
      </c>
      <c r="D147" s="7">
        <v>224</v>
      </c>
      <c r="E147" s="8">
        <v>31.182000000000002</v>
      </c>
      <c r="F147" s="8">
        <v>4.4870000000000001</v>
      </c>
      <c r="G147" s="8">
        <v>5.5359999999999996</v>
      </c>
      <c r="H147" s="8">
        <v>6.6479999999999997</v>
      </c>
      <c r="I147" s="8">
        <v>4.76</v>
      </c>
      <c r="J147" s="8">
        <v>5.21</v>
      </c>
      <c r="K147" s="8">
        <v>4.9909999999999997</v>
      </c>
      <c r="L147" s="8">
        <v>5.617</v>
      </c>
      <c r="M147" s="8">
        <v>4.2610000000000001</v>
      </c>
      <c r="N147" s="8">
        <v>4.6779999999999999</v>
      </c>
      <c r="O147" s="8">
        <v>4.3689999999999998</v>
      </c>
    </row>
    <row r="148" spans="1:15" x14ac:dyDescent="0.25">
      <c r="A148" s="5" t="s">
        <v>160</v>
      </c>
      <c r="B148" s="5">
        <v>25</v>
      </c>
      <c r="C148" s="5" t="s">
        <v>2</v>
      </c>
      <c r="D148" s="7">
        <v>361</v>
      </c>
      <c r="E148" s="8">
        <v>33.410000000000004</v>
      </c>
      <c r="F148" s="8">
        <v>6.7149999999999999</v>
      </c>
      <c r="G148" s="8">
        <v>6.0369999999999999</v>
      </c>
      <c r="H148" s="8">
        <v>6.5510000000000002</v>
      </c>
      <c r="I148" s="8">
        <v>4.867</v>
      </c>
      <c r="J148" s="8">
        <v>5.8739999999999997</v>
      </c>
      <c r="K148" s="8">
        <v>3.46</v>
      </c>
      <c r="L148" s="8">
        <v>5.5060000000000002</v>
      </c>
      <c r="M148" s="8">
        <v>4.6239999999999997</v>
      </c>
      <c r="N148" s="8">
        <v>4.2839999999999998</v>
      </c>
      <c r="O148" s="8">
        <v>4.6280000000000001</v>
      </c>
    </row>
    <row r="149" spans="1:15" x14ac:dyDescent="0.25">
      <c r="A149" s="5" t="s">
        <v>161</v>
      </c>
      <c r="B149" s="5">
        <v>44</v>
      </c>
      <c r="C149" s="5" t="s">
        <v>3</v>
      </c>
      <c r="D149" s="7">
        <v>280</v>
      </c>
      <c r="E149" s="8">
        <v>32.350999999999999</v>
      </c>
      <c r="F149" s="8">
        <v>5.6559999999999997</v>
      </c>
      <c r="G149" s="8">
        <v>4.7370000000000001</v>
      </c>
      <c r="H149" s="8">
        <v>5.2990000000000004</v>
      </c>
      <c r="I149" s="8">
        <v>6.4459999999999997</v>
      </c>
      <c r="J149" s="8">
        <v>4.7770000000000001</v>
      </c>
      <c r="K149" s="8">
        <v>3.49</v>
      </c>
      <c r="L149" s="8">
        <v>6.516</v>
      </c>
      <c r="M149" s="8">
        <v>3.4630000000000001</v>
      </c>
      <c r="N149" s="8">
        <v>4.2460000000000004</v>
      </c>
      <c r="O149" s="8">
        <v>4.4660000000000002</v>
      </c>
    </row>
    <row r="150" spans="1:15" x14ac:dyDescent="0.25">
      <c r="A150" s="5" t="s">
        <v>162</v>
      </c>
      <c r="B150" s="5">
        <v>53</v>
      </c>
      <c r="C150" s="5" t="s">
        <v>2</v>
      </c>
      <c r="D150" s="7">
        <v>246</v>
      </c>
      <c r="E150" s="8">
        <v>31.795000000000002</v>
      </c>
      <c r="F150" s="8">
        <v>5.0999999999999996</v>
      </c>
      <c r="G150" s="8">
        <v>5.585</v>
      </c>
      <c r="H150" s="8">
        <v>6.2930000000000001</v>
      </c>
      <c r="I150" s="8">
        <v>7.2320000000000002</v>
      </c>
      <c r="J150" s="8">
        <v>5.9779999999999998</v>
      </c>
      <c r="K150" s="8">
        <v>4.2759999999999998</v>
      </c>
      <c r="L150" s="8">
        <v>5.8230000000000004</v>
      </c>
      <c r="M150" s="8">
        <v>4.0709999999999997</v>
      </c>
      <c r="N150" s="8">
        <v>4.0309999999999997</v>
      </c>
      <c r="O150" s="8">
        <v>4.1230000000000002</v>
      </c>
    </row>
    <row r="151" spans="1:15" x14ac:dyDescent="0.25">
      <c r="A151" s="5" t="s">
        <v>163</v>
      </c>
      <c r="B151" s="5">
        <v>53</v>
      </c>
      <c r="C151" s="5" t="s">
        <v>2</v>
      </c>
      <c r="D151" s="7">
        <v>260</v>
      </c>
      <c r="E151" s="8">
        <v>31.753000000000004</v>
      </c>
      <c r="F151" s="8">
        <v>5.0579999999999998</v>
      </c>
      <c r="G151" s="8">
        <v>4.6109999999999998</v>
      </c>
      <c r="H151" s="8">
        <v>5.524</v>
      </c>
      <c r="I151" s="8">
        <v>6.15</v>
      </c>
      <c r="J151" s="8">
        <v>5.5579999999999998</v>
      </c>
      <c r="K151" s="8">
        <v>4.4880000000000004</v>
      </c>
      <c r="L151" s="8">
        <v>6.15</v>
      </c>
      <c r="M151" s="8">
        <v>3.9340000000000002</v>
      </c>
      <c r="N151" s="8">
        <v>4.2380000000000004</v>
      </c>
      <c r="O151" s="8">
        <v>4.5449999999999999</v>
      </c>
    </row>
    <row r="152" spans="1:15" x14ac:dyDescent="0.25">
      <c r="A152" s="5" t="s">
        <v>164</v>
      </c>
      <c r="B152" s="5">
        <v>43</v>
      </c>
      <c r="C152" s="5" t="s">
        <v>3</v>
      </c>
      <c r="D152" s="7">
        <v>311</v>
      </c>
      <c r="E152" s="8">
        <v>32.643000000000001</v>
      </c>
      <c r="F152" s="8">
        <v>5.9480000000000004</v>
      </c>
      <c r="G152" s="8">
        <v>6.5350000000000001</v>
      </c>
      <c r="H152" s="8">
        <v>7.0179999999999998</v>
      </c>
      <c r="I152" s="8">
        <v>7.5830000000000002</v>
      </c>
      <c r="J152" s="8">
        <v>5.9379999999999997</v>
      </c>
      <c r="K152" s="8">
        <v>4.1660000000000004</v>
      </c>
      <c r="L152" s="8">
        <v>5.3079999999999998</v>
      </c>
      <c r="M152" s="8">
        <v>5.0309999999999997</v>
      </c>
      <c r="N152" s="8">
        <v>4.4089999999999998</v>
      </c>
      <c r="O152" s="8">
        <v>4.4859999999999998</v>
      </c>
    </row>
    <row r="153" spans="1:15" x14ac:dyDescent="0.25">
      <c r="A153" s="5" t="s">
        <v>165</v>
      </c>
      <c r="B153" s="5">
        <v>60</v>
      </c>
      <c r="C153" s="5" t="s">
        <v>2</v>
      </c>
      <c r="D153" s="7">
        <v>115</v>
      </c>
      <c r="E153" s="8">
        <v>29.354000000000003</v>
      </c>
      <c r="F153" s="8">
        <v>3.835</v>
      </c>
      <c r="G153" s="8">
        <v>6.3440000000000003</v>
      </c>
      <c r="H153" s="8">
        <v>6.1210000000000004</v>
      </c>
      <c r="I153" s="8">
        <v>5.2670000000000003</v>
      </c>
      <c r="J153" s="8">
        <v>6.5469999999999997</v>
      </c>
      <c r="K153" s="8">
        <v>4.37</v>
      </c>
      <c r="L153" s="8">
        <v>5.5720000000000001</v>
      </c>
      <c r="M153" s="8">
        <v>4.2320000000000002</v>
      </c>
      <c r="N153" s="8">
        <v>3.931</v>
      </c>
      <c r="O153" s="8">
        <v>4.4619999999999997</v>
      </c>
    </row>
    <row r="154" spans="1:15" x14ac:dyDescent="0.25">
      <c r="A154" s="5" t="s">
        <v>166</v>
      </c>
      <c r="B154" s="5">
        <v>44</v>
      </c>
      <c r="C154" s="5" t="s">
        <v>3</v>
      </c>
      <c r="D154" s="7">
        <v>298</v>
      </c>
      <c r="E154" s="8">
        <v>32.410000000000004</v>
      </c>
      <c r="F154" s="8">
        <v>5.7149999999999999</v>
      </c>
      <c r="G154" s="8">
        <v>4.7910000000000004</v>
      </c>
      <c r="H154" s="8">
        <v>6.048</v>
      </c>
      <c r="I154" s="8">
        <v>7.3979999999999997</v>
      </c>
      <c r="J154" s="8">
        <v>5.7080000000000002</v>
      </c>
      <c r="K154" s="8">
        <v>3.69</v>
      </c>
      <c r="L154" s="8">
        <v>5.0270000000000001</v>
      </c>
      <c r="M154" s="8">
        <v>3.9049999999999998</v>
      </c>
      <c r="N154" s="8">
        <v>4.1829999999999998</v>
      </c>
      <c r="O154" s="8">
        <v>4.2450000000000001</v>
      </c>
    </row>
    <row r="155" spans="1:15" x14ac:dyDescent="0.25">
      <c r="A155" s="5" t="s">
        <v>167</v>
      </c>
      <c r="B155" s="5">
        <v>37</v>
      </c>
      <c r="C155" s="5" t="s">
        <v>3</v>
      </c>
      <c r="D155" s="7">
        <v>308</v>
      </c>
      <c r="E155" s="8">
        <v>32.745000000000005</v>
      </c>
      <c r="F155" s="8">
        <v>6.05</v>
      </c>
      <c r="G155" s="8">
        <v>7.577</v>
      </c>
      <c r="H155" s="8">
        <v>5.0839999999999996</v>
      </c>
      <c r="I155" s="8">
        <v>5.2210000000000001</v>
      </c>
      <c r="J155" s="8">
        <v>5.9950000000000001</v>
      </c>
      <c r="K155" s="8">
        <v>3.6589999999999998</v>
      </c>
      <c r="L155" s="8">
        <v>6.38</v>
      </c>
      <c r="M155" s="8">
        <v>4.3070000000000004</v>
      </c>
      <c r="N155" s="8">
        <v>4.2489999999999997</v>
      </c>
      <c r="O155" s="8">
        <v>4.4180000000000001</v>
      </c>
    </row>
    <row r="156" spans="1:15" x14ac:dyDescent="0.25">
      <c r="A156" s="5" t="s">
        <v>168</v>
      </c>
      <c r="B156" s="5">
        <v>28</v>
      </c>
      <c r="C156" s="5" t="s">
        <v>2</v>
      </c>
      <c r="D156" s="7">
        <v>367</v>
      </c>
      <c r="E156" s="8">
        <v>33.587000000000003</v>
      </c>
      <c r="F156" s="8">
        <v>6.8920000000000003</v>
      </c>
      <c r="G156" s="8">
        <v>3.1259999999999999</v>
      </c>
      <c r="H156" s="8">
        <v>5.8789999999999996</v>
      </c>
      <c r="I156" s="8">
        <v>6.5229999999999997</v>
      </c>
      <c r="J156" s="8">
        <v>5.4260000000000002</v>
      </c>
      <c r="K156" s="8">
        <v>4.0149999999999997</v>
      </c>
      <c r="L156" s="8">
        <v>5.1689999999999996</v>
      </c>
      <c r="M156" s="8">
        <v>4.306</v>
      </c>
      <c r="N156" s="8">
        <v>4.6639999999999997</v>
      </c>
      <c r="O156" s="8">
        <v>4.4539999999999997</v>
      </c>
    </row>
    <row r="157" spans="1:15" x14ac:dyDescent="0.25">
      <c r="A157" s="5" t="s">
        <v>169</v>
      </c>
      <c r="B157" s="5">
        <v>55</v>
      </c>
      <c r="C157" s="5" t="s">
        <v>2</v>
      </c>
      <c r="D157" s="7">
        <v>248</v>
      </c>
      <c r="E157" s="8">
        <v>31.576000000000004</v>
      </c>
      <c r="F157" s="8">
        <v>4.8810000000000002</v>
      </c>
      <c r="G157" s="8">
        <v>6.2720000000000002</v>
      </c>
      <c r="H157" s="8">
        <v>6.14</v>
      </c>
      <c r="I157" s="8">
        <v>6.6619999999999999</v>
      </c>
      <c r="J157" s="8">
        <v>7.3440000000000003</v>
      </c>
      <c r="K157" s="8">
        <v>3.8420000000000001</v>
      </c>
      <c r="L157" s="8">
        <v>6.0060000000000002</v>
      </c>
      <c r="M157" s="8">
        <v>4.3860000000000001</v>
      </c>
      <c r="N157" s="8">
        <v>4.6260000000000003</v>
      </c>
      <c r="O157" s="8">
        <v>3.9860000000000002</v>
      </c>
    </row>
    <row r="158" spans="1:15" x14ac:dyDescent="0.25">
      <c r="A158" s="5" t="s">
        <v>170</v>
      </c>
      <c r="B158" s="5">
        <v>23</v>
      </c>
      <c r="C158" s="5" t="s">
        <v>2</v>
      </c>
      <c r="D158" s="7">
        <v>274</v>
      </c>
      <c r="E158" s="8">
        <v>32.182000000000002</v>
      </c>
      <c r="F158" s="8">
        <v>5.4870000000000001</v>
      </c>
      <c r="G158" s="8">
        <v>5.657</v>
      </c>
      <c r="H158" s="8">
        <v>5.2619999999999996</v>
      </c>
      <c r="I158" s="8">
        <v>6.25</v>
      </c>
      <c r="J158" s="8">
        <v>6.4379999999999997</v>
      </c>
      <c r="K158" s="8">
        <v>4.0830000000000002</v>
      </c>
      <c r="L158" s="8">
        <v>4.8049999999999997</v>
      </c>
      <c r="M158" s="8">
        <v>4.8540000000000001</v>
      </c>
      <c r="N158" s="8">
        <v>4.8289999999999997</v>
      </c>
      <c r="O158" s="8">
        <v>4.532</v>
      </c>
    </row>
    <row r="159" spans="1:15" x14ac:dyDescent="0.25">
      <c r="A159" s="5" t="s">
        <v>171</v>
      </c>
      <c r="B159" s="5">
        <v>40</v>
      </c>
      <c r="C159" s="5" t="s">
        <v>2</v>
      </c>
      <c r="D159" s="7">
        <v>345</v>
      </c>
      <c r="E159" s="8">
        <v>32.969000000000001</v>
      </c>
      <c r="F159" s="8">
        <v>6.274</v>
      </c>
      <c r="G159" s="8">
        <v>5.13</v>
      </c>
      <c r="H159" s="8">
        <v>7.2110000000000003</v>
      </c>
      <c r="I159" s="8">
        <v>5.9269999999999996</v>
      </c>
      <c r="J159" s="8">
        <v>5.3689999999999998</v>
      </c>
      <c r="K159" s="8">
        <v>4.2279999999999998</v>
      </c>
      <c r="L159" s="8">
        <v>5.6820000000000004</v>
      </c>
      <c r="M159" s="8">
        <v>4.5789999999999997</v>
      </c>
      <c r="N159" s="8">
        <v>3.9910000000000001</v>
      </c>
      <c r="O159" s="8">
        <v>4.3079999999999998</v>
      </c>
    </row>
    <row r="160" spans="1:15" x14ac:dyDescent="0.25">
      <c r="A160" s="5" t="s">
        <v>172</v>
      </c>
      <c r="B160" s="5">
        <v>64</v>
      </c>
      <c r="C160" s="5" t="s">
        <v>2</v>
      </c>
      <c r="D160" s="7">
        <v>383</v>
      </c>
      <c r="E160" s="8">
        <v>33.823999999999998</v>
      </c>
      <c r="F160" s="8">
        <v>7.1289999999999996</v>
      </c>
      <c r="G160" s="8">
        <v>5.931</v>
      </c>
      <c r="H160" s="8">
        <v>7.3120000000000003</v>
      </c>
      <c r="I160" s="8">
        <v>7.5140000000000002</v>
      </c>
      <c r="J160" s="8">
        <v>5.8470000000000004</v>
      </c>
      <c r="K160" s="8">
        <v>3.35</v>
      </c>
      <c r="L160" s="8">
        <v>6.5330000000000004</v>
      </c>
      <c r="M160" s="8">
        <v>4.6900000000000004</v>
      </c>
      <c r="N160" s="8">
        <v>4.6020000000000003</v>
      </c>
      <c r="O160" s="8">
        <v>4.5250000000000004</v>
      </c>
    </row>
    <row r="161" spans="1:15" x14ac:dyDescent="0.25">
      <c r="A161" s="5" t="s">
        <v>173</v>
      </c>
      <c r="B161" s="5">
        <v>63</v>
      </c>
      <c r="C161" s="5" t="s">
        <v>2</v>
      </c>
      <c r="D161" s="7">
        <v>187</v>
      </c>
      <c r="E161" s="8">
        <v>30.785000000000004</v>
      </c>
      <c r="F161" s="8">
        <v>4.09</v>
      </c>
      <c r="G161" s="8">
        <v>6.2469999999999999</v>
      </c>
      <c r="H161" s="8">
        <v>5.15</v>
      </c>
      <c r="I161" s="8">
        <v>5.4429999999999996</v>
      </c>
      <c r="J161" s="8">
        <v>6.4969999999999999</v>
      </c>
      <c r="K161" s="8">
        <v>3.9980000000000002</v>
      </c>
      <c r="L161" s="8">
        <v>6.0960000000000001</v>
      </c>
      <c r="M161" s="8">
        <v>3.8279999999999998</v>
      </c>
      <c r="N161" s="8">
        <v>4.0570000000000004</v>
      </c>
      <c r="O161" s="8">
        <v>4.476</v>
      </c>
    </row>
    <row r="162" spans="1:15" x14ac:dyDescent="0.25">
      <c r="A162" s="5" t="s">
        <v>174</v>
      </c>
      <c r="B162" s="5">
        <v>29</v>
      </c>
      <c r="C162" s="5" t="s">
        <v>2</v>
      </c>
      <c r="D162" s="7">
        <v>95</v>
      </c>
      <c r="E162" s="8">
        <v>28.954000000000004</v>
      </c>
      <c r="F162" s="8">
        <v>3.7530000000000001</v>
      </c>
      <c r="G162" s="8">
        <v>8.2449999999999992</v>
      </c>
      <c r="H162" s="8">
        <v>6.2160000000000002</v>
      </c>
      <c r="I162" s="8">
        <v>7.7279999999999998</v>
      </c>
      <c r="J162" s="8">
        <v>6.3049999999999997</v>
      </c>
      <c r="K162" s="8">
        <v>5.1559999999999997</v>
      </c>
      <c r="L162" s="8">
        <v>6.6619999999999999</v>
      </c>
      <c r="M162" s="8">
        <v>3.6619999999999999</v>
      </c>
      <c r="N162" s="8">
        <v>4.7549999999999999</v>
      </c>
      <c r="O162" s="8">
        <v>4.4489999999999998</v>
      </c>
    </row>
    <row r="163" spans="1:15" x14ac:dyDescent="0.25">
      <c r="A163" s="5" t="s">
        <v>175</v>
      </c>
      <c r="B163" s="5">
        <v>30</v>
      </c>
      <c r="C163" s="5" t="s">
        <v>3</v>
      </c>
      <c r="D163" s="7">
        <v>245</v>
      </c>
      <c r="E163" s="8">
        <v>31.723000000000003</v>
      </c>
      <c r="F163" s="8">
        <v>5.0279999999999996</v>
      </c>
      <c r="G163" s="8">
        <v>4.8860000000000001</v>
      </c>
      <c r="H163" s="8">
        <v>7.21</v>
      </c>
      <c r="I163" s="8">
        <v>6.23</v>
      </c>
      <c r="J163" s="8">
        <v>6.452</v>
      </c>
      <c r="K163" s="8">
        <v>3.677</v>
      </c>
      <c r="L163" s="8">
        <v>6.14</v>
      </c>
      <c r="M163" s="8">
        <v>3.7690000000000001</v>
      </c>
      <c r="N163" s="8">
        <v>3.98</v>
      </c>
      <c r="O163" s="8">
        <v>4.4909999999999997</v>
      </c>
    </row>
    <row r="164" spans="1:15" x14ac:dyDescent="0.25">
      <c r="A164" s="5" t="s">
        <v>176</v>
      </c>
      <c r="B164" s="5">
        <v>79</v>
      </c>
      <c r="C164" s="5" t="s">
        <v>2</v>
      </c>
      <c r="D164" s="7">
        <v>286</v>
      </c>
      <c r="E164" s="8">
        <v>32.135000000000005</v>
      </c>
      <c r="F164" s="8">
        <v>5.44</v>
      </c>
      <c r="G164" s="8">
        <v>6.14</v>
      </c>
      <c r="H164" s="8">
        <v>4.6929999999999996</v>
      </c>
      <c r="I164" s="8">
        <v>7.1120000000000001</v>
      </c>
      <c r="J164" s="8">
        <v>5.7610000000000001</v>
      </c>
      <c r="K164" s="8">
        <v>3.234</v>
      </c>
      <c r="L164" s="8">
        <v>5.12</v>
      </c>
      <c r="M164" s="8">
        <v>3.7509999999999999</v>
      </c>
      <c r="N164" s="8">
        <v>4.0439999999999996</v>
      </c>
      <c r="O164" s="8">
        <v>4.452</v>
      </c>
    </row>
    <row r="165" spans="1:15" x14ac:dyDescent="0.25">
      <c r="A165" s="5" t="s">
        <v>177</v>
      </c>
      <c r="B165" s="5">
        <v>77</v>
      </c>
      <c r="C165" s="5" t="s">
        <v>3</v>
      </c>
      <c r="D165" s="7">
        <v>319</v>
      </c>
      <c r="E165" s="8">
        <v>32.634</v>
      </c>
      <c r="F165" s="8">
        <v>5.9390000000000001</v>
      </c>
      <c r="G165" s="8">
        <v>6.3869999999999996</v>
      </c>
      <c r="H165" s="8">
        <v>7.1890000000000001</v>
      </c>
      <c r="I165" s="8">
        <v>4.87</v>
      </c>
      <c r="J165" s="8">
        <v>6.3159999999999998</v>
      </c>
      <c r="K165" s="8">
        <v>4.2670000000000003</v>
      </c>
      <c r="L165" s="8">
        <v>5.8689999999999998</v>
      </c>
      <c r="M165" s="8">
        <v>4.2850000000000001</v>
      </c>
      <c r="N165" s="8">
        <v>4.3689999999999998</v>
      </c>
      <c r="O165" s="8">
        <v>4.1639999999999997</v>
      </c>
    </row>
    <row r="166" spans="1:15" x14ac:dyDescent="0.25">
      <c r="A166" s="5" t="s">
        <v>178</v>
      </c>
      <c r="B166" s="5">
        <v>60</v>
      </c>
      <c r="C166" s="5" t="s">
        <v>2</v>
      </c>
      <c r="D166" s="7">
        <v>286</v>
      </c>
      <c r="E166" s="8">
        <v>32.396000000000001</v>
      </c>
      <c r="F166" s="8">
        <v>5.7009999999999996</v>
      </c>
      <c r="G166" s="8">
        <v>5.4980000000000002</v>
      </c>
      <c r="H166" s="8">
        <v>4.7149999999999999</v>
      </c>
      <c r="I166" s="8">
        <v>6.3840000000000003</v>
      </c>
      <c r="J166" s="8">
        <v>7.4889999999999999</v>
      </c>
      <c r="K166" s="8">
        <v>4.032</v>
      </c>
      <c r="L166" s="8">
        <v>5.4619999999999997</v>
      </c>
      <c r="M166" s="8">
        <v>4.3419999999999996</v>
      </c>
      <c r="N166" s="8">
        <v>4.093</v>
      </c>
      <c r="O166" s="8">
        <v>4.468</v>
      </c>
    </row>
    <row r="167" spans="1:15" x14ac:dyDescent="0.25">
      <c r="A167" s="5" t="s">
        <v>179</v>
      </c>
      <c r="B167" s="5">
        <v>82</v>
      </c>
      <c r="C167" s="5" t="s">
        <v>2</v>
      </c>
      <c r="D167" s="7">
        <v>256</v>
      </c>
      <c r="E167" s="8">
        <v>31.612000000000002</v>
      </c>
      <c r="F167" s="8">
        <v>4.9169999999999998</v>
      </c>
      <c r="G167" s="8">
        <v>5.6420000000000003</v>
      </c>
      <c r="H167" s="8">
        <v>6.5640000000000001</v>
      </c>
      <c r="I167" s="8">
        <v>6.1040000000000001</v>
      </c>
      <c r="J167" s="8">
        <v>5.7329999999999997</v>
      </c>
      <c r="K167" s="8">
        <v>3.4790000000000001</v>
      </c>
      <c r="L167" s="8">
        <v>5.83</v>
      </c>
      <c r="M167" s="8">
        <v>4.1749999999999998</v>
      </c>
      <c r="N167" s="8">
        <v>4.8319999999999999</v>
      </c>
      <c r="O167" s="8">
        <v>4.3</v>
      </c>
    </row>
    <row r="168" spans="1:15" x14ac:dyDescent="0.25">
      <c r="A168" s="5" t="s">
        <v>180</v>
      </c>
      <c r="B168" s="5">
        <v>22</v>
      </c>
      <c r="C168" s="5" t="s">
        <v>3</v>
      </c>
      <c r="D168" s="7">
        <v>331</v>
      </c>
      <c r="E168" s="8">
        <v>32.960000000000008</v>
      </c>
      <c r="F168" s="8">
        <v>6.2649999999999997</v>
      </c>
      <c r="G168" s="8">
        <v>6.5</v>
      </c>
      <c r="H168" s="8">
        <v>5.9790000000000001</v>
      </c>
      <c r="I168" s="8">
        <v>5.9240000000000004</v>
      </c>
      <c r="J168" s="8">
        <v>5.923</v>
      </c>
      <c r="K168" s="8">
        <v>5.4180000000000001</v>
      </c>
      <c r="L168" s="8">
        <v>5.9320000000000004</v>
      </c>
      <c r="M168" s="8">
        <v>3.73</v>
      </c>
      <c r="N168" s="8">
        <v>4.1630000000000003</v>
      </c>
      <c r="O168" s="8">
        <v>4.22</v>
      </c>
    </row>
    <row r="169" spans="1:15" x14ac:dyDescent="0.25">
      <c r="A169" s="5" t="s">
        <v>181</v>
      </c>
      <c r="B169" s="5">
        <v>54</v>
      </c>
      <c r="C169" s="5" t="s">
        <v>2</v>
      </c>
      <c r="D169" s="7">
        <v>298</v>
      </c>
      <c r="E169" s="8">
        <v>32.335999999999999</v>
      </c>
      <c r="F169" s="8">
        <v>5.641</v>
      </c>
      <c r="G169" s="8">
        <v>5.1289999999999996</v>
      </c>
      <c r="H169" s="8">
        <v>5.367</v>
      </c>
      <c r="I169" s="8">
        <v>5.093</v>
      </c>
      <c r="J169" s="8">
        <v>5.5140000000000002</v>
      </c>
      <c r="K169" s="8">
        <v>3.9710000000000001</v>
      </c>
      <c r="L169" s="8">
        <v>6.0670000000000002</v>
      </c>
      <c r="M169" s="8">
        <v>4.0110000000000001</v>
      </c>
      <c r="N169" s="8">
        <v>4.4669999999999996</v>
      </c>
      <c r="O169" s="8">
        <v>4.6210000000000004</v>
      </c>
    </row>
    <row r="170" spans="1:15" x14ac:dyDescent="0.25">
      <c r="A170" s="5" t="s">
        <v>182</v>
      </c>
      <c r="B170" s="5">
        <v>48</v>
      </c>
      <c r="C170" s="5" t="s">
        <v>2</v>
      </c>
      <c r="D170" s="7">
        <v>277</v>
      </c>
      <c r="E170" s="8">
        <v>31.822000000000003</v>
      </c>
      <c r="F170" s="8">
        <v>5.1269999999999998</v>
      </c>
      <c r="G170" s="8">
        <v>5.92</v>
      </c>
      <c r="H170" s="8">
        <v>5.3479999999999999</v>
      </c>
      <c r="I170" s="8">
        <v>5.2050000000000001</v>
      </c>
      <c r="J170" s="8">
        <v>5.7380000000000004</v>
      </c>
      <c r="K170" s="8">
        <v>4.4950000000000001</v>
      </c>
      <c r="L170" s="8">
        <v>5.867</v>
      </c>
      <c r="M170" s="8">
        <v>4.484</v>
      </c>
      <c r="N170" s="8">
        <v>4.4119999999999999</v>
      </c>
      <c r="O170" s="8">
        <v>4.5880000000000001</v>
      </c>
    </row>
    <row r="171" spans="1:15" x14ac:dyDescent="0.25">
      <c r="A171" s="5" t="s">
        <v>183</v>
      </c>
      <c r="B171" s="5">
        <v>26</v>
      </c>
      <c r="C171" s="5" t="s">
        <v>3</v>
      </c>
      <c r="D171" s="7">
        <v>286</v>
      </c>
      <c r="E171" s="8">
        <v>32.300000000000004</v>
      </c>
      <c r="F171" s="8">
        <v>5.6050000000000004</v>
      </c>
      <c r="G171" s="8">
        <v>6.327</v>
      </c>
      <c r="H171" s="8">
        <v>6.2969999999999997</v>
      </c>
      <c r="I171" s="8">
        <v>5.3159999999999998</v>
      </c>
      <c r="J171" s="8">
        <v>5.758</v>
      </c>
      <c r="K171" s="8">
        <v>3.6960000000000002</v>
      </c>
      <c r="L171" s="8">
        <v>6.0259999999999998</v>
      </c>
      <c r="M171" s="8">
        <v>4.3639999999999999</v>
      </c>
      <c r="N171" s="8">
        <v>4.3639999999999999</v>
      </c>
      <c r="O171" s="8">
        <v>4.4409999999999998</v>
      </c>
    </row>
    <row r="172" spans="1:15" x14ac:dyDescent="0.25">
      <c r="A172" s="5" t="s">
        <v>184</v>
      </c>
      <c r="B172" s="5">
        <v>68</v>
      </c>
      <c r="C172" s="5" t="s">
        <v>2</v>
      </c>
      <c r="D172" s="7">
        <v>350</v>
      </c>
      <c r="E172" s="8">
        <v>33.466000000000001</v>
      </c>
      <c r="F172" s="8">
        <v>6.7709999999999999</v>
      </c>
      <c r="G172" s="8">
        <v>5.8029999999999999</v>
      </c>
      <c r="H172" s="8">
        <v>6.0940000000000003</v>
      </c>
      <c r="I172" s="8">
        <v>5.1159999999999997</v>
      </c>
      <c r="J172" s="8">
        <v>6.9370000000000003</v>
      </c>
      <c r="K172" s="8">
        <v>3.117</v>
      </c>
      <c r="L172" s="8">
        <v>5.8940000000000001</v>
      </c>
      <c r="M172" s="8">
        <v>4.0599999999999996</v>
      </c>
      <c r="N172" s="8">
        <v>4.319</v>
      </c>
      <c r="O172" s="8">
        <v>4.1260000000000003</v>
      </c>
    </row>
    <row r="173" spans="1:15" x14ac:dyDescent="0.25">
      <c r="A173" s="5" t="s">
        <v>185</v>
      </c>
      <c r="B173" s="5">
        <v>46</v>
      </c>
      <c r="C173" s="5" t="s">
        <v>2</v>
      </c>
      <c r="D173" s="7">
        <v>303</v>
      </c>
      <c r="E173" s="8">
        <v>32.694000000000003</v>
      </c>
      <c r="F173" s="8">
        <v>5.9989999999999997</v>
      </c>
      <c r="G173" s="8">
        <v>5.2450000000000001</v>
      </c>
      <c r="H173" s="8">
        <v>6.9530000000000003</v>
      </c>
      <c r="I173" s="8">
        <v>6.8789999999999996</v>
      </c>
      <c r="J173" s="8">
        <v>5.1269999999999998</v>
      </c>
      <c r="K173" s="8">
        <v>3.714</v>
      </c>
      <c r="L173" s="8">
        <v>5.9870000000000001</v>
      </c>
      <c r="M173" s="8">
        <v>4.4080000000000004</v>
      </c>
      <c r="N173" s="8">
        <v>4.2119999999999997</v>
      </c>
      <c r="O173" s="8">
        <v>4.3659999999999997</v>
      </c>
    </row>
    <row r="174" spans="1:15" x14ac:dyDescent="0.25">
      <c r="A174" s="5" t="s">
        <v>186</v>
      </c>
      <c r="B174" s="5">
        <v>57</v>
      </c>
      <c r="C174" s="5" t="s">
        <v>2</v>
      </c>
      <c r="D174" s="7">
        <v>251</v>
      </c>
      <c r="E174" s="8">
        <v>31.798000000000002</v>
      </c>
      <c r="F174" s="8">
        <v>5.1029999999999998</v>
      </c>
      <c r="G174" s="8">
        <v>5.6769999999999996</v>
      </c>
      <c r="H174" s="8">
        <v>6.0259999999999998</v>
      </c>
      <c r="I174" s="8">
        <v>5.9539999999999997</v>
      </c>
      <c r="J174" s="8">
        <v>6.7009999999999996</v>
      </c>
      <c r="K174" s="8">
        <v>3.827</v>
      </c>
      <c r="L174" s="8">
        <v>5.5650000000000004</v>
      </c>
      <c r="M174" s="8">
        <v>3.7690000000000001</v>
      </c>
      <c r="N174" s="8">
        <v>4.3159999999999998</v>
      </c>
      <c r="O174" s="8">
        <v>4.4429999999999996</v>
      </c>
    </row>
    <row r="175" spans="1:15" x14ac:dyDescent="0.25">
      <c r="A175" s="5" t="s">
        <v>187</v>
      </c>
      <c r="B175" s="5">
        <v>58</v>
      </c>
      <c r="C175" s="5" t="s">
        <v>3</v>
      </c>
      <c r="D175" s="7">
        <v>175</v>
      </c>
      <c r="E175" s="8">
        <v>30.405000000000001</v>
      </c>
      <c r="F175" s="8">
        <v>3.71</v>
      </c>
      <c r="G175" s="8">
        <v>3.7040000000000002</v>
      </c>
      <c r="H175" s="8">
        <v>7.726</v>
      </c>
      <c r="I175" s="8">
        <v>4.5289999999999999</v>
      </c>
      <c r="J175" s="8">
        <v>6.0069999999999997</v>
      </c>
      <c r="K175" s="8">
        <v>4.5819999999999999</v>
      </c>
      <c r="L175" s="8">
        <v>5.0650000000000004</v>
      </c>
      <c r="M175" s="8">
        <v>3.5950000000000002</v>
      </c>
      <c r="N175" s="8">
        <v>4.4160000000000004</v>
      </c>
      <c r="O175" s="8">
        <v>4.3529999999999998</v>
      </c>
    </row>
    <row r="176" spans="1:15" x14ac:dyDescent="0.25">
      <c r="A176" s="5" t="s">
        <v>188</v>
      </c>
      <c r="B176" s="5">
        <v>28</v>
      </c>
      <c r="C176" s="5" t="s">
        <v>2</v>
      </c>
      <c r="D176" s="7">
        <v>269</v>
      </c>
      <c r="E176" s="8">
        <v>31.928000000000004</v>
      </c>
      <c r="F176" s="8">
        <v>5.2329999999999997</v>
      </c>
      <c r="G176" s="8">
        <v>6.0979999999999999</v>
      </c>
      <c r="H176" s="8">
        <v>6.0739999999999998</v>
      </c>
      <c r="I176" s="8">
        <v>7.0839999999999996</v>
      </c>
      <c r="J176" s="8">
        <v>6.0460000000000003</v>
      </c>
      <c r="K176" s="8">
        <v>3.6280000000000001</v>
      </c>
      <c r="L176" s="8">
        <v>6.3449999999999998</v>
      </c>
      <c r="M176" s="8">
        <v>4.1890000000000001</v>
      </c>
      <c r="N176" s="8">
        <v>4.0430000000000001</v>
      </c>
      <c r="O176" s="8">
        <v>4.2880000000000003</v>
      </c>
    </row>
    <row r="177" spans="1:15" x14ac:dyDescent="0.25">
      <c r="A177" s="5" t="s">
        <v>189</v>
      </c>
      <c r="B177" s="5">
        <v>40</v>
      </c>
      <c r="C177" s="5" t="s">
        <v>2</v>
      </c>
      <c r="D177" s="7">
        <v>295</v>
      </c>
      <c r="E177" s="8">
        <v>32.373000000000005</v>
      </c>
      <c r="F177" s="8">
        <v>5.6779999999999999</v>
      </c>
      <c r="G177" s="8">
        <v>6.8739999999999997</v>
      </c>
      <c r="H177" s="8">
        <v>4.5439999999999996</v>
      </c>
      <c r="I177" s="8">
        <v>6.0289999999999999</v>
      </c>
      <c r="J177" s="8">
        <v>5.3959999999999999</v>
      </c>
      <c r="K177" s="8">
        <v>3.8839999999999999</v>
      </c>
      <c r="L177" s="8">
        <v>5.8730000000000002</v>
      </c>
      <c r="M177" s="8">
        <v>3.84</v>
      </c>
      <c r="N177" s="8">
        <v>4.3449999999999998</v>
      </c>
      <c r="O177" s="8">
        <v>4.6900000000000004</v>
      </c>
    </row>
    <row r="178" spans="1:15" x14ac:dyDescent="0.25">
      <c r="A178" s="5" t="s">
        <v>190</v>
      </c>
      <c r="B178" s="5">
        <v>24</v>
      </c>
      <c r="C178" s="5" t="s">
        <v>2</v>
      </c>
      <c r="D178" s="7">
        <v>264</v>
      </c>
      <c r="E178" s="8">
        <v>31.761000000000003</v>
      </c>
      <c r="F178" s="8">
        <v>5.0659999999999998</v>
      </c>
      <c r="G178" s="8">
        <v>4.6980000000000004</v>
      </c>
      <c r="H178" s="8">
        <v>5.6459999999999999</v>
      </c>
      <c r="I178" s="8">
        <v>6.883</v>
      </c>
      <c r="J178" s="8">
        <v>4.7060000000000004</v>
      </c>
      <c r="K178" s="8">
        <v>4.4619999999999997</v>
      </c>
      <c r="L178" s="8">
        <v>6.125</v>
      </c>
      <c r="M178" s="8">
        <v>4.1390000000000002</v>
      </c>
      <c r="N178" s="8">
        <v>4.5590000000000002</v>
      </c>
      <c r="O178" s="8">
        <v>4.7210000000000001</v>
      </c>
    </row>
    <row r="179" spans="1:15" x14ac:dyDescent="0.25">
      <c r="A179" s="5" t="s">
        <v>191</v>
      </c>
      <c r="B179" s="5">
        <v>63</v>
      </c>
      <c r="C179" s="5" t="s">
        <v>2</v>
      </c>
      <c r="D179" s="7">
        <v>310</v>
      </c>
      <c r="E179" s="8">
        <v>32.660000000000004</v>
      </c>
      <c r="F179" s="8">
        <v>5.9649999999999999</v>
      </c>
      <c r="G179" s="8">
        <v>4.9320000000000004</v>
      </c>
      <c r="H179" s="8">
        <v>5.1219999999999999</v>
      </c>
      <c r="I179" s="8">
        <v>5.9850000000000003</v>
      </c>
      <c r="J179" s="8">
        <v>5.5129999999999999</v>
      </c>
      <c r="K179" s="8">
        <v>4.1379999999999999</v>
      </c>
      <c r="L179" s="8">
        <v>6.07</v>
      </c>
      <c r="M179" s="8">
        <v>4.4210000000000003</v>
      </c>
      <c r="N179" s="8">
        <v>4.4880000000000004</v>
      </c>
      <c r="O179" s="8">
        <v>4.3940000000000001</v>
      </c>
    </row>
    <row r="180" spans="1:15" x14ac:dyDescent="0.25">
      <c r="A180" s="5" t="s">
        <v>192</v>
      </c>
      <c r="B180" s="5">
        <v>38</v>
      </c>
      <c r="C180" s="5" t="s">
        <v>3</v>
      </c>
      <c r="D180" s="7">
        <v>229</v>
      </c>
      <c r="E180" s="8">
        <v>31.074000000000002</v>
      </c>
      <c r="F180" s="8">
        <v>4.3789999999999996</v>
      </c>
      <c r="G180" s="8">
        <v>4.7910000000000004</v>
      </c>
      <c r="H180" s="8">
        <v>7.4939999999999998</v>
      </c>
      <c r="I180" s="8">
        <v>5.7910000000000004</v>
      </c>
      <c r="J180" s="8">
        <v>5.2</v>
      </c>
      <c r="K180" s="8">
        <v>3.661</v>
      </c>
      <c r="L180" s="8">
        <v>6.78</v>
      </c>
      <c r="M180" s="8">
        <v>4.2809999999999997</v>
      </c>
      <c r="N180" s="8">
        <v>4.54</v>
      </c>
      <c r="O180" s="8">
        <v>4.3650000000000002</v>
      </c>
    </row>
    <row r="181" spans="1:15" x14ac:dyDescent="0.25">
      <c r="A181" s="5" t="s">
        <v>193</v>
      </c>
      <c r="B181" s="5">
        <v>53</v>
      </c>
      <c r="C181" s="5" t="s">
        <v>3</v>
      </c>
      <c r="D181" s="7">
        <v>258</v>
      </c>
      <c r="E181" s="8">
        <v>31.836000000000002</v>
      </c>
      <c r="F181" s="8">
        <v>5.141</v>
      </c>
      <c r="G181" s="8">
        <v>4.5309999999999997</v>
      </c>
      <c r="H181" s="8">
        <v>5.407</v>
      </c>
      <c r="I181" s="8">
        <v>6.9059999999999997</v>
      </c>
      <c r="J181" s="8">
        <v>6.1079999999999997</v>
      </c>
      <c r="K181" s="8">
        <v>3.2090000000000001</v>
      </c>
      <c r="L181" s="8">
        <v>6.3929999999999998</v>
      </c>
      <c r="M181" s="8">
        <v>4.1859999999999999</v>
      </c>
      <c r="N181" s="8">
        <v>4.4660000000000002</v>
      </c>
      <c r="O181" s="8">
        <v>4.4690000000000003</v>
      </c>
    </row>
    <row r="182" spans="1:15" x14ac:dyDescent="0.25">
      <c r="A182" s="5" t="s">
        <v>194</v>
      </c>
      <c r="B182" s="5">
        <v>71</v>
      </c>
      <c r="C182" s="5" t="s">
        <v>2</v>
      </c>
      <c r="D182" s="7">
        <v>339</v>
      </c>
      <c r="E182" s="8">
        <v>32.727000000000004</v>
      </c>
      <c r="F182" s="8">
        <v>6.032</v>
      </c>
      <c r="G182" s="8">
        <v>6.1159999999999997</v>
      </c>
      <c r="H182" s="8">
        <v>7.6120000000000001</v>
      </c>
      <c r="I182" s="8">
        <v>5.1120000000000001</v>
      </c>
      <c r="J182" s="8">
        <v>6.742</v>
      </c>
      <c r="K182" s="8">
        <v>4.6070000000000002</v>
      </c>
      <c r="L182" s="8">
        <v>5.907</v>
      </c>
      <c r="M182" s="8">
        <v>4.1269999999999998</v>
      </c>
      <c r="N182" s="8">
        <v>3.9460000000000002</v>
      </c>
      <c r="O182" s="8">
        <v>4.7910000000000004</v>
      </c>
    </row>
    <row r="183" spans="1:15" x14ac:dyDescent="0.25">
      <c r="A183" s="5" t="s">
        <v>195</v>
      </c>
      <c r="B183" s="5">
        <v>74</v>
      </c>
      <c r="C183" s="5" t="s">
        <v>2</v>
      </c>
      <c r="D183" s="7">
        <v>190</v>
      </c>
      <c r="E183" s="8">
        <v>30.551000000000002</v>
      </c>
      <c r="F183" s="8">
        <v>3.8559999999999999</v>
      </c>
      <c r="G183" s="8">
        <v>5.5279999999999996</v>
      </c>
      <c r="H183" s="8">
        <v>5.8179999999999996</v>
      </c>
      <c r="I183" s="8">
        <v>6.9119999999999999</v>
      </c>
      <c r="J183" s="8">
        <v>5.9740000000000002</v>
      </c>
      <c r="K183" s="8">
        <v>4.6150000000000002</v>
      </c>
      <c r="L183" s="8">
        <v>5.734</v>
      </c>
      <c r="M183" s="8">
        <v>3.9790000000000001</v>
      </c>
      <c r="N183" s="8">
        <v>4.0149999999999997</v>
      </c>
      <c r="O183" s="8">
        <v>4.5119999999999996</v>
      </c>
    </row>
    <row r="184" spans="1:15" x14ac:dyDescent="0.25">
      <c r="A184" s="5" t="s">
        <v>196</v>
      </c>
      <c r="B184" s="5">
        <v>26</v>
      </c>
      <c r="C184" s="5" t="s">
        <v>3</v>
      </c>
      <c r="D184" s="7">
        <v>302</v>
      </c>
      <c r="E184" s="8">
        <v>32.662000000000006</v>
      </c>
      <c r="F184" s="8">
        <v>5.9669999999999996</v>
      </c>
      <c r="G184" s="8">
        <v>5.0599999999999996</v>
      </c>
      <c r="H184" s="8">
        <v>5.3220000000000001</v>
      </c>
      <c r="I184" s="8">
        <v>7.4539999999999997</v>
      </c>
      <c r="J184" s="8">
        <v>5.9249999999999998</v>
      </c>
      <c r="K184" s="8">
        <v>4.6260000000000003</v>
      </c>
      <c r="L184" s="8">
        <v>6.1210000000000004</v>
      </c>
      <c r="M184" s="8">
        <v>4.3140000000000001</v>
      </c>
      <c r="N184" s="8">
        <v>4.117</v>
      </c>
      <c r="O184" s="8">
        <v>4.2969999999999997</v>
      </c>
    </row>
    <row r="185" spans="1:15" x14ac:dyDescent="0.25">
      <c r="A185" s="5" t="s">
        <v>197</v>
      </c>
      <c r="B185" s="5">
        <v>80</v>
      </c>
      <c r="C185" s="5" t="s">
        <v>3</v>
      </c>
      <c r="D185" s="7">
        <v>279</v>
      </c>
      <c r="E185" s="8">
        <v>32.307000000000002</v>
      </c>
      <c r="F185" s="8">
        <v>5.6120000000000001</v>
      </c>
      <c r="G185" s="8">
        <v>4.907</v>
      </c>
      <c r="H185" s="8">
        <v>4.7789999999999999</v>
      </c>
      <c r="I185" s="8">
        <v>5.7619999999999996</v>
      </c>
      <c r="J185" s="8">
        <v>6.0019999999999998</v>
      </c>
      <c r="K185" s="8">
        <v>4.5720000000000001</v>
      </c>
      <c r="L185" s="8">
        <v>6.2309999999999999</v>
      </c>
      <c r="M185" s="8">
        <v>4.0759999999999996</v>
      </c>
      <c r="N185" s="8">
        <v>4.43</v>
      </c>
      <c r="O185" s="8">
        <v>4.633</v>
      </c>
    </row>
    <row r="186" spans="1:15" x14ac:dyDescent="0.25">
      <c r="A186" s="5" t="s">
        <v>198</v>
      </c>
      <c r="B186" s="5">
        <v>71</v>
      </c>
      <c r="C186" s="5" t="s">
        <v>2</v>
      </c>
      <c r="D186" s="7">
        <v>375</v>
      </c>
      <c r="E186" s="8">
        <v>33.692000000000007</v>
      </c>
      <c r="F186" s="8">
        <v>6.9969999999999999</v>
      </c>
      <c r="G186" s="8">
        <v>4.7709999999999999</v>
      </c>
      <c r="H186" s="8">
        <v>5.2290000000000001</v>
      </c>
      <c r="I186" s="8">
        <v>5.109</v>
      </c>
      <c r="J186" s="8">
        <v>5.4889999999999999</v>
      </c>
      <c r="K186" s="8">
        <v>4.5529999999999999</v>
      </c>
      <c r="L186" s="8">
        <v>6.1319999999999997</v>
      </c>
      <c r="M186" s="8">
        <v>4.0369999999999999</v>
      </c>
      <c r="N186" s="8">
        <v>4.2389999999999999</v>
      </c>
      <c r="O186" s="8">
        <v>4.282</v>
      </c>
    </row>
    <row r="187" spans="1:15" x14ac:dyDescent="0.25">
      <c r="A187" s="5" t="s">
        <v>199</v>
      </c>
      <c r="B187" s="5">
        <v>72</v>
      </c>
      <c r="C187" s="5" t="s">
        <v>3</v>
      </c>
      <c r="D187" s="7">
        <v>245</v>
      </c>
      <c r="E187" s="8">
        <v>31.608000000000004</v>
      </c>
      <c r="F187" s="8">
        <v>4.9130000000000003</v>
      </c>
      <c r="G187" s="8">
        <v>6.0359999999999996</v>
      </c>
      <c r="H187" s="8">
        <v>3.9809999999999999</v>
      </c>
      <c r="I187" s="8">
        <v>6.5890000000000004</v>
      </c>
      <c r="J187" s="8">
        <v>5.625</v>
      </c>
      <c r="K187" s="8">
        <v>4.4649999999999999</v>
      </c>
      <c r="L187" s="8">
        <v>6.5590000000000002</v>
      </c>
      <c r="M187" s="8">
        <v>5.1639999999999997</v>
      </c>
      <c r="N187" s="8">
        <v>4.6539999999999999</v>
      </c>
      <c r="O187" s="8">
        <v>4.3739999999999997</v>
      </c>
    </row>
    <row r="188" spans="1:15" x14ac:dyDescent="0.25">
      <c r="A188" s="5" t="s">
        <v>200</v>
      </c>
      <c r="B188" s="5">
        <v>57</v>
      </c>
      <c r="C188" s="5" t="s">
        <v>2</v>
      </c>
      <c r="D188" s="7">
        <v>186</v>
      </c>
      <c r="E188" s="8">
        <v>30.476000000000003</v>
      </c>
      <c r="F188" s="8">
        <v>3.7810000000000001</v>
      </c>
      <c r="G188" s="8">
        <v>5.274</v>
      </c>
      <c r="H188" s="8">
        <v>6.0810000000000004</v>
      </c>
      <c r="I188" s="8">
        <v>5.2119999999999997</v>
      </c>
      <c r="J188" s="8">
        <v>6.109</v>
      </c>
      <c r="K188" s="8">
        <v>3.4369999999999998</v>
      </c>
      <c r="L188" s="8">
        <v>6.5890000000000004</v>
      </c>
      <c r="M188" s="8">
        <v>3.673</v>
      </c>
      <c r="N188" s="8">
        <v>4.1479999999999997</v>
      </c>
      <c r="O188" s="8">
        <v>4.2060000000000004</v>
      </c>
    </row>
    <row r="189" spans="1:15" x14ac:dyDescent="0.25">
      <c r="A189" s="5" t="s">
        <v>201</v>
      </c>
      <c r="B189" s="5">
        <v>32</v>
      </c>
      <c r="C189" s="5" t="s">
        <v>3</v>
      </c>
      <c r="D189" s="7">
        <v>330</v>
      </c>
      <c r="E189" s="8">
        <v>32.936000000000007</v>
      </c>
      <c r="F189" s="8">
        <v>6.2409999999999997</v>
      </c>
      <c r="G189" s="8">
        <v>5.335</v>
      </c>
      <c r="H189" s="8">
        <v>5.59</v>
      </c>
      <c r="I189" s="8">
        <v>7.2210000000000001</v>
      </c>
      <c r="J189" s="8">
        <v>6.3440000000000003</v>
      </c>
      <c r="K189" s="8">
        <v>3.7309999999999999</v>
      </c>
      <c r="L189" s="8">
        <v>6.2169999999999996</v>
      </c>
      <c r="M189" s="8">
        <v>3.9279999999999999</v>
      </c>
      <c r="N189" s="8">
        <v>4.4210000000000003</v>
      </c>
      <c r="O189" s="8">
        <v>4.1959999999999997</v>
      </c>
    </row>
    <row r="190" spans="1:15" x14ac:dyDescent="0.25">
      <c r="A190" s="5" t="s">
        <v>202</v>
      </c>
      <c r="B190" s="5">
        <v>38</v>
      </c>
      <c r="C190" s="5" t="s">
        <v>3</v>
      </c>
      <c r="D190" s="7">
        <v>346</v>
      </c>
      <c r="E190" s="8">
        <v>33.283000000000001</v>
      </c>
      <c r="F190" s="8">
        <v>6.5880000000000001</v>
      </c>
      <c r="G190" s="8">
        <v>5.383</v>
      </c>
      <c r="H190" s="8">
        <v>7.5839999999999996</v>
      </c>
      <c r="I190" s="8">
        <v>5.5910000000000002</v>
      </c>
      <c r="J190" s="8">
        <v>5.431</v>
      </c>
      <c r="K190" s="8">
        <v>4.2919999999999998</v>
      </c>
      <c r="L190" s="8">
        <v>6.19</v>
      </c>
      <c r="M190" s="8">
        <v>4.0220000000000002</v>
      </c>
      <c r="N190" s="8">
        <v>3.7719999999999998</v>
      </c>
      <c r="O190" s="8">
        <v>4.0789999999999997</v>
      </c>
    </row>
    <row r="191" spans="1:15" x14ac:dyDescent="0.25">
      <c r="A191" s="5" t="s">
        <v>203</v>
      </c>
      <c r="B191" s="5">
        <v>64</v>
      </c>
      <c r="C191" s="5" t="s">
        <v>3</v>
      </c>
      <c r="D191" s="7">
        <v>319</v>
      </c>
      <c r="E191" s="8">
        <v>32.951999999999998</v>
      </c>
      <c r="F191" s="8">
        <v>6.2569999999999997</v>
      </c>
      <c r="G191" s="8">
        <v>6.4720000000000004</v>
      </c>
      <c r="H191" s="8">
        <v>7.7229999999999999</v>
      </c>
      <c r="I191" s="8">
        <v>5.5220000000000002</v>
      </c>
      <c r="J191" s="8">
        <v>5.45</v>
      </c>
      <c r="K191" s="8">
        <v>4.9039999999999999</v>
      </c>
      <c r="L191" s="8">
        <v>5.5990000000000002</v>
      </c>
      <c r="M191" s="8">
        <v>4.6429999999999998</v>
      </c>
      <c r="N191" s="8">
        <v>4.0259999999999998</v>
      </c>
      <c r="O191" s="8">
        <v>4.6710000000000003</v>
      </c>
    </row>
    <row r="192" spans="1:15" x14ac:dyDescent="0.25">
      <c r="A192" s="5" t="s">
        <v>204</v>
      </c>
      <c r="B192" s="5">
        <v>70</v>
      </c>
      <c r="C192" s="5" t="s">
        <v>3</v>
      </c>
      <c r="D192" s="7">
        <v>365</v>
      </c>
      <c r="E192" s="8">
        <v>33.825000000000003</v>
      </c>
      <c r="F192" s="8">
        <v>7.13</v>
      </c>
      <c r="G192" s="8">
        <v>5.22</v>
      </c>
      <c r="H192" s="8">
        <v>5.181</v>
      </c>
      <c r="I192" s="8">
        <v>6.7560000000000002</v>
      </c>
      <c r="J192" s="8">
        <v>6.2290000000000001</v>
      </c>
      <c r="K192" s="8">
        <v>4.3630000000000004</v>
      </c>
      <c r="L192" s="8">
        <v>6.4489999999999998</v>
      </c>
      <c r="M192" s="8">
        <v>4.2809999999999997</v>
      </c>
      <c r="N192" s="8">
        <v>4.149</v>
      </c>
      <c r="O192" s="8">
        <v>4.13</v>
      </c>
    </row>
    <row r="193" spans="1:15" x14ac:dyDescent="0.25">
      <c r="A193" s="5" t="s">
        <v>205</v>
      </c>
      <c r="B193" s="5">
        <v>26</v>
      </c>
      <c r="C193" s="5" t="s">
        <v>2</v>
      </c>
      <c r="D193" s="7">
        <v>196</v>
      </c>
      <c r="E193" s="8">
        <v>30.820000000000004</v>
      </c>
      <c r="F193" s="8">
        <v>4.125</v>
      </c>
      <c r="G193" s="8">
        <v>5.09</v>
      </c>
      <c r="H193" s="8">
        <v>5.617</v>
      </c>
      <c r="I193" s="8">
        <v>7.6840000000000002</v>
      </c>
      <c r="J193" s="8">
        <v>5.6180000000000003</v>
      </c>
      <c r="K193" s="8">
        <v>3.528</v>
      </c>
      <c r="L193" s="8">
        <v>6.37</v>
      </c>
      <c r="M193" s="8">
        <v>4.5289999999999999</v>
      </c>
      <c r="N193" s="8">
        <v>4.2039999999999997</v>
      </c>
      <c r="O193" s="8">
        <v>4.5190000000000001</v>
      </c>
    </row>
    <row r="194" spans="1:15" x14ac:dyDescent="0.25">
      <c r="A194" s="5" t="s">
        <v>206</v>
      </c>
      <c r="B194" s="5">
        <v>69</v>
      </c>
      <c r="C194" s="5" t="s">
        <v>3</v>
      </c>
      <c r="D194" s="7">
        <v>227</v>
      </c>
      <c r="E194" s="8">
        <v>31.143000000000004</v>
      </c>
      <c r="F194" s="8">
        <v>4.4480000000000004</v>
      </c>
      <c r="G194" s="8">
        <v>5.8090000000000002</v>
      </c>
      <c r="H194" s="8">
        <v>5.7030000000000003</v>
      </c>
      <c r="I194" s="8">
        <v>6.0810000000000004</v>
      </c>
      <c r="J194" s="8">
        <v>4.76</v>
      </c>
      <c r="K194" s="8">
        <v>4.5060000000000002</v>
      </c>
      <c r="L194" s="8">
        <v>6.9130000000000003</v>
      </c>
      <c r="M194" s="8">
        <v>4.05</v>
      </c>
      <c r="N194" s="8">
        <v>4.5720000000000001</v>
      </c>
      <c r="O194" s="8">
        <v>4.1829999999999998</v>
      </c>
    </row>
    <row r="195" spans="1:15" x14ac:dyDescent="0.25">
      <c r="A195" s="5" t="s">
        <v>207</v>
      </c>
      <c r="B195" s="5">
        <v>74</v>
      </c>
      <c r="C195" s="5" t="s">
        <v>3</v>
      </c>
      <c r="D195" s="7">
        <v>312</v>
      </c>
      <c r="E195" s="8">
        <v>32.673000000000002</v>
      </c>
      <c r="F195" s="8">
        <v>5.9779999999999998</v>
      </c>
      <c r="G195" s="8">
        <v>4.8319999999999999</v>
      </c>
      <c r="H195" s="8">
        <v>5.8929999999999998</v>
      </c>
      <c r="I195" s="8">
        <v>6.8680000000000003</v>
      </c>
      <c r="J195" s="8">
        <v>4.9770000000000003</v>
      </c>
      <c r="K195" s="8">
        <v>4.8369999999999997</v>
      </c>
      <c r="L195" s="8">
        <v>6.5220000000000002</v>
      </c>
      <c r="M195" s="8">
        <v>4.6109999999999998</v>
      </c>
      <c r="N195" s="8">
        <v>4.0609999999999999</v>
      </c>
      <c r="O195" s="8">
        <v>4.3600000000000003</v>
      </c>
    </row>
    <row r="196" spans="1:15" x14ac:dyDescent="0.25">
      <c r="A196" s="5" t="s">
        <v>208</v>
      </c>
      <c r="B196" s="5">
        <v>43</v>
      </c>
      <c r="C196" s="5" t="s">
        <v>2</v>
      </c>
      <c r="D196" s="7">
        <v>343</v>
      </c>
      <c r="E196" s="8">
        <v>33.417000000000002</v>
      </c>
      <c r="F196" s="8">
        <v>6.7220000000000004</v>
      </c>
      <c r="G196" s="8">
        <v>5.2990000000000004</v>
      </c>
      <c r="H196" s="8">
        <v>6.1159999999999997</v>
      </c>
      <c r="I196" s="8">
        <v>5.6429999999999998</v>
      </c>
      <c r="J196" s="8">
        <v>5.7649999999999997</v>
      </c>
      <c r="K196" s="8">
        <v>3.7370000000000001</v>
      </c>
      <c r="L196" s="8">
        <v>6.125</v>
      </c>
      <c r="M196" s="8">
        <v>4.2910000000000004</v>
      </c>
      <c r="N196" s="8">
        <v>4.0350000000000001</v>
      </c>
      <c r="O196" s="8">
        <v>4.2480000000000002</v>
      </c>
    </row>
    <row r="197" spans="1:15" x14ac:dyDescent="0.25">
      <c r="A197" s="5" t="s">
        <v>209</v>
      </c>
      <c r="B197" s="5">
        <v>58</v>
      </c>
      <c r="C197" s="5" t="s">
        <v>3</v>
      </c>
      <c r="D197" s="7">
        <v>425</v>
      </c>
      <c r="E197" s="8">
        <v>34.566000000000003</v>
      </c>
      <c r="F197" s="8">
        <v>7.8710000000000004</v>
      </c>
      <c r="G197" s="8">
        <v>4.9859999999999998</v>
      </c>
      <c r="H197" s="8">
        <v>5.7149999999999999</v>
      </c>
      <c r="I197" s="8">
        <v>7.2469999999999999</v>
      </c>
      <c r="J197" s="8">
        <v>6.05</v>
      </c>
      <c r="K197" s="8">
        <v>3.4660000000000002</v>
      </c>
      <c r="L197" s="8">
        <v>5.4359999999999999</v>
      </c>
      <c r="M197" s="8">
        <v>4.5780000000000003</v>
      </c>
      <c r="N197" s="8">
        <v>4.2699999999999996</v>
      </c>
      <c r="O197" s="8">
        <v>4.234</v>
      </c>
    </row>
    <row r="198" spans="1:15" x14ac:dyDescent="0.25">
      <c r="A198" s="5" t="s">
        <v>210</v>
      </c>
      <c r="B198" s="5">
        <v>52</v>
      </c>
      <c r="C198" s="5" t="s">
        <v>3</v>
      </c>
      <c r="D198" s="7">
        <v>292</v>
      </c>
      <c r="E198" s="8">
        <v>32.31</v>
      </c>
      <c r="F198" s="8">
        <v>5.6150000000000002</v>
      </c>
      <c r="G198" s="8">
        <v>5.8959999999999999</v>
      </c>
      <c r="H198" s="8">
        <v>5.5869999999999997</v>
      </c>
      <c r="I198" s="8">
        <v>5.532</v>
      </c>
      <c r="J198" s="8">
        <v>6.5890000000000004</v>
      </c>
      <c r="K198" s="8">
        <v>3.7090000000000001</v>
      </c>
      <c r="L198" s="8">
        <v>5.8040000000000003</v>
      </c>
      <c r="M198" s="8">
        <v>4.4329999999999998</v>
      </c>
      <c r="N198" s="8">
        <v>4.7649999999999997</v>
      </c>
      <c r="O198" s="8">
        <v>4.2930000000000001</v>
      </c>
    </row>
    <row r="199" spans="1:15" x14ac:dyDescent="0.25">
      <c r="A199" s="5" t="s">
        <v>211</v>
      </c>
      <c r="B199" s="5">
        <v>80</v>
      </c>
      <c r="C199" s="5" t="s">
        <v>2</v>
      </c>
      <c r="D199" s="7">
        <v>240</v>
      </c>
      <c r="E199" s="8">
        <v>31.628000000000004</v>
      </c>
      <c r="F199" s="8">
        <v>5.7789999999999999</v>
      </c>
      <c r="G199" s="8">
        <v>6.5670000000000002</v>
      </c>
      <c r="H199" s="8">
        <v>5.4480000000000004</v>
      </c>
      <c r="I199" s="8">
        <v>5.2439999999999998</v>
      </c>
      <c r="J199" s="8">
        <v>6.1349999999999998</v>
      </c>
      <c r="K199" s="8">
        <v>4.4749999999999996</v>
      </c>
      <c r="L199" s="8">
        <v>6.9720000000000004</v>
      </c>
      <c r="M199" s="8">
        <v>4.2469999999999999</v>
      </c>
      <c r="N199" s="8">
        <v>4.16</v>
      </c>
      <c r="O199" s="8">
        <v>4.4770000000000003</v>
      </c>
    </row>
    <row r="200" spans="1:15" x14ac:dyDescent="0.25">
      <c r="A200" s="5" t="s">
        <v>212</v>
      </c>
      <c r="B200" s="5">
        <v>42</v>
      </c>
      <c r="C200" s="5" t="s">
        <v>3</v>
      </c>
      <c r="D200" s="7">
        <v>328</v>
      </c>
      <c r="E200" s="8">
        <v>32.947000000000003</v>
      </c>
      <c r="F200" s="8">
        <v>6.2519999999999998</v>
      </c>
      <c r="G200" s="8">
        <v>5.3109999999999999</v>
      </c>
      <c r="H200" s="8">
        <v>6.9550000000000001</v>
      </c>
      <c r="I200" s="8">
        <v>7.3659999999999997</v>
      </c>
      <c r="J200" s="8">
        <v>5.4770000000000003</v>
      </c>
      <c r="K200" s="8">
        <v>4.726</v>
      </c>
      <c r="L200" s="8">
        <v>6.7050000000000001</v>
      </c>
      <c r="M200" s="8">
        <v>4.0869999999999997</v>
      </c>
      <c r="N200" s="8">
        <v>3.9910000000000001</v>
      </c>
      <c r="O200" s="8">
        <v>4.5940000000000003</v>
      </c>
    </row>
    <row r="201" spans="1:15" x14ac:dyDescent="0.25">
      <c r="A201" s="5" t="s">
        <v>213</v>
      </c>
      <c r="B201" s="5">
        <v>55</v>
      </c>
      <c r="C201" s="5" t="s">
        <v>2</v>
      </c>
      <c r="D201" s="7">
        <v>267</v>
      </c>
      <c r="E201" s="8">
        <v>31.935000000000002</v>
      </c>
      <c r="F201" s="8">
        <v>5.24</v>
      </c>
      <c r="G201" s="8">
        <v>6.2140000000000004</v>
      </c>
      <c r="H201" s="8">
        <v>4.2809999999999997</v>
      </c>
      <c r="I201" s="8">
        <v>5.8620000000000001</v>
      </c>
      <c r="J201" s="8">
        <v>6.5030000000000001</v>
      </c>
      <c r="K201" s="8">
        <v>4.2370000000000001</v>
      </c>
      <c r="L201" s="8">
        <v>6.0880000000000001</v>
      </c>
      <c r="M201" s="8">
        <v>3.63</v>
      </c>
      <c r="N201" s="8">
        <v>4.38</v>
      </c>
      <c r="O201" s="8">
        <v>4.274</v>
      </c>
    </row>
    <row r="202" spans="1:15" x14ac:dyDescent="0.25">
      <c r="A202" s="5" t="s">
        <v>214</v>
      </c>
      <c r="B202" s="5">
        <v>26</v>
      </c>
      <c r="C202" s="5" t="s">
        <v>2</v>
      </c>
      <c r="D202" s="7">
        <v>270</v>
      </c>
      <c r="E202" s="8">
        <v>32.169000000000004</v>
      </c>
      <c r="F202" s="8">
        <v>5.4740000000000002</v>
      </c>
      <c r="G202" s="8">
        <v>5.3890000000000002</v>
      </c>
      <c r="H202" s="8">
        <v>6.649</v>
      </c>
      <c r="I202" s="8">
        <v>6.5460000000000003</v>
      </c>
      <c r="J202" s="8">
        <v>5.3769999999999998</v>
      </c>
      <c r="K202" s="8">
        <v>3.1880000000000002</v>
      </c>
      <c r="L202" s="8">
        <v>5.9950000000000001</v>
      </c>
      <c r="M202" s="8">
        <v>4.2300000000000004</v>
      </c>
      <c r="N202" s="8">
        <v>4.3780000000000001</v>
      </c>
      <c r="O202" s="8">
        <v>4.5389999999999997</v>
      </c>
    </row>
    <row r="203" spans="1:15" x14ac:dyDescent="0.25">
      <c r="A203" s="5" t="s">
        <v>215</v>
      </c>
      <c r="B203" s="5">
        <v>24</v>
      </c>
      <c r="C203" s="5" t="s">
        <v>2</v>
      </c>
      <c r="D203" s="7">
        <v>291</v>
      </c>
      <c r="E203" s="8">
        <v>32.292000000000002</v>
      </c>
      <c r="F203" s="8">
        <v>5.5970000000000004</v>
      </c>
      <c r="G203" s="8">
        <v>6.2539999999999996</v>
      </c>
      <c r="H203" s="8">
        <v>5.0460000000000003</v>
      </c>
      <c r="I203" s="8">
        <v>6.2270000000000003</v>
      </c>
      <c r="J203" s="8">
        <v>5.7480000000000002</v>
      </c>
      <c r="K203" s="8">
        <v>3.8519999999999999</v>
      </c>
      <c r="L203" s="8">
        <v>5.8159999999999998</v>
      </c>
      <c r="M203" s="8">
        <v>4.218</v>
      </c>
      <c r="N203" s="8">
        <v>3.794</v>
      </c>
      <c r="O203" s="8">
        <v>4.0629999999999997</v>
      </c>
    </row>
    <row r="204" spans="1:15" x14ac:dyDescent="0.25">
      <c r="A204" s="5" t="s">
        <v>216</v>
      </c>
      <c r="B204" s="5">
        <v>51</v>
      </c>
      <c r="C204" s="5" t="s">
        <v>2</v>
      </c>
      <c r="D204" s="7">
        <v>296</v>
      </c>
      <c r="E204" s="8">
        <v>32.338999999999999</v>
      </c>
      <c r="F204" s="8">
        <v>5.6440000000000001</v>
      </c>
      <c r="G204" s="8">
        <v>4.8899999999999997</v>
      </c>
      <c r="H204" s="8">
        <v>6.66</v>
      </c>
      <c r="I204" s="8">
        <v>6.3010000000000002</v>
      </c>
      <c r="J204" s="8">
        <v>5.6559999999999997</v>
      </c>
      <c r="K204" s="8">
        <v>3.2959999999999998</v>
      </c>
      <c r="L204" s="8">
        <v>6.0330000000000004</v>
      </c>
      <c r="M204" s="8">
        <v>4.2830000000000004</v>
      </c>
      <c r="N204" s="8">
        <v>4.6989999999999998</v>
      </c>
      <c r="O204" s="8">
        <v>3.7989999999999999</v>
      </c>
    </row>
    <row r="205" spans="1:15" x14ac:dyDescent="0.25">
      <c r="A205" s="5" t="s">
        <v>217</v>
      </c>
      <c r="B205" s="5">
        <v>34</v>
      </c>
      <c r="C205" s="5" t="s">
        <v>3</v>
      </c>
      <c r="D205" s="7">
        <v>402</v>
      </c>
      <c r="E205" s="8">
        <v>34.051000000000002</v>
      </c>
      <c r="F205" s="8">
        <v>7.3559999999999999</v>
      </c>
      <c r="G205" s="8">
        <v>5.3470000000000004</v>
      </c>
      <c r="H205" s="8">
        <v>5.5110000000000001</v>
      </c>
      <c r="I205" s="8">
        <v>5.0629999999999997</v>
      </c>
      <c r="J205" s="8">
        <v>5.6349999999999998</v>
      </c>
      <c r="K205" s="8">
        <v>5.1379999999999999</v>
      </c>
      <c r="L205" s="8">
        <v>6.1130000000000004</v>
      </c>
      <c r="M205" s="8">
        <v>4.0759999999999996</v>
      </c>
      <c r="N205" s="8">
        <v>4.2389999999999999</v>
      </c>
      <c r="O205" s="8">
        <v>4.3330000000000002</v>
      </c>
    </row>
    <row r="206" spans="1:15" x14ac:dyDescent="0.25">
      <c r="A206" s="5" t="s">
        <v>218</v>
      </c>
      <c r="B206" s="5">
        <v>60</v>
      </c>
      <c r="C206" s="5" t="s">
        <v>2</v>
      </c>
      <c r="D206" s="7">
        <v>357</v>
      </c>
      <c r="E206" s="8">
        <v>33.295000000000002</v>
      </c>
      <c r="F206" s="8">
        <v>6.6</v>
      </c>
      <c r="G206" s="8">
        <v>6.1349999999999998</v>
      </c>
      <c r="H206" s="8">
        <v>6.9580000000000002</v>
      </c>
      <c r="I206" s="8">
        <v>7.8150000000000004</v>
      </c>
      <c r="J206" s="8">
        <v>5.0149999999999997</v>
      </c>
      <c r="K206" s="8">
        <v>4.66</v>
      </c>
      <c r="L206" s="8">
        <v>5.0890000000000004</v>
      </c>
      <c r="M206" s="8">
        <v>4.1950000000000003</v>
      </c>
      <c r="N206" s="8">
        <v>4.0140000000000002</v>
      </c>
      <c r="O206" s="8">
        <v>4.5709999999999997</v>
      </c>
    </row>
    <row r="207" spans="1:15" x14ac:dyDescent="0.25">
      <c r="A207" s="5" t="s">
        <v>219</v>
      </c>
      <c r="B207" s="5">
        <v>76</v>
      </c>
      <c r="C207" s="5" t="s">
        <v>3</v>
      </c>
      <c r="D207" s="7">
        <v>247</v>
      </c>
      <c r="E207" s="8">
        <v>31.831000000000003</v>
      </c>
      <c r="F207" s="8">
        <v>5.1360000000000001</v>
      </c>
      <c r="G207" s="8">
        <v>5.9080000000000004</v>
      </c>
      <c r="H207" s="8">
        <v>5.0380000000000003</v>
      </c>
      <c r="I207" s="8">
        <v>6.8940000000000001</v>
      </c>
      <c r="J207" s="8">
        <v>5.71</v>
      </c>
      <c r="K207" s="8">
        <v>4.0389999999999997</v>
      </c>
      <c r="L207" s="8">
        <v>6.3979999999999997</v>
      </c>
      <c r="M207" s="8">
        <v>3.9239999999999999</v>
      </c>
      <c r="N207" s="8">
        <v>4.4390000000000001</v>
      </c>
      <c r="O207" s="8">
        <v>4.2430000000000003</v>
      </c>
    </row>
    <row r="208" spans="1:15" x14ac:dyDescent="0.25">
      <c r="A208" s="5" t="s">
        <v>220</v>
      </c>
      <c r="B208" s="5">
        <v>68</v>
      </c>
      <c r="C208" s="5" t="s">
        <v>3</v>
      </c>
      <c r="D208" s="7">
        <v>301</v>
      </c>
      <c r="E208" s="8">
        <v>32.667000000000002</v>
      </c>
      <c r="F208" s="8">
        <v>5.9720000000000004</v>
      </c>
      <c r="G208" s="8">
        <v>7.0640000000000001</v>
      </c>
      <c r="H208" s="8">
        <v>4.5949999999999998</v>
      </c>
      <c r="I208" s="8">
        <v>6.056</v>
      </c>
      <c r="J208" s="8">
        <v>5.1669999999999998</v>
      </c>
      <c r="K208" s="8">
        <v>3.9129999999999998</v>
      </c>
      <c r="L208" s="8">
        <v>5.2309999999999999</v>
      </c>
      <c r="M208" s="8">
        <v>4.3680000000000003</v>
      </c>
      <c r="N208" s="8">
        <v>4.1109999999999998</v>
      </c>
      <c r="O208" s="8">
        <v>4.4859999999999998</v>
      </c>
    </row>
    <row r="209" spans="1:15" x14ac:dyDescent="0.25">
      <c r="A209" s="5" t="s">
        <v>221</v>
      </c>
      <c r="B209" s="5">
        <v>71</v>
      </c>
      <c r="C209" s="5" t="s">
        <v>3</v>
      </c>
      <c r="D209" s="7">
        <v>237</v>
      </c>
      <c r="E209" s="8">
        <v>31.356000000000002</v>
      </c>
      <c r="F209" s="8">
        <v>4.6609999999999996</v>
      </c>
      <c r="G209" s="8">
        <v>5.4729999999999999</v>
      </c>
      <c r="H209" s="8">
        <v>6.4470000000000001</v>
      </c>
      <c r="I209" s="8">
        <v>7.07</v>
      </c>
      <c r="J209" s="8">
        <v>6.3710000000000004</v>
      </c>
      <c r="K209" s="8">
        <v>3.3639999999999999</v>
      </c>
      <c r="L209" s="8">
        <v>5.3460000000000001</v>
      </c>
      <c r="M209" s="8">
        <v>3.456</v>
      </c>
      <c r="N209" s="8">
        <v>4.2249999999999996</v>
      </c>
      <c r="O209" s="8">
        <v>4.1379999999999999</v>
      </c>
    </row>
    <row r="210" spans="1:15" x14ac:dyDescent="0.25">
      <c r="A210" s="5" t="s">
        <v>222</v>
      </c>
      <c r="B210" s="5">
        <v>41</v>
      </c>
      <c r="C210" s="5" t="s">
        <v>3</v>
      </c>
      <c r="D210" s="7">
        <v>255</v>
      </c>
      <c r="E210" s="8">
        <v>31.671000000000003</v>
      </c>
      <c r="F210" s="8">
        <v>4.976</v>
      </c>
      <c r="G210" s="8">
        <v>5.4450000000000003</v>
      </c>
      <c r="H210" s="8">
        <v>5.83</v>
      </c>
      <c r="I210" s="8">
        <v>5.2119999999999997</v>
      </c>
      <c r="J210" s="8">
        <v>5.8579999999999997</v>
      </c>
      <c r="K210" s="8">
        <v>3.7829999999999999</v>
      </c>
      <c r="L210" s="8">
        <v>5.9249999999999998</v>
      </c>
      <c r="M210" s="8">
        <v>4.7089999999999996</v>
      </c>
      <c r="N210" s="8">
        <v>4.3470000000000004</v>
      </c>
      <c r="O210" s="8">
        <v>4.1580000000000004</v>
      </c>
    </row>
    <row r="211" spans="1:15" x14ac:dyDescent="0.25">
      <c r="A211" s="5" t="s">
        <v>223</v>
      </c>
      <c r="B211" s="5">
        <v>42</v>
      </c>
      <c r="C211" s="5" t="s">
        <v>3</v>
      </c>
      <c r="D211" s="7">
        <v>204</v>
      </c>
      <c r="E211" s="8">
        <v>30.806000000000001</v>
      </c>
      <c r="F211" s="8">
        <v>4.1109999999999998</v>
      </c>
      <c r="G211" s="8">
        <v>6.3920000000000003</v>
      </c>
      <c r="H211" s="8">
        <v>5.476</v>
      </c>
      <c r="I211" s="8">
        <v>6.1050000000000004</v>
      </c>
      <c r="J211" s="8">
        <v>6.5330000000000004</v>
      </c>
      <c r="K211" s="8">
        <v>3.1960000000000002</v>
      </c>
      <c r="L211" s="8">
        <v>6.19</v>
      </c>
      <c r="M211" s="8">
        <v>3.78</v>
      </c>
      <c r="N211" s="8">
        <v>3.7949999999999999</v>
      </c>
      <c r="O211" s="8">
        <v>4.3630000000000004</v>
      </c>
    </row>
    <row r="212" spans="1:15" x14ac:dyDescent="0.25">
      <c r="A212" s="5" t="s">
        <v>224</v>
      </c>
      <c r="B212" s="5">
        <v>69</v>
      </c>
      <c r="C212" s="5" t="s">
        <v>3</v>
      </c>
      <c r="D212" s="7">
        <v>318</v>
      </c>
      <c r="E212" s="8">
        <v>32.198999999999998</v>
      </c>
      <c r="F212" s="8">
        <v>5.5039999999999996</v>
      </c>
      <c r="G212" s="8">
        <v>3.99</v>
      </c>
      <c r="H212" s="8">
        <v>4.9329999999999998</v>
      </c>
      <c r="I212" s="8">
        <v>5.718</v>
      </c>
      <c r="J212" s="8">
        <v>6.5519999999999996</v>
      </c>
      <c r="K212" s="8">
        <v>4.4450000000000003</v>
      </c>
      <c r="L212" s="8">
        <v>5.2220000000000004</v>
      </c>
      <c r="M212" s="8">
        <v>3.8690000000000002</v>
      </c>
      <c r="N212" s="8">
        <v>4.2210000000000001</v>
      </c>
      <c r="O212" s="8">
        <v>4.4470000000000001</v>
      </c>
    </row>
    <row r="213" spans="1:15" x14ac:dyDescent="0.25">
      <c r="A213" s="5" t="s">
        <v>225</v>
      </c>
      <c r="B213" s="5">
        <v>50</v>
      </c>
      <c r="C213" s="5" t="s">
        <v>3</v>
      </c>
      <c r="D213" s="7">
        <v>204</v>
      </c>
      <c r="E213" s="8">
        <v>30.790000000000003</v>
      </c>
      <c r="F213" s="8">
        <v>4.0949999999999998</v>
      </c>
      <c r="G213" s="8">
        <v>5.7439999999999998</v>
      </c>
      <c r="H213" s="8">
        <v>4.8099999999999996</v>
      </c>
      <c r="I213" s="8">
        <v>6.173</v>
      </c>
      <c r="J213" s="8">
        <v>5.7309999999999999</v>
      </c>
      <c r="K213" s="8">
        <v>4.0629999999999997</v>
      </c>
      <c r="L213" s="8">
        <v>5.1100000000000003</v>
      </c>
      <c r="M213" s="8">
        <v>4.3680000000000003</v>
      </c>
      <c r="N213" s="8">
        <v>4.4580000000000002</v>
      </c>
      <c r="O213" s="8">
        <v>4.7779999999999996</v>
      </c>
    </row>
    <row r="214" spans="1:15" x14ac:dyDescent="0.25">
      <c r="A214" s="5" t="s">
        <v>226</v>
      </c>
      <c r="B214" s="5">
        <v>66</v>
      </c>
      <c r="C214" s="5" t="s">
        <v>3</v>
      </c>
      <c r="D214" s="7">
        <v>374</v>
      </c>
      <c r="E214" s="8">
        <v>33.561000000000007</v>
      </c>
      <c r="F214" s="8">
        <v>8.1289999999999996</v>
      </c>
      <c r="G214" s="8">
        <v>7.5570000000000004</v>
      </c>
      <c r="H214" s="8">
        <v>6.3</v>
      </c>
      <c r="I214" s="8">
        <v>5.3710000000000004</v>
      </c>
      <c r="J214" s="8">
        <v>6.4020000000000001</v>
      </c>
      <c r="K214" s="8">
        <v>3.3980000000000001</v>
      </c>
      <c r="L214" s="8">
        <v>6.7729999999999997</v>
      </c>
      <c r="M214" s="8">
        <v>4.7779999999999996</v>
      </c>
      <c r="N214" s="8">
        <v>4.4359999999999999</v>
      </c>
      <c r="O214" s="8">
        <v>4.4950000000000001</v>
      </c>
    </row>
    <row r="215" spans="1:15" x14ac:dyDescent="0.25">
      <c r="A215" s="5" t="s">
        <v>227</v>
      </c>
      <c r="B215" s="5">
        <v>46</v>
      </c>
      <c r="C215" s="5" t="s">
        <v>3</v>
      </c>
      <c r="D215" s="7">
        <v>339</v>
      </c>
      <c r="E215" s="8">
        <v>33.015000000000001</v>
      </c>
      <c r="F215" s="8">
        <v>6.32</v>
      </c>
      <c r="G215" s="8">
        <v>5.4740000000000002</v>
      </c>
      <c r="H215" s="8">
        <v>7.0410000000000004</v>
      </c>
      <c r="I215" s="8">
        <v>6.97</v>
      </c>
      <c r="J215" s="8">
        <v>6.181</v>
      </c>
      <c r="K215" s="8">
        <v>3.4340000000000002</v>
      </c>
      <c r="L215" s="8">
        <v>6.3150000000000004</v>
      </c>
      <c r="M215" s="8">
        <v>4.6669999999999998</v>
      </c>
      <c r="N215" s="8">
        <v>4.407</v>
      </c>
      <c r="O215" s="8">
        <v>4.3479999999999999</v>
      </c>
    </row>
    <row r="216" spans="1:15" x14ac:dyDescent="0.25">
      <c r="A216" s="5" t="s">
        <v>228</v>
      </c>
      <c r="B216" s="5">
        <v>80</v>
      </c>
      <c r="C216" s="5" t="s">
        <v>3</v>
      </c>
      <c r="D216" s="7">
        <v>202</v>
      </c>
      <c r="E216" s="8">
        <v>30.752000000000002</v>
      </c>
      <c r="F216" s="8">
        <v>4.0570000000000004</v>
      </c>
      <c r="G216" s="8">
        <v>4.9850000000000003</v>
      </c>
      <c r="H216" s="8">
        <v>6.1180000000000003</v>
      </c>
      <c r="I216" s="8">
        <v>4.9980000000000002</v>
      </c>
      <c r="J216" s="8">
        <v>5.2240000000000002</v>
      </c>
      <c r="K216" s="8">
        <v>3.6349999999999998</v>
      </c>
      <c r="L216" s="8">
        <v>6.7089999999999996</v>
      </c>
      <c r="M216" s="8">
        <v>3.8980000000000001</v>
      </c>
      <c r="N216" s="8">
        <v>4.4390000000000001</v>
      </c>
      <c r="O216" s="8">
        <v>4.1319999999999997</v>
      </c>
    </row>
    <row r="217" spans="1:15" x14ac:dyDescent="0.25">
      <c r="A217" s="5" t="s">
        <v>229</v>
      </c>
      <c r="B217" s="5">
        <v>39</v>
      </c>
      <c r="C217" s="5" t="s">
        <v>2</v>
      </c>
      <c r="D217" s="7">
        <v>249</v>
      </c>
      <c r="E217" s="8">
        <v>31.695000000000004</v>
      </c>
      <c r="F217" s="8">
        <v>5</v>
      </c>
      <c r="G217" s="8">
        <v>6.7169999999999996</v>
      </c>
      <c r="H217" s="8">
        <v>5.71</v>
      </c>
      <c r="I217" s="8">
        <v>5.1040000000000001</v>
      </c>
      <c r="J217" s="8">
        <v>5.9130000000000003</v>
      </c>
      <c r="K217" s="8">
        <v>3.8889999999999998</v>
      </c>
      <c r="L217" s="8">
        <v>5.9340000000000002</v>
      </c>
      <c r="M217" s="8">
        <v>4.5369999999999999</v>
      </c>
      <c r="N217" s="8">
        <v>4.5510000000000002</v>
      </c>
      <c r="O217" s="8">
        <v>4.3739999999999997</v>
      </c>
    </row>
    <row r="218" spans="1:15" x14ac:dyDescent="0.25">
      <c r="A218" s="5" t="s">
        <v>230</v>
      </c>
      <c r="B218" s="5">
        <v>45</v>
      </c>
      <c r="C218" s="5" t="s">
        <v>2</v>
      </c>
      <c r="D218" s="7">
        <v>258</v>
      </c>
      <c r="E218" s="8">
        <v>31.677000000000003</v>
      </c>
      <c r="F218" s="8">
        <v>4.9820000000000002</v>
      </c>
      <c r="G218" s="8">
        <v>4.1219999999999999</v>
      </c>
      <c r="H218" s="8">
        <v>7.4429999999999996</v>
      </c>
      <c r="I218" s="8">
        <v>4.9130000000000003</v>
      </c>
      <c r="J218" s="8">
        <v>6.2830000000000004</v>
      </c>
      <c r="K218" s="8">
        <v>3.694</v>
      </c>
      <c r="L218" s="8">
        <v>5.8550000000000004</v>
      </c>
      <c r="M218" s="8">
        <v>4.5039999999999996</v>
      </c>
      <c r="N218" s="8">
        <v>3.9820000000000002</v>
      </c>
      <c r="O218" s="8">
        <v>4.1929999999999996</v>
      </c>
    </row>
    <row r="219" spans="1:15" x14ac:dyDescent="0.25">
      <c r="A219" s="5" t="s">
        <v>231</v>
      </c>
      <c r="B219" s="5">
        <v>66</v>
      </c>
      <c r="C219" s="5" t="s">
        <v>3</v>
      </c>
      <c r="D219" s="7">
        <v>167</v>
      </c>
      <c r="E219" s="8">
        <v>30.392000000000003</v>
      </c>
      <c r="F219" s="8">
        <v>3.6970000000000001</v>
      </c>
      <c r="G219" s="8">
        <v>6.0570000000000004</v>
      </c>
      <c r="H219" s="8">
        <v>5.7389999999999999</v>
      </c>
      <c r="I219" s="8">
        <v>5.6040000000000001</v>
      </c>
      <c r="J219" s="8">
        <v>5.4560000000000004</v>
      </c>
      <c r="K219" s="8">
        <v>3.601</v>
      </c>
      <c r="L219" s="8">
        <v>5.7969999999999997</v>
      </c>
      <c r="M219" s="8">
        <v>4.343</v>
      </c>
      <c r="N219" s="8">
        <v>4.5519999999999996</v>
      </c>
      <c r="O219" s="8">
        <v>4.5720000000000001</v>
      </c>
    </row>
    <row r="220" spans="1:15" x14ac:dyDescent="0.25">
      <c r="A220" s="5" t="s">
        <v>232</v>
      </c>
      <c r="B220" s="5">
        <v>66</v>
      </c>
      <c r="C220" s="5" t="s">
        <v>2</v>
      </c>
      <c r="D220" s="7">
        <v>338</v>
      </c>
      <c r="E220" s="8">
        <v>33.183000000000007</v>
      </c>
      <c r="F220" s="8">
        <v>6.4880000000000004</v>
      </c>
      <c r="G220" s="8">
        <v>5.6550000000000002</v>
      </c>
      <c r="H220" s="8">
        <v>5.5140000000000002</v>
      </c>
      <c r="I220" s="8">
        <v>5.7510000000000003</v>
      </c>
      <c r="J220" s="8">
        <v>4.6219999999999999</v>
      </c>
      <c r="K220" s="8">
        <v>4.2249999999999996</v>
      </c>
      <c r="L220" s="8">
        <v>6.0510000000000002</v>
      </c>
      <c r="M220" s="8">
        <v>4.4630000000000001</v>
      </c>
      <c r="N220" s="8">
        <v>3.863</v>
      </c>
      <c r="O220" s="8">
        <v>4.4089999999999998</v>
      </c>
    </row>
    <row r="221" spans="1:15" x14ac:dyDescent="0.25">
      <c r="A221" s="5" t="s">
        <v>233</v>
      </c>
      <c r="B221" s="5">
        <v>37</v>
      </c>
      <c r="C221" s="5" t="s">
        <v>2</v>
      </c>
      <c r="D221" s="7">
        <v>199</v>
      </c>
      <c r="E221" s="8">
        <v>30.888000000000002</v>
      </c>
      <c r="F221" s="8">
        <v>5.1390000000000002</v>
      </c>
      <c r="G221" s="8">
        <v>7.3620000000000001</v>
      </c>
      <c r="H221" s="8">
        <v>5.3209999999999997</v>
      </c>
      <c r="I221" s="8">
        <v>7.2489999999999997</v>
      </c>
      <c r="J221" s="8">
        <v>5.4260000000000002</v>
      </c>
      <c r="K221" s="8">
        <v>3.23</v>
      </c>
      <c r="L221" s="8">
        <v>6.0739999999999998</v>
      </c>
      <c r="M221" s="8">
        <v>4.7229999999999999</v>
      </c>
      <c r="N221" s="8">
        <v>4.1479999999999997</v>
      </c>
      <c r="O221" s="8">
        <v>4.2270000000000003</v>
      </c>
    </row>
    <row r="222" spans="1:15" x14ac:dyDescent="0.25">
      <c r="A222" s="5" t="s">
        <v>234</v>
      </c>
      <c r="B222" s="5">
        <v>80</v>
      </c>
      <c r="C222" s="5" t="s">
        <v>2</v>
      </c>
      <c r="D222" s="7">
        <v>350</v>
      </c>
      <c r="E222" s="8">
        <v>33.328000000000003</v>
      </c>
      <c r="F222" s="8">
        <v>6.633</v>
      </c>
      <c r="G222" s="8">
        <v>5.8869999999999996</v>
      </c>
      <c r="H222" s="8">
        <v>8.0020000000000007</v>
      </c>
      <c r="I222" s="8">
        <v>5.391</v>
      </c>
      <c r="J222" s="8">
        <v>6.4580000000000002</v>
      </c>
      <c r="K222" s="8">
        <v>3.9790000000000001</v>
      </c>
      <c r="L222" s="8">
        <v>6.4569999999999999</v>
      </c>
      <c r="M222" s="8">
        <v>4.1079999999999997</v>
      </c>
      <c r="N222" s="8">
        <v>4.0720000000000001</v>
      </c>
      <c r="O222" s="8">
        <v>4.5010000000000003</v>
      </c>
    </row>
    <row r="223" spans="1:15" x14ac:dyDescent="0.25">
      <c r="A223" s="5" t="s">
        <v>235</v>
      </c>
      <c r="B223" s="5">
        <v>78</v>
      </c>
      <c r="C223" s="5" t="s">
        <v>3</v>
      </c>
      <c r="D223" s="7">
        <v>328</v>
      </c>
      <c r="E223" s="8">
        <v>32.603999999999999</v>
      </c>
      <c r="F223" s="8">
        <v>5.9089999999999998</v>
      </c>
      <c r="G223" s="8">
        <v>6.0430000000000001</v>
      </c>
      <c r="H223" s="8">
        <v>5.3570000000000002</v>
      </c>
      <c r="I223" s="8">
        <v>6.29</v>
      </c>
      <c r="J223" s="8">
        <v>6.66</v>
      </c>
      <c r="K223" s="8">
        <v>4.96</v>
      </c>
      <c r="L223" s="8">
        <v>6.1390000000000002</v>
      </c>
      <c r="M223" s="8">
        <v>3.952</v>
      </c>
      <c r="N223" s="8">
        <v>4.0119999999999996</v>
      </c>
      <c r="O223" s="8">
        <v>4.2859999999999996</v>
      </c>
    </row>
    <row r="224" spans="1:15" x14ac:dyDescent="0.25">
      <c r="A224" s="5" t="s">
        <v>236</v>
      </c>
      <c r="B224" s="5">
        <v>66</v>
      </c>
      <c r="C224" s="5" t="s">
        <v>3</v>
      </c>
      <c r="D224" s="7">
        <v>313</v>
      </c>
      <c r="E224" s="8">
        <v>33.014000000000003</v>
      </c>
      <c r="F224" s="8">
        <v>6.319</v>
      </c>
      <c r="G224" s="8">
        <v>3.8769999999999998</v>
      </c>
      <c r="H224" s="8">
        <v>5.7469999999999999</v>
      </c>
      <c r="I224" s="8">
        <v>5.9820000000000002</v>
      </c>
      <c r="J224" s="8">
        <v>6.2279999999999998</v>
      </c>
      <c r="K224" s="8">
        <v>4.2469999999999999</v>
      </c>
      <c r="L224" s="8">
        <v>6.0919999999999996</v>
      </c>
      <c r="M224" s="8">
        <v>3.9849999999999999</v>
      </c>
      <c r="N224" s="8">
        <v>4.1219999999999999</v>
      </c>
      <c r="O224" s="8">
        <v>4.5110000000000001</v>
      </c>
    </row>
    <row r="225" spans="1:15" x14ac:dyDescent="0.25">
      <c r="A225" s="5" t="s">
        <v>237</v>
      </c>
      <c r="B225" s="5">
        <v>28</v>
      </c>
      <c r="C225" s="5" t="s">
        <v>3</v>
      </c>
      <c r="D225" s="7">
        <v>307</v>
      </c>
      <c r="E225" s="8">
        <v>32.515000000000001</v>
      </c>
      <c r="F225" s="8">
        <v>5.82</v>
      </c>
      <c r="G225" s="8">
        <v>6.9109999999999996</v>
      </c>
      <c r="H225" s="8">
        <v>5.6139999999999999</v>
      </c>
      <c r="I225" s="8">
        <v>5.75</v>
      </c>
      <c r="J225" s="8">
        <v>4.7690000000000001</v>
      </c>
      <c r="K225" s="8">
        <v>3.472</v>
      </c>
      <c r="L225" s="8">
        <v>5.7670000000000003</v>
      </c>
      <c r="M225" s="8">
        <v>3.4430000000000001</v>
      </c>
      <c r="N225" s="8">
        <v>4.2809999999999997</v>
      </c>
      <c r="O225" s="8">
        <v>4.6369999999999996</v>
      </c>
    </row>
    <row r="226" spans="1:15" x14ac:dyDescent="0.25">
      <c r="A226" s="5" t="s">
        <v>238</v>
      </c>
      <c r="B226" s="5">
        <v>30</v>
      </c>
      <c r="C226" s="5" t="s">
        <v>3</v>
      </c>
      <c r="D226" s="7">
        <v>411</v>
      </c>
      <c r="E226" s="8">
        <v>34.61</v>
      </c>
      <c r="F226" s="8">
        <v>7.915</v>
      </c>
      <c r="G226" s="8">
        <v>4.952</v>
      </c>
      <c r="H226" s="8">
        <v>6.7389999999999999</v>
      </c>
      <c r="I226" s="8">
        <v>5.4619999999999997</v>
      </c>
      <c r="J226" s="8">
        <v>6.3150000000000004</v>
      </c>
      <c r="K226" s="8">
        <v>3.0630000000000002</v>
      </c>
      <c r="L226" s="8">
        <v>5.6260000000000003</v>
      </c>
      <c r="M226" s="8">
        <v>3.9409999999999998</v>
      </c>
      <c r="N226" s="8">
        <v>3.839</v>
      </c>
      <c r="O226" s="8">
        <v>3.883</v>
      </c>
    </row>
    <row r="227" spans="1:15" x14ac:dyDescent="0.25">
      <c r="A227" s="5" t="s">
        <v>239</v>
      </c>
      <c r="B227" s="5">
        <v>68</v>
      </c>
      <c r="C227" s="5" t="s">
        <v>2</v>
      </c>
      <c r="D227" s="7">
        <v>271</v>
      </c>
      <c r="E227" s="8">
        <v>32.081000000000003</v>
      </c>
      <c r="F227" s="8">
        <v>5.3860000000000001</v>
      </c>
      <c r="G227" s="8">
        <v>4.9850000000000003</v>
      </c>
      <c r="H227" s="8">
        <v>5.4889999999999999</v>
      </c>
      <c r="I227" s="8">
        <v>5.3369999999999997</v>
      </c>
      <c r="J227" s="8">
        <v>5.8979999999999997</v>
      </c>
      <c r="K227" s="8">
        <v>3.72</v>
      </c>
      <c r="L227" s="8">
        <v>5.7080000000000002</v>
      </c>
      <c r="M227" s="8">
        <v>3.9980000000000002</v>
      </c>
      <c r="N227" s="8">
        <v>4.1950000000000003</v>
      </c>
      <c r="O227" s="8">
        <v>4.3540000000000001</v>
      </c>
    </row>
    <row r="228" spans="1:15" x14ac:dyDescent="0.25">
      <c r="A228" s="5" t="s">
        <v>240</v>
      </c>
      <c r="B228" s="5">
        <v>73</v>
      </c>
      <c r="C228" s="5" t="s">
        <v>2</v>
      </c>
      <c r="D228" s="7">
        <v>216</v>
      </c>
      <c r="E228" s="8">
        <v>30.921000000000003</v>
      </c>
      <c r="F228" s="8">
        <v>5.6180000000000003</v>
      </c>
      <c r="G228" s="8">
        <v>7.3620000000000001</v>
      </c>
      <c r="H228" s="8">
        <v>5.4160000000000004</v>
      </c>
      <c r="I228" s="8">
        <v>4.95</v>
      </c>
      <c r="J228" s="8">
        <v>6.3949999999999996</v>
      </c>
      <c r="K228" s="8">
        <v>4.3380000000000001</v>
      </c>
      <c r="L228" s="8">
        <v>5.7770000000000001</v>
      </c>
      <c r="M228" s="8">
        <v>4.2709999999999999</v>
      </c>
      <c r="N228" s="8">
        <v>4.2910000000000004</v>
      </c>
      <c r="O228" s="8">
        <v>4.1539999999999999</v>
      </c>
    </row>
    <row r="229" spans="1:15" x14ac:dyDescent="0.25">
      <c r="A229" s="5" t="s">
        <v>241</v>
      </c>
      <c r="B229" s="5">
        <v>79</v>
      </c>
      <c r="C229" s="5" t="s">
        <v>2</v>
      </c>
      <c r="D229" s="7">
        <v>342</v>
      </c>
      <c r="E229" s="8">
        <v>33.195000000000007</v>
      </c>
      <c r="F229" s="8">
        <v>6.5</v>
      </c>
      <c r="G229" s="8">
        <v>6.3810000000000002</v>
      </c>
      <c r="H229" s="8">
        <v>6.27</v>
      </c>
      <c r="I229" s="8">
        <v>6.2430000000000003</v>
      </c>
      <c r="J229" s="8">
        <v>6.2729999999999997</v>
      </c>
      <c r="K229" s="8">
        <v>3.2389999999999999</v>
      </c>
      <c r="L229" s="8">
        <v>6.2370000000000001</v>
      </c>
      <c r="M229" s="8">
        <v>4.6130000000000004</v>
      </c>
      <c r="N229" s="8">
        <v>3.7989999999999999</v>
      </c>
      <c r="O229" s="8">
        <v>4.468</v>
      </c>
    </row>
    <row r="230" spans="1:15" x14ac:dyDescent="0.25">
      <c r="A230" s="5" t="s">
        <v>242</v>
      </c>
      <c r="B230" s="5">
        <v>49</v>
      </c>
      <c r="C230" s="5" t="s">
        <v>2</v>
      </c>
      <c r="D230" s="7">
        <v>250</v>
      </c>
      <c r="E230" s="8">
        <v>31.837000000000003</v>
      </c>
      <c r="F230" s="8">
        <v>5.1420000000000003</v>
      </c>
      <c r="G230" s="8">
        <v>5.2640000000000002</v>
      </c>
      <c r="H230" s="8">
        <v>5.3410000000000002</v>
      </c>
      <c r="I230" s="8">
        <v>6.0259999999999998</v>
      </c>
      <c r="J230" s="8">
        <v>6.117</v>
      </c>
      <c r="K230" s="8">
        <v>4.5629999999999997</v>
      </c>
      <c r="L230" s="8">
        <v>6.226</v>
      </c>
      <c r="M230" s="8">
        <v>4.3479999999999999</v>
      </c>
      <c r="N230" s="8">
        <v>3.8359999999999999</v>
      </c>
      <c r="O230" s="8">
        <v>4.1180000000000003</v>
      </c>
    </row>
    <row r="231" spans="1:15" x14ac:dyDescent="0.25">
      <c r="A231" s="5" t="s">
        <v>243</v>
      </c>
      <c r="B231" s="5">
        <v>47</v>
      </c>
      <c r="C231" s="5" t="s">
        <v>3</v>
      </c>
      <c r="D231" s="7">
        <v>272</v>
      </c>
      <c r="E231" s="8">
        <v>32.14</v>
      </c>
      <c r="F231" s="8">
        <v>5.4450000000000003</v>
      </c>
      <c r="G231" s="8">
        <v>4.4029999999999996</v>
      </c>
      <c r="H231" s="8">
        <v>5.1509999999999998</v>
      </c>
      <c r="I231" s="8">
        <v>5.8470000000000004</v>
      </c>
      <c r="J231" s="8">
        <v>6.7130000000000001</v>
      </c>
      <c r="K231" s="8">
        <v>3.41</v>
      </c>
      <c r="L231" s="8">
        <v>6.0170000000000003</v>
      </c>
      <c r="M231" s="8">
        <v>3.9849999999999999</v>
      </c>
      <c r="N231" s="8">
        <v>4.008</v>
      </c>
      <c r="O231" s="8">
        <v>4.4660000000000002</v>
      </c>
    </row>
    <row r="232" spans="1:15" x14ac:dyDescent="0.25">
      <c r="A232" s="5" t="s">
        <v>244</v>
      </c>
      <c r="B232" s="5">
        <v>46</v>
      </c>
      <c r="C232" s="5" t="s">
        <v>3</v>
      </c>
      <c r="D232" s="7">
        <v>303</v>
      </c>
      <c r="E232" s="8">
        <v>32.436000000000007</v>
      </c>
      <c r="F232" s="8">
        <v>5.7409999999999997</v>
      </c>
      <c r="G232" s="8">
        <v>6.4130000000000003</v>
      </c>
      <c r="H232" s="8">
        <v>6.7770000000000001</v>
      </c>
      <c r="I232" s="8">
        <v>6.54</v>
      </c>
      <c r="J232" s="8">
        <v>6.3170000000000002</v>
      </c>
      <c r="K232" s="8">
        <v>2.8</v>
      </c>
      <c r="L232" s="8">
        <v>5.6849999999999996</v>
      </c>
      <c r="M232" s="8">
        <v>4.2560000000000002</v>
      </c>
      <c r="N232" s="8">
        <v>4.0220000000000002</v>
      </c>
      <c r="O232" s="8">
        <v>4.13</v>
      </c>
    </row>
    <row r="233" spans="1:15" x14ac:dyDescent="0.25">
      <c r="A233" s="5" t="s">
        <v>245</v>
      </c>
      <c r="B233" s="5">
        <v>66</v>
      </c>
      <c r="C233" s="5" t="s">
        <v>3</v>
      </c>
      <c r="D233" s="7">
        <v>112</v>
      </c>
      <c r="E233" s="8">
        <v>29.460000000000004</v>
      </c>
      <c r="F233" s="8">
        <v>2.7650000000000001</v>
      </c>
      <c r="G233" s="8">
        <v>5.3860000000000001</v>
      </c>
      <c r="H233" s="8">
        <v>6.5110000000000001</v>
      </c>
      <c r="I233" s="8">
        <v>5.4349999999999996</v>
      </c>
      <c r="J233" s="8">
        <v>6.2450000000000001</v>
      </c>
      <c r="K233" s="8">
        <v>4.681</v>
      </c>
      <c r="L233" s="8">
        <v>5.0330000000000004</v>
      </c>
      <c r="M233" s="8">
        <v>4.24</v>
      </c>
      <c r="N233" s="8">
        <v>4.5149999999999997</v>
      </c>
      <c r="O233" s="8">
        <v>4.5999999999999996</v>
      </c>
    </row>
    <row r="234" spans="1:15" x14ac:dyDescent="0.25">
      <c r="A234" s="5" t="s">
        <v>246</v>
      </c>
      <c r="B234" s="5">
        <v>62</v>
      </c>
      <c r="C234" s="5" t="s">
        <v>2</v>
      </c>
      <c r="D234" s="7">
        <v>295</v>
      </c>
      <c r="E234" s="8">
        <v>32.389000000000003</v>
      </c>
      <c r="F234" s="8">
        <v>5.694</v>
      </c>
      <c r="G234" s="8">
        <v>3.9359999999999999</v>
      </c>
      <c r="H234" s="8">
        <v>5.9119999999999999</v>
      </c>
      <c r="I234" s="8">
        <v>7.1529999999999996</v>
      </c>
      <c r="J234" s="8">
        <v>6.21</v>
      </c>
      <c r="K234" s="8">
        <v>4.8109999999999999</v>
      </c>
      <c r="L234" s="8">
        <v>6.2389999999999999</v>
      </c>
      <c r="M234" s="8">
        <v>3.7759999999999998</v>
      </c>
      <c r="N234" s="8">
        <v>4.0709999999999997</v>
      </c>
      <c r="O234" s="8">
        <v>4.33</v>
      </c>
    </row>
    <row r="235" spans="1:15" x14ac:dyDescent="0.25">
      <c r="A235" s="5" t="s">
        <v>247</v>
      </c>
      <c r="B235" s="5">
        <v>47</v>
      </c>
      <c r="C235" s="5" t="s">
        <v>3</v>
      </c>
      <c r="D235" s="7">
        <v>274</v>
      </c>
      <c r="E235" s="8">
        <v>32.050000000000004</v>
      </c>
      <c r="F235" s="8">
        <v>5.3550000000000004</v>
      </c>
      <c r="G235" s="8">
        <v>7.0220000000000002</v>
      </c>
      <c r="H235" s="8">
        <v>5.2149999999999999</v>
      </c>
      <c r="I235" s="8">
        <v>6.3490000000000002</v>
      </c>
      <c r="J235" s="8">
        <v>6.5659999999999998</v>
      </c>
      <c r="K235" s="8">
        <v>3.0819999999999999</v>
      </c>
      <c r="L235" s="8">
        <v>6.9340000000000002</v>
      </c>
      <c r="M235" s="8">
        <v>4.6280000000000001</v>
      </c>
      <c r="N235" s="8">
        <v>4.1639999999999997</v>
      </c>
      <c r="O235" s="8">
        <v>4.4039999999999999</v>
      </c>
    </row>
    <row r="236" spans="1:15" x14ac:dyDescent="0.25">
      <c r="A236" s="5" t="s">
        <v>248</v>
      </c>
      <c r="B236" s="5">
        <v>33</v>
      </c>
      <c r="C236" s="5" t="s">
        <v>3</v>
      </c>
      <c r="D236" s="7">
        <v>362</v>
      </c>
      <c r="E236" s="8">
        <v>33.650000000000006</v>
      </c>
      <c r="F236" s="8">
        <v>6.9550000000000001</v>
      </c>
      <c r="G236" s="8">
        <v>6.3440000000000003</v>
      </c>
      <c r="H236" s="8">
        <v>6.194</v>
      </c>
      <c r="I236" s="8">
        <v>6.5490000000000004</v>
      </c>
      <c r="J236" s="8">
        <v>5.4560000000000004</v>
      </c>
      <c r="K236" s="8">
        <v>3.6989999999999998</v>
      </c>
      <c r="L236" s="8">
        <v>4.8529999999999998</v>
      </c>
      <c r="M236" s="8">
        <v>3.7389999999999999</v>
      </c>
      <c r="N236" s="8">
        <v>4.1369999999999996</v>
      </c>
      <c r="O236" s="8">
        <v>4.2210000000000001</v>
      </c>
    </row>
    <row r="237" spans="1:15" x14ac:dyDescent="0.25">
      <c r="A237" s="5" t="s">
        <v>249</v>
      </c>
      <c r="B237" s="5">
        <v>57</v>
      </c>
      <c r="C237" s="5" t="s">
        <v>2</v>
      </c>
      <c r="D237" s="7">
        <v>278</v>
      </c>
      <c r="E237" s="8">
        <v>31.798000000000002</v>
      </c>
      <c r="F237" s="8">
        <v>5.1029999999999998</v>
      </c>
      <c r="G237" s="8">
        <v>5.4329999999999998</v>
      </c>
      <c r="H237" s="8">
        <v>6.2450000000000001</v>
      </c>
      <c r="I237" s="8">
        <v>5.5880000000000001</v>
      </c>
      <c r="J237" s="8">
        <v>5.2309999999999999</v>
      </c>
      <c r="K237" s="8">
        <v>4.843</v>
      </c>
      <c r="L237" s="8">
        <v>5.7889999999999997</v>
      </c>
      <c r="M237" s="8">
        <v>4.4820000000000002</v>
      </c>
      <c r="N237" s="8">
        <v>4.0229999999999997</v>
      </c>
      <c r="O237" s="8">
        <v>4.234</v>
      </c>
    </row>
    <row r="238" spans="1:15" x14ac:dyDescent="0.25">
      <c r="A238" s="5" t="s">
        <v>250</v>
      </c>
      <c r="B238" s="5">
        <v>36</v>
      </c>
      <c r="C238" s="5" t="s">
        <v>2</v>
      </c>
      <c r="D238" s="7">
        <v>323</v>
      </c>
      <c r="E238" s="8">
        <v>32.793000000000006</v>
      </c>
      <c r="F238" s="8">
        <v>7.2290000000000001</v>
      </c>
      <c r="G238" s="8">
        <v>6.6349999999999998</v>
      </c>
      <c r="H238" s="8">
        <v>5.2869999999999999</v>
      </c>
      <c r="I238" s="8">
        <v>5.625</v>
      </c>
      <c r="J238" s="8">
        <v>6.665</v>
      </c>
      <c r="K238" s="8">
        <v>3.528</v>
      </c>
      <c r="L238" s="8">
        <v>6.4059999999999997</v>
      </c>
      <c r="M238" s="8">
        <v>3.6059999999999999</v>
      </c>
      <c r="N238" s="8">
        <v>3.94</v>
      </c>
      <c r="O238" s="8">
        <v>4.6130000000000004</v>
      </c>
    </row>
    <row r="239" spans="1:15" x14ac:dyDescent="0.25">
      <c r="A239" s="5" t="s">
        <v>251</v>
      </c>
      <c r="B239" s="5">
        <v>35</v>
      </c>
      <c r="C239" s="5" t="s">
        <v>3</v>
      </c>
      <c r="D239" s="7">
        <v>278</v>
      </c>
      <c r="E239" s="8">
        <v>32.447000000000003</v>
      </c>
      <c r="F239" s="8">
        <v>5.7519999999999998</v>
      </c>
      <c r="G239" s="8">
        <v>5.1929999999999996</v>
      </c>
      <c r="H239" s="8">
        <v>4.9139999999999997</v>
      </c>
      <c r="I239" s="8">
        <v>5.8680000000000003</v>
      </c>
      <c r="J239" s="8">
        <v>5.9390000000000001</v>
      </c>
      <c r="K239" s="8">
        <v>3.423</v>
      </c>
      <c r="L239" s="8">
        <v>6.2320000000000002</v>
      </c>
      <c r="M239" s="8">
        <v>3.6589999999999998</v>
      </c>
      <c r="N239" s="8">
        <v>4.3490000000000002</v>
      </c>
      <c r="O239" s="8">
        <v>4.6950000000000003</v>
      </c>
    </row>
    <row r="240" spans="1:15" x14ac:dyDescent="0.25">
      <c r="A240" s="5" t="s">
        <v>252</v>
      </c>
      <c r="B240" s="5">
        <v>36</v>
      </c>
      <c r="C240" s="5" t="s">
        <v>3</v>
      </c>
      <c r="D240" s="7">
        <v>247</v>
      </c>
      <c r="E240" s="8">
        <v>31.576000000000004</v>
      </c>
      <c r="F240" s="8">
        <v>4.8810000000000002</v>
      </c>
      <c r="G240" s="8">
        <v>5.6710000000000003</v>
      </c>
      <c r="H240" s="8">
        <v>7.7679999999999998</v>
      </c>
      <c r="I240" s="8">
        <v>7.1040000000000001</v>
      </c>
      <c r="J240" s="8">
        <v>5.984</v>
      </c>
      <c r="K240" s="8">
        <v>4.2969999999999997</v>
      </c>
      <c r="L240" s="8">
        <v>5.83</v>
      </c>
      <c r="M240" s="8">
        <v>4.3979999999999997</v>
      </c>
      <c r="N240" s="8">
        <v>4.3849999999999998</v>
      </c>
      <c r="O240" s="8">
        <v>4.258</v>
      </c>
    </row>
    <row r="241" spans="1:15" x14ac:dyDescent="0.25">
      <c r="A241" s="5" t="s">
        <v>253</v>
      </c>
      <c r="B241" s="5">
        <v>64</v>
      </c>
      <c r="C241" s="5" t="s">
        <v>3</v>
      </c>
      <c r="D241" s="7">
        <v>334</v>
      </c>
      <c r="E241" s="8">
        <v>33.171000000000006</v>
      </c>
      <c r="F241" s="8">
        <v>6.476</v>
      </c>
      <c r="G241" s="8">
        <v>5.2009999999999996</v>
      </c>
      <c r="H241" s="8">
        <v>5.657</v>
      </c>
      <c r="I241" s="8">
        <v>6.6109999999999998</v>
      </c>
      <c r="J241" s="8">
        <v>6.1269999999999998</v>
      </c>
      <c r="K241" s="8">
        <v>4.7720000000000002</v>
      </c>
      <c r="L241" s="8">
        <v>6.0750000000000002</v>
      </c>
      <c r="M241" s="8">
        <v>4.1900000000000004</v>
      </c>
      <c r="N241" s="8">
        <v>4.008</v>
      </c>
      <c r="O241" s="8">
        <v>4.6520000000000001</v>
      </c>
    </row>
    <row r="242" spans="1:15" x14ac:dyDescent="0.25">
      <c r="A242" s="5" t="s">
        <v>254</v>
      </c>
      <c r="B242" s="5">
        <v>83</v>
      </c>
      <c r="C242" s="5" t="s">
        <v>3</v>
      </c>
      <c r="D242" s="7">
        <v>298</v>
      </c>
      <c r="E242" s="8">
        <v>32.326000000000008</v>
      </c>
      <c r="F242" s="8">
        <v>5.6310000000000002</v>
      </c>
      <c r="G242" s="8">
        <v>5.4669999999999996</v>
      </c>
      <c r="H242" s="8">
        <v>6.5830000000000002</v>
      </c>
      <c r="I242" s="8">
        <v>5.9180000000000001</v>
      </c>
      <c r="J242" s="8">
        <v>4.8570000000000002</v>
      </c>
      <c r="K242" s="8">
        <v>3.379</v>
      </c>
      <c r="L242" s="8">
        <v>6.16</v>
      </c>
      <c r="M242" s="8">
        <v>4.0780000000000003</v>
      </c>
      <c r="N242" s="8">
        <v>4.1989999999999998</v>
      </c>
      <c r="O242" s="8">
        <v>4.3879999999999999</v>
      </c>
    </row>
    <row r="243" spans="1:15" x14ac:dyDescent="0.25">
      <c r="A243" s="5" t="s">
        <v>255</v>
      </c>
      <c r="B243" s="5">
        <v>55</v>
      </c>
      <c r="C243" s="5" t="s">
        <v>3</v>
      </c>
      <c r="D243" s="7">
        <v>253</v>
      </c>
      <c r="E243" s="8">
        <v>31.831000000000003</v>
      </c>
      <c r="F243" s="8">
        <v>5.1360000000000001</v>
      </c>
      <c r="G243" s="8">
        <v>4.0490000000000004</v>
      </c>
      <c r="H243" s="8">
        <v>4.7859999999999996</v>
      </c>
      <c r="I243" s="8">
        <v>6.1970000000000001</v>
      </c>
      <c r="J243" s="8">
        <v>6.7569999999999997</v>
      </c>
      <c r="K243" s="8">
        <v>4.0419999999999998</v>
      </c>
      <c r="L243" s="8">
        <v>6.3460000000000001</v>
      </c>
      <c r="M243" s="8">
        <v>4.5919999999999996</v>
      </c>
      <c r="N243" s="8">
        <v>3.9940000000000002</v>
      </c>
      <c r="O243" s="8">
        <v>4.101</v>
      </c>
    </row>
    <row r="244" spans="1:15" x14ac:dyDescent="0.25">
      <c r="A244" s="5" t="s">
        <v>256</v>
      </c>
      <c r="B244" s="5">
        <v>68</v>
      </c>
      <c r="C244" s="5" t="s">
        <v>3</v>
      </c>
      <c r="D244" s="7">
        <v>275</v>
      </c>
      <c r="E244" s="8">
        <v>32.102000000000004</v>
      </c>
      <c r="F244" s="8">
        <v>5.407</v>
      </c>
      <c r="G244" s="8">
        <v>7.7649999999999997</v>
      </c>
      <c r="H244" s="8">
        <v>6.2050000000000001</v>
      </c>
      <c r="I244" s="8">
        <v>6.7770000000000001</v>
      </c>
      <c r="J244" s="8">
        <v>4.0339999999999998</v>
      </c>
      <c r="K244" s="8">
        <v>4.3239999999999998</v>
      </c>
      <c r="L244" s="8">
        <v>5.96</v>
      </c>
      <c r="M244" s="8">
        <v>3.9340000000000002</v>
      </c>
      <c r="N244" s="8">
        <v>3.9359999999999999</v>
      </c>
      <c r="O244" s="8">
        <v>4.3040000000000003</v>
      </c>
    </row>
    <row r="245" spans="1:15" x14ac:dyDescent="0.25">
      <c r="A245" s="5" t="s">
        <v>257</v>
      </c>
      <c r="B245" s="5">
        <v>80</v>
      </c>
      <c r="C245" s="5" t="s">
        <v>2</v>
      </c>
      <c r="D245" s="7">
        <v>316</v>
      </c>
      <c r="E245" s="8">
        <v>32.685000000000002</v>
      </c>
      <c r="F245" s="8">
        <v>5.99</v>
      </c>
      <c r="G245" s="8">
        <v>5.0620000000000003</v>
      </c>
      <c r="H245" s="8">
        <v>5.633</v>
      </c>
      <c r="I245" s="8">
        <v>7.048</v>
      </c>
      <c r="J245" s="8">
        <v>6.3220000000000001</v>
      </c>
      <c r="K245" s="8">
        <v>3.0329999999999999</v>
      </c>
      <c r="L245" s="8">
        <v>5.9349999999999996</v>
      </c>
      <c r="M245" s="8">
        <v>4.47</v>
      </c>
      <c r="N245" s="8">
        <v>4.0030000000000001</v>
      </c>
      <c r="O245" s="8">
        <v>4.0599999999999996</v>
      </c>
    </row>
    <row r="246" spans="1:15" x14ac:dyDescent="0.25">
      <c r="A246" s="5" t="s">
        <v>258</v>
      </c>
      <c r="B246" s="5">
        <v>21</v>
      </c>
      <c r="C246" s="5" t="s">
        <v>2</v>
      </c>
      <c r="D246" s="7">
        <v>373</v>
      </c>
      <c r="E246" s="8">
        <v>33.596000000000004</v>
      </c>
      <c r="F246" s="8">
        <v>6.9009999999999998</v>
      </c>
      <c r="G246" s="8">
        <v>4.2610000000000001</v>
      </c>
      <c r="H246" s="8">
        <v>5.5960000000000001</v>
      </c>
      <c r="I246" s="8">
        <v>6.3440000000000003</v>
      </c>
      <c r="J246" s="8">
        <v>5.9180000000000001</v>
      </c>
      <c r="K246" s="8">
        <v>3.351</v>
      </c>
      <c r="L246" s="8">
        <v>5.742</v>
      </c>
      <c r="M246" s="8">
        <v>4.6959999999999997</v>
      </c>
      <c r="N246" s="8">
        <v>4.2249999999999996</v>
      </c>
      <c r="O246" s="8">
        <v>4.4589999999999996</v>
      </c>
    </row>
    <row r="247" spans="1:15" x14ac:dyDescent="0.25">
      <c r="A247" s="5" t="s">
        <v>259</v>
      </c>
      <c r="B247" s="5">
        <v>41</v>
      </c>
      <c r="C247" s="5" t="s">
        <v>2</v>
      </c>
      <c r="D247" s="7">
        <v>254</v>
      </c>
      <c r="E247" s="8">
        <v>31.921000000000003</v>
      </c>
      <c r="F247" s="8">
        <v>5.226</v>
      </c>
      <c r="G247" s="8">
        <v>4.8959999999999999</v>
      </c>
      <c r="H247" s="8">
        <v>4.82</v>
      </c>
      <c r="I247" s="8">
        <v>6.6689999999999996</v>
      </c>
      <c r="J247" s="8">
        <v>6.5640000000000001</v>
      </c>
      <c r="K247" s="8">
        <v>5.2510000000000003</v>
      </c>
      <c r="L247" s="8">
        <v>5.7119999999999997</v>
      </c>
      <c r="M247" s="8">
        <v>4.492</v>
      </c>
      <c r="N247" s="8">
        <v>4.8419999999999996</v>
      </c>
      <c r="O247" s="8">
        <v>4.1959999999999997</v>
      </c>
    </row>
    <row r="248" spans="1:15" x14ac:dyDescent="0.25">
      <c r="A248" s="5" t="s">
        <v>260</v>
      </c>
      <c r="B248" s="5">
        <v>25</v>
      </c>
      <c r="C248" s="5" t="s">
        <v>3</v>
      </c>
      <c r="D248" s="7">
        <v>319</v>
      </c>
      <c r="E248" s="8">
        <v>32.871000000000002</v>
      </c>
      <c r="F248" s="8">
        <v>6.1760000000000002</v>
      </c>
      <c r="G248" s="8">
        <v>3.7349999999999999</v>
      </c>
      <c r="H248" s="8">
        <v>5.0579999999999998</v>
      </c>
      <c r="I248" s="8">
        <v>5.83</v>
      </c>
      <c r="J248" s="8">
        <v>5.4509999999999996</v>
      </c>
      <c r="K248" s="8">
        <v>3.6219999999999999</v>
      </c>
      <c r="L248" s="8">
        <v>5.351</v>
      </c>
      <c r="M248" s="8">
        <v>3.83</v>
      </c>
      <c r="N248" s="8">
        <v>4.2270000000000003</v>
      </c>
      <c r="O248" s="8">
        <v>4.1139999999999999</v>
      </c>
    </row>
    <row r="249" spans="1:15" x14ac:dyDescent="0.25">
      <c r="A249" s="5" t="s">
        <v>261</v>
      </c>
      <c r="B249" s="5">
        <v>46</v>
      </c>
      <c r="C249" s="5" t="s">
        <v>2</v>
      </c>
      <c r="D249" s="7">
        <v>289</v>
      </c>
      <c r="E249" s="8">
        <v>32.386000000000003</v>
      </c>
      <c r="F249" s="8">
        <v>5.6909999999999998</v>
      </c>
      <c r="G249" s="8">
        <v>5.8049999999999997</v>
      </c>
      <c r="H249" s="8">
        <v>6.09</v>
      </c>
      <c r="I249" s="8">
        <v>6.5990000000000002</v>
      </c>
      <c r="J249" s="8">
        <v>5.47</v>
      </c>
      <c r="K249" s="8">
        <v>3.3330000000000002</v>
      </c>
      <c r="L249" s="8">
        <v>6.2779999999999996</v>
      </c>
      <c r="M249" s="8">
        <v>4.048</v>
      </c>
      <c r="N249" s="8">
        <v>4.4660000000000002</v>
      </c>
      <c r="O249" s="8">
        <v>4.4619999999999997</v>
      </c>
    </row>
    <row r="250" spans="1:15" x14ac:dyDescent="0.25">
      <c r="A250" s="5" t="s">
        <v>262</v>
      </c>
      <c r="B250" s="5">
        <v>72</v>
      </c>
      <c r="C250" s="5" t="s">
        <v>3</v>
      </c>
      <c r="D250" s="7">
        <v>316</v>
      </c>
      <c r="E250" s="8">
        <v>32.865000000000002</v>
      </c>
      <c r="F250" s="8">
        <v>6.17</v>
      </c>
      <c r="G250" s="8">
        <v>5.4749999999999996</v>
      </c>
      <c r="H250" s="8">
        <v>5.9720000000000004</v>
      </c>
      <c r="I250" s="8">
        <v>6.1909999999999998</v>
      </c>
      <c r="J250" s="8">
        <v>5.867</v>
      </c>
      <c r="K250" s="8">
        <v>4.1550000000000002</v>
      </c>
      <c r="L250" s="8">
        <v>6.1790000000000003</v>
      </c>
      <c r="M250" s="8">
        <v>4.3970000000000002</v>
      </c>
      <c r="N250" s="8">
        <v>4.2990000000000004</v>
      </c>
      <c r="O250" s="8">
        <v>4.5739999999999998</v>
      </c>
    </row>
    <row r="251" spans="1:15" x14ac:dyDescent="0.25">
      <c r="A251" s="5" t="s">
        <v>263</v>
      </c>
      <c r="B251" s="5">
        <v>20</v>
      </c>
      <c r="C251" s="5" t="s">
        <v>3</v>
      </c>
      <c r="D251" s="7">
        <v>311</v>
      </c>
      <c r="E251" s="8">
        <v>32.403000000000006</v>
      </c>
      <c r="F251" s="8">
        <v>5.7080000000000002</v>
      </c>
      <c r="G251" s="8">
        <v>5.4630000000000001</v>
      </c>
      <c r="H251" s="8">
        <v>6.6639999999999997</v>
      </c>
      <c r="I251" s="8">
        <v>6.01</v>
      </c>
      <c r="J251" s="8">
        <v>6.3410000000000002</v>
      </c>
      <c r="K251" s="8">
        <v>3.923</v>
      </c>
      <c r="L251" s="8">
        <v>6.226</v>
      </c>
      <c r="M251" s="8">
        <v>4.6239999999999997</v>
      </c>
      <c r="N251" s="8">
        <v>4.7050000000000001</v>
      </c>
      <c r="O251" s="8">
        <v>4.306</v>
      </c>
    </row>
    <row r="252" spans="1:15" x14ac:dyDescent="0.25">
      <c r="A252" s="5" t="s">
        <v>264</v>
      </c>
      <c r="B252" s="5">
        <v>49</v>
      </c>
      <c r="C252" s="5" t="s">
        <v>2</v>
      </c>
      <c r="D252" s="7">
        <v>305</v>
      </c>
      <c r="E252" s="8">
        <v>32.523000000000003</v>
      </c>
      <c r="F252" s="8">
        <v>5.8280000000000003</v>
      </c>
      <c r="G252" s="8">
        <v>6.7949999999999999</v>
      </c>
      <c r="H252" s="8">
        <v>3.762</v>
      </c>
      <c r="I252" s="8">
        <v>7.1550000000000002</v>
      </c>
      <c r="J252" s="8">
        <v>5.9370000000000003</v>
      </c>
      <c r="K252" s="8">
        <v>3.1269999999999998</v>
      </c>
      <c r="L252" s="8">
        <v>5.3019999999999996</v>
      </c>
      <c r="M252" s="8">
        <v>4.2709999999999999</v>
      </c>
      <c r="N252" s="8">
        <v>4.0199999999999996</v>
      </c>
      <c r="O252" s="8">
        <v>4.3369999999999997</v>
      </c>
    </row>
    <row r="253" spans="1:15" x14ac:dyDescent="0.25">
      <c r="A253" s="5" t="s">
        <v>265</v>
      </c>
      <c r="B253" s="5">
        <v>27</v>
      </c>
      <c r="C253" s="5" t="s">
        <v>3</v>
      </c>
      <c r="D253" s="7">
        <v>221</v>
      </c>
      <c r="E253" s="8">
        <v>31.372000000000003</v>
      </c>
      <c r="F253" s="8">
        <v>4.6769999999999996</v>
      </c>
      <c r="G253" s="8">
        <v>5.681</v>
      </c>
      <c r="H253" s="8">
        <v>6.56</v>
      </c>
      <c r="I253" s="8">
        <v>6.16</v>
      </c>
      <c r="J253" s="8">
        <v>6.1870000000000003</v>
      </c>
      <c r="K253" s="8">
        <v>4.2</v>
      </c>
      <c r="L253" s="8">
        <v>5.91</v>
      </c>
      <c r="M253" s="8">
        <v>4.4560000000000004</v>
      </c>
      <c r="N253" s="8">
        <v>4.3230000000000004</v>
      </c>
      <c r="O253" s="8">
        <v>3.9510000000000001</v>
      </c>
    </row>
    <row r="254" spans="1:15" x14ac:dyDescent="0.25">
      <c r="A254" s="5" t="s">
        <v>266</v>
      </c>
      <c r="B254" s="5">
        <v>51</v>
      </c>
      <c r="C254" s="5" t="s">
        <v>3</v>
      </c>
      <c r="D254" s="7">
        <v>310</v>
      </c>
      <c r="E254" s="8">
        <v>32.527000000000001</v>
      </c>
      <c r="F254" s="8">
        <v>5.8319999999999999</v>
      </c>
      <c r="G254" s="8">
        <v>6.0449999999999999</v>
      </c>
      <c r="H254" s="8">
        <v>5.7530000000000001</v>
      </c>
      <c r="I254" s="8">
        <v>6.7039999999999997</v>
      </c>
      <c r="J254" s="8">
        <v>5.7249999999999996</v>
      </c>
      <c r="K254" s="8">
        <v>3.7669999999999999</v>
      </c>
      <c r="L254" s="8">
        <v>5.6289999999999996</v>
      </c>
      <c r="M254" s="8">
        <v>4.3449999999999998</v>
      </c>
      <c r="N254" s="8">
        <v>4.1230000000000002</v>
      </c>
      <c r="O254" s="8">
        <v>4.1870000000000003</v>
      </c>
    </row>
    <row r="255" spans="1:15" x14ac:dyDescent="0.25">
      <c r="A255" s="5" t="s">
        <v>267</v>
      </c>
      <c r="B255" s="5">
        <v>72</v>
      </c>
      <c r="C255" s="5" t="s">
        <v>2</v>
      </c>
      <c r="D255" s="7">
        <v>322</v>
      </c>
      <c r="E255" s="8">
        <v>32.539000000000001</v>
      </c>
      <c r="F255" s="8">
        <v>5.8440000000000003</v>
      </c>
      <c r="G255" s="8">
        <v>5.3</v>
      </c>
      <c r="H255" s="8">
        <v>4.99</v>
      </c>
      <c r="I255" s="8">
        <v>4.4020000000000001</v>
      </c>
      <c r="J255" s="8">
        <v>6.8639999999999999</v>
      </c>
      <c r="K255" s="8">
        <v>3.6819999999999999</v>
      </c>
      <c r="L255" s="8">
        <v>6.0220000000000002</v>
      </c>
      <c r="M255" s="8">
        <v>3.9279999999999999</v>
      </c>
      <c r="N255" s="8">
        <v>4.6920000000000002</v>
      </c>
      <c r="O255" s="8">
        <v>4.4470000000000001</v>
      </c>
    </row>
    <row r="256" spans="1:15" x14ac:dyDescent="0.25">
      <c r="A256" s="5" t="s">
        <v>268</v>
      </c>
      <c r="B256" s="5">
        <v>49</v>
      </c>
      <c r="C256" s="5" t="s">
        <v>2</v>
      </c>
      <c r="D256" s="7">
        <v>258</v>
      </c>
      <c r="E256" s="8">
        <v>31.627000000000002</v>
      </c>
      <c r="F256" s="8">
        <v>5.88</v>
      </c>
      <c r="G256" s="8">
        <v>5.9390000000000001</v>
      </c>
      <c r="H256" s="8">
        <v>5.3890000000000002</v>
      </c>
      <c r="I256" s="8">
        <v>6.0629999999999997</v>
      </c>
      <c r="J256" s="8">
        <v>6.3559999999999999</v>
      </c>
      <c r="K256" s="8">
        <v>4.6870000000000003</v>
      </c>
      <c r="L256" s="8">
        <v>7.23</v>
      </c>
      <c r="M256" s="8">
        <v>4.194</v>
      </c>
      <c r="N256" s="8">
        <v>4.1189999999999998</v>
      </c>
      <c r="O256" s="8">
        <v>4.3719999999999999</v>
      </c>
    </row>
    <row r="257" spans="1:15" x14ac:dyDescent="0.25">
      <c r="A257" s="5" t="s">
        <v>269</v>
      </c>
      <c r="B257" s="5">
        <v>67</v>
      </c>
      <c r="C257" s="5" t="s">
        <v>2</v>
      </c>
      <c r="D257" s="7">
        <v>332</v>
      </c>
      <c r="E257" s="8">
        <v>33.284000000000006</v>
      </c>
      <c r="F257" s="8">
        <v>6.5890000000000004</v>
      </c>
      <c r="G257" s="8">
        <v>4.9400000000000004</v>
      </c>
      <c r="H257" s="8">
        <v>5.0830000000000002</v>
      </c>
      <c r="I257" s="8">
        <v>6.3540000000000001</v>
      </c>
      <c r="J257" s="8">
        <v>5.5049999999999999</v>
      </c>
      <c r="K257" s="8">
        <v>2.8479999999999999</v>
      </c>
      <c r="L257" s="8">
        <v>5.98</v>
      </c>
      <c r="M257" s="8">
        <v>4.1719999999999997</v>
      </c>
      <c r="N257" s="8">
        <v>5.0620000000000003</v>
      </c>
      <c r="O257" s="8">
        <v>4.6070000000000002</v>
      </c>
    </row>
    <row r="258" spans="1:15" x14ac:dyDescent="0.25">
      <c r="A258" s="5" t="s">
        <v>270</v>
      </c>
      <c r="B258" s="5">
        <v>24</v>
      </c>
      <c r="C258" s="5" t="s">
        <v>3</v>
      </c>
      <c r="D258" s="7">
        <v>337</v>
      </c>
      <c r="E258" s="8">
        <v>33.19</v>
      </c>
      <c r="F258" s="8">
        <v>6.4950000000000001</v>
      </c>
      <c r="G258" s="8">
        <v>5.0570000000000004</v>
      </c>
      <c r="H258" s="8">
        <v>6.8609999999999998</v>
      </c>
      <c r="I258" s="8">
        <v>7.133</v>
      </c>
      <c r="J258" s="8">
        <v>6.1139999999999999</v>
      </c>
      <c r="K258" s="8">
        <v>4.4690000000000003</v>
      </c>
      <c r="L258" s="8">
        <v>5.9359999999999999</v>
      </c>
      <c r="M258" s="8">
        <v>4.343</v>
      </c>
      <c r="N258" s="8">
        <v>4.7309999999999999</v>
      </c>
      <c r="O258" s="8">
        <v>4.351</v>
      </c>
    </row>
    <row r="259" spans="1:15" x14ac:dyDescent="0.25">
      <c r="A259" s="5" t="s">
        <v>271</v>
      </c>
      <c r="B259" s="5">
        <v>25</v>
      </c>
      <c r="C259" s="5" t="s">
        <v>2</v>
      </c>
      <c r="D259" s="7">
        <v>306</v>
      </c>
      <c r="E259" s="8">
        <v>32.404000000000003</v>
      </c>
      <c r="F259" s="8">
        <v>5.7089999999999996</v>
      </c>
      <c r="G259" s="8">
        <v>3.7450000000000001</v>
      </c>
      <c r="H259" s="8">
        <v>6.2960000000000003</v>
      </c>
      <c r="I259" s="8">
        <v>5.7240000000000002</v>
      </c>
      <c r="J259" s="8">
        <v>6.0229999999999997</v>
      </c>
      <c r="K259" s="8">
        <v>4.5019999999999998</v>
      </c>
      <c r="L259" s="8">
        <v>6.5650000000000004</v>
      </c>
      <c r="M259" s="8">
        <v>4.5979999999999999</v>
      </c>
      <c r="N259" s="8">
        <v>4.3310000000000004</v>
      </c>
      <c r="O259" s="8">
        <v>4.5979999999999999</v>
      </c>
    </row>
    <row r="260" spans="1:15" x14ac:dyDescent="0.25">
      <c r="A260" s="5" t="s">
        <v>272</v>
      </c>
      <c r="B260" s="5">
        <v>82</v>
      </c>
      <c r="C260" s="5" t="s">
        <v>2</v>
      </c>
      <c r="D260" s="7">
        <v>251</v>
      </c>
      <c r="E260" s="8">
        <v>31.796000000000003</v>
      </c>
      <c r="F260" s="8">
        <v>5.101</v>
      </c>
      <c r="G260" s="8">
        <v>5.0190000000000001</v>
      </c>
      <c r="H260" s="8">
        <v>6.7169999999999996</v>
      </c>
      <c r="I260" s="8">
        <v>7.2270000000000003</v>
      </c>
      <c r="J260" s="8">
        <v>6.3929999999999998</v>
      </c>
      <c r="K260" s="8">
        <v>4.9210000000000003</v>
      </c>
      <c r="L260" s="8">
        <v>6.4909999999999997</v>
      </c>
      <c r="M260" s="8">
        <v>4.3070000000000004</v>
      </c>
      <c r="N260" s="8">
        <v>3.8820000000000001</v>
      </c>
      <c r="O260" s="8">
        <v>4.3559999999999999</v>
      </c>
    </row>
    <row r="261" spans="1:15" x14ac:dyDescent="0.25">
      <c r="A261" s="5" t="s">
        <v>273</v>
      </c>
      <c r="B261" s="5">
        <v>74</v>
      </c>
      <c r="C261" s="5" t="s">
        <v>3</v>
      </c>
      <c r="D261" s="7">
        <v>316</v>
      </c>
      <c r="E261" s="8">
        <v>32.701000000000008</v>
      </c>
      <c r="F261" s="8">
        <v>6.0060000000000002</v>
      </c>
      <c r="G261" s="8">
        <v>4.3609999999999998</v>
      </c>
      <c r="H261" s="8">
        <v>5.415</v>
      </c>
      <c r="I261" s="8">
        <v>5.492</v>
      </c>
      <c r="J261" s="8">
        <v>5.2149999999999999</v>
      </c>
      <c r="K261" s="8">
        <v>3.0960000000000001</v>
      </c>
      <c r="L261" s="8">
        <v>5.7119999999999997</v>
      </c>
      <c r="M261" s="8">
        <v>4.9480000000000004</v>
      </c>
      <c r="N261" s="8">
        <v>4.09</v>
      </c>
      <c r="O261" s="8">
        <v>4.3979999999999997</v>
      </c>
    </row>
    <row r="262" spans="1:15" x14ac:dyDescent="0.25">
      <c r="A262" s="5" t="s">
        <v>274</v>
      </c>
      <c r="B262" s="5">
        <v>84</v>
      </c>
      <c r="C262" s="5" t="s">
        <v>2</v>
      </c>
      <c r="D262" s="7">
        <v>281</v>
      </c>
      <c r="E262" s="8">
        <v>32.067000000000007</v>
      </c>
      <c r="F262" s="8">
        <v>5.3719999999999999</v>
      </c>
      <c r="G262" s="8">
        <v>5.181</v>
      </c>
      <c r="H262" s="8">
        <v>6.3929999999999998</v>
      </c>
      <c r="I262" s="8">
        <v>5.2530000000000001</v>
      </c>
      <c r="J262" s="8">
        <v>5.2210000000000001</v>
      </c>
      <c r="K262" s="8">
        <v>3.6379999999999999</v>
      </c>
      <c r="L262" s="8">
        <v>6.718</v>
      </c>
      <c r="M262" s="8">
        <v>4.5049999999999999</v>
      </c>
      <c r="N262" s="8">
        <v>4.0469999999999997</v>
      </c>
      <c r="O262" s="8">
        <v>4.1040000000000001</v>
      </c>
    </row>
    <row r="263" spans="1:15" x14ac:dyDescent="0.25">
      <c r="A263" s="5" t="s">
        <v>275</v>
      </c>
      <c r="B263" s="5">
        <v>76</v>
      </c>
      <c r="C263" s="5" t="s">
        <v>2</v>
      </c>
      <c r="D263" s="7">
        <v>258</v>
      </c>
      <c r="E263" s="8">
        <v>31.94</v>
      </c>
      <c r="F263" s="8">
        <v>5.2450000000000001</v>
      </c>
      <c r="G263" s="8">
        <v>6.0990000000000002</v>
      </c>
      <c r="H263" s="8">
        <v>5.8840000000000003</v>
      </c>
      <c r="I263" s="8">
        <v>6.5620000000000003</v>
      </c>
      <c r="J263" s="8">
        <v>5.4409999999999998</v>
      </c>
      <c r="K263" s="8">
        <v>3.335</v>
      </c>
      <c r="L263" s="8">
        <v>6.6849999999999996</v>
      </c>
      <c r="M263" s="8">
        <v>4.056</v>
      </c>
      <c r="N263" s="8">
        <v>4.407</v>
      </c>
      <c r="O263" s="8">
        <v>4.3819999999999997</v>
      </c>
    </row>
    <row r="264" spans="1:15" x14ac:dyDescent="0.25">
      <c r="A264" s="5" t="s">
        <v>276</v>
      </c>
      <c r="B264" s="5">
        <v>71</v>
      </c>
      <c r="C264" s="5" t="s">
        <v>2</v>
      </c>
      <c r="D264" s="7">
        <v>277</v>
      </c>
      <c r="E264" s="8">
        <v>32.117000000000004</v>
      </c>
      <c r="F264" s="8">
        <v>5.4219999999999997</v>
      </c>
      <c r="G264" s="8">
        <v>5.1609999999999996</v>
      </c>
      <c r="H264" s="8">
        <v>6.6859999999999999</v>
      </c>
      <c r="I264" s="8">
        <v>6.7539999999999996</v>
      </c>
      <c r="J264" s="8">
        <v>5.4089999999999998</v>
      </c>
      <c r="K264" s="8">
        <v>4.9009999999999998</v>
      </c>
      <c r="L264" s="8">
        <v>5.4870000000000001</v>
      </c>
      <c r="M264" s="8">
        <v>4.2779999999999996</v>
      </c>
      <c r="N264" s="8">
        <v>3.8839999999999999</v>
      </c>
      <c r="O264" s="8">
        <v>4.1710000000000003</v>
      </c>
    </row>
    <row r="265" spans="1:15" x14ac:dyDescent="0.25">
      <c r="A265" s="5" t="s">
        <v>277</v>
      </c>
      <c r="B265" s="5">
        <v>84</v>
      </c>
      <c r="C265" s="5" t="s">
        <v>3</v>
      </c>
      <c r="D265" s="7">
        <v>233</v>
      </c>
      <c r="E265" s="8">
        <v>31.880000000000003</v>
      </c>
      <c r="F265" s="8">
        <v>5.1849999999999996</v>
      </c>
      <c r="G265" s="8">
        <v>6.6760000000000002</v>
      </c>
      <c r="H265" s="8">
        <v>5.7149999999999999</v>
      </c>
      <c r="I265" s="8">
        <v>7.2770000000000001</v>
      </c>
      <c r="J265" s="8">
        <v>6.3540000000000001</v>
      </c>
      <c r="K265" s="8">
        <v>4.9379999999999997</v>
      </c>
      <c r="L265" s="8">
        <v>6.0190000000000001</v>
      </c>
      <c r="M265" s="8">
        <v>4.9569999999999999</v>
      </c>
      <c r="N265" s="8">
        <v>4.54</v>
      </c>
      <c r="O265" s="8">
        <v>4.3869999999999996</v>
      </c>
    </row>
    <row r="266" spans="1:15" x14ac:dyDescent="0.25">
      <c r="A266" s="5" t="s">
        <v>278</v>
      </c>
      <c r="B266" s="5">
        <v>68</v>
      </c>
      <c r="C266" s="5" t="s">
        <v>3</v>
      </c>
      <c r="D266" s="7">
        <v>254</v>
      </c>
      <c r="E266" s="8">
        <v>31.887000000000004</v>
      </c>
      <c r="F266" s="8">
        <v>5.1920000000000002</v>
      </c>
      <c r="G266" s="8">
        <v>5.843</v>
      </c>
      <c r="H266" s="8">
        <v>6.1139999999999999</v>
      </c>
      <c r="I266" s="8">
        <v>5.0229999999999997</v>
      </c>
      <c r="J266" s="8">
        <v>4.9390000000000001</v>
      </c>
      <c r="K266" s="8">
        <v>4.1459999999999999</v>
      </c>
      <c r="L266" s="8">
        <v>6.2510000000000003</v>
      </c>
      <c r="M266" s="8">
        <v>4.2569999999999997</v>
      </c>
      <c r="N266" s="8">
        <v>3.7440000000000002</v>
      </c>
      <c r="O266" s="8">
        <v>4.1130000000000004</v>
      </c>
    </row>
    <row r="267" spans="1:15" x14ac:dyDescent="0.25">
      <c r="A267" s="5" t="s">
        <v>279</v>
      </c>
      <c r="B267" s="5">
        <v>25</v>
      </c>
      <c r="C267" s="5" t="s">
        <v>3</v>
      </c>
      <c r="D267" s="7">
        <v>303</v>
      </c>
      <c r="E267" s="8">
        <v>32.596000000000004</v>
      </c>
      <c r="F267" s="8">
        <v>5.9009999999999998</v>
      </c>
      <c r="G267" s="8">
        <v>5.1859999999999999</v>
      </c>
      <c r="H267" s="8">
        <v>6.282</v>
      </c>
      <c r="I267" s="8">
        <v>5.7160000000000002</v>
      </c>
      <c r="J267" s="8">
        <v>6.0949999999999998</v>
      </c>
      <c r="K267" s="8">
        <v>3.5510000000000002</v>
      </c>
      <c r="L267" s="8">
        <v>5.8239999999999998</v>
      </c>
      <c r="M267" s="8">
        <v>4.3070000000000004</v>
      </c>
      <c r="N267" s="8">
        <v>4.0430000000000001</v>
      </c>
      <c r="O267" s="8">
        <v>4.2389999999999999</v>
      </c>
    </row>
    <row r="268" spans="1:15" x14ac:dyDescent="0.25">
      <c r="A268" s="5" t="s">
        <v>280</v>
      </c>
      <c r="B268" s="5">
        <v>51</v>
      </c>
      <c r="C268" s="5" t="s">
        <v>3</v>
      </c>
      <c r="D268" s="7">
        <v>262</v>
      </c>
      <c r="E268" s="8">
        <v>32.066000000000003</v>
      </c>
      <c r="F268" s="8">
        <v>5.3710000000000004</v>
      </c>
      <c r="G268" s="8">
        <v>6.1829999999999998</v>
      </c>
      <c r="H268" s="8">
        <v>5.3250000000000002</v>
      </c>
      <c r="I268" s="8">
        <v>4.9530000000000003</v>
      </c>
      <c r="J268" s="8">
        <v>5.9240000000000004</v>
      </c>
      <c r="K268" s="8">
        <v>3.2639999999999998</v>
      </c>
      <c r="L268" s="8">
        <v>5.9390000000000001</v>
      </c>
      <c r="M268" s="8">
        <v>4.24</v>
      </c>
      <c r="N268" s="8">
        <v>4.1840000000000002</v>
      </c>
      <c r="O268" s="8">
        <v>4.5220000000000002</v>
      </c>
    </row>
    <row r="269" spans="1:15" x14ac:dyDescent="0.25">
      <c r="A269" s="5" t="s">
        <v>281</v>
      </c>
      <c r="B269" s="5">
        <v>52</v>
      </c>
      <c r="C269" s="5" t="s">
        <v>2</v>
      </c>
      <c r="D269" s="7">
        <v>376</v>
      </c>
      <c r="E269" s="8">
        <v>33.523000000000003</v>
      </c>
      <c r="F269" s="8">
        <v>6.8280000000000003</v>
      </c>
      <c r="G269" s="8">
        <v>5.7679999999999998</v>
      </c>
      <c r="H269" s="8">
        <v>5.8029999999999999</v>
      </c>
      <c r="I269" s="8">
        <v>5.5940000000000003</v>
      </c>
      <c r="J269" s="8">
        <v>5.6829999999999998</v>
      </c>
      <c r="K269" s="8">
        <v>4.0919999999999996</v>
      </c>
      <c r="L269" s="8">
        <v>6.343</v>
      </c>
      <c r="M269" s="8">
        <v>4.0019999999999998</v>
      </c>
      <c r="N269" s="8">
        <v>4.298</v>
      </c>
      <c r="O269" s="8">
        <v>4.077</v>
      </c>
    </row>
    <row r="270" spans="1:15" x14ac:dyDescent="0.25">
      <c r="A270" s="5" t="s">
        <v>282</v>
      </c>
      <c r="B270" s="5">
        <v>49</v>
      </c>
      <c r="C270" s="5" t="s">
        <v>3</v>
      </c>
      <c r="D270" s="7">
        <v>308</v>
      </c>
      <c r="E270" s="8">
        <v>32.866</v>
      </c>
      <c r="F270" s="8">
        <v>6.1710000000000003</v>
      </c>
      <c r="G270" s="8">
        <v>4.835</v>
      </c>
      <c r="H270" s="8">
        <v>5.4969999999999999</v>
      </c>
      <c r="I270" s="8">
        <v>6.7060000000000004</v>
      </c>
      <c r="J270" s="8">
        <v>4.6870000000000003</v>
      </c>
      <c r="K270" s="8">
        <v>3.734</v>
      </c>
      <c r="L270" s="8">
        <v>5.3760000000000003</v>
      </c>
      <c r="M270" s="8">
        <v>3.891</v>
      </c>
      <c r="N270" s="8">
        <v>4.2830000000000004</v>
      </c>
      <c r="O270" s="8">
        <v>4.2759999999999998</v>
      </c>
    </row>
    <row r="271" spans="1:15" x14ac:dyDescent="0.25">
      <c r="A271" s="5" t="s">
        <v>283</v>
      </c>
      <c r="B271" s="5">
        <v>63</v>
      </c>
      <c r="C271" s="5" t="s">
        <v>3</v>
      </c>
      <c r="D271" s="7">
        <v>237</v>
      </c>
      <c r="E271" s="8">
        <v>31.503000000000004</v>
      </c>
      <c r="F271" s="8">
        <v>4.8079999999999998</v>
      </c>
      <c r="G271" s="8">
        <v>6.5069999999999997</v>
      </c>
      <c r="H271" s="8">
        <v>6.0359999999999996</v>
      </c>
      <c r="I271" s="8">
        <v>6.6219999999999999</v>
      </c>
      <c r="J271" s="8">
        <v>6.1509999999999998</v>
      </c>
      <c r="K271" s="8">
        <v>3.6909999999999998</v>
      </c>
      <c r="L271" s="8">
        <v>5.77</v>
      </c>
      <c r="M271" s="8">
        <v>4.0679999999999996</v>
      </c>
      <c r="N271" s="8">
        <v>4.5149999999999997</v>
      </c>
      <c r="O271" s="8">
        <v>4.4889999999999999</v>
      </c>
    </row>
    <row r="272" spans="1:15" x14ac:dyDescent="0.25">
      <c r="A272" s="5" t="s">
        <v>284</v>
      </c>
      <c r="B272" s="5">
        <v>33</v>
      </c>
      <c r="C272" s="5" t="s">
        <v>2</v>
      </c>
      <c r="D272" s="7">
        <v>280</v>
      </c>
      <c r="E272" s="8">
        <v>32.146000000000001</v>
      </c>
      <c r="F272" s="8">
        <v>5.4509999999999996</v>
      </c>
      <c r="G272" s="8">
        <v>5.415</v>
      </c>
      <c r="H272" s="8">
        <v>6.577</v>
      </c>
      <c r="I272" s="8">
        <v>5.851</v>
      </c>
      <c r="J272" s="8">
        <v>5.5170000000000003</v>
      </c>
      <c r="K272" s="8">
        <v>3.464</v>
      </c>
      <c r="L272" s="8">
        <v>6.117</v>
      </c>
      <c r="M272" s="8">
        <v>3.5569999999999999</v>
      </c>
      <c r="N272" s="8">
        <v>4.4429999999999996</v>
      </c>
      <c r="O272" s="8">
        <v>4.0289999999999999</v>
      </c>
    </row>
    <row r="273" spans="1:15" x14ac:dyDescent="0.25">
      <c r="A273" s="5" t="s">
        <v>285</v>
      </c>
      <c r="B273" s="5">
        <v>83</v>
      </c>
      <c r="C273" s="5" t="s">
        <v>2</v>
      </c>
      <c r="D273" s="7">
        <v>276</v>
      </c>
      <c r="E273" s="8">
        <v>31.868000000000002</v>
      </c>
      <c r="F273" s="8">
        <v>5.173</v>
      </c>
      <c r="G273" s="8">
        <v>4.9969999999999999</v>
      </c>
      <c r="H273" s="8">
        <v>5.5789999999999997</v>
      </c>
      <c r="I273" s="8">
        <v>5.7220000000000004</v>
      </c>
      <c r="J273" s="8">
        <v>5.5490000000000004</v>
      </c>
      <c r="K273" s="8">
        <v>3.2909999999999999</v>
      </c>
      <c r="L273" s="8">
        <v>5.5519999999999996</v>
      </c>
      <c r="M273" s="8">
        <v>4.4640000000000004</v>
      </c>
      <c r="N273" s="8">
        <v>3.7810000000000001</v>
      </c>
      <c r="O273" s="8">
        <v>4.258</v>
      </c>
    </row>
    <row r="274" spans="1:15" x14ac:dyDescent="0.25">
      <c r="A274" s="5" t="s">
        <v>286</v>
      </c>
      <c r="B274" s="5">
        <v>54</v>
      </c>
      <c r="C274" s="5" t="s">
        <v>2</v>
      </c>
      <c r="D274" s="7">
        <v>286</v>
      </c>
      <c r="E274" s="8">
        <v>32.498000000000005</v>
      </c>
      <c r="F274" s="8">
        <v>5.8029999999999999</v>
      </c>
      <c r="G274" s="8">
        <v>5.2990000000000004</v>
      </c>
      <c r="H274" s="8">
        <v>5.2590000000000003</v>
      </c>
      <c r="I274" s="8">
        <v>6.2489999999999997</v>
      </c>
      <c r="J274" s="8">
        <v>5.5579999999999998</v>
      </c>
      <c r="K274" s="8">
        <v>3.9609999999999999</v>
      </c>
      <c r="L274" s="8">
        <v>6.7309999999999999</v>
      </c>
      <c r="M274" s="8">
        <v>4.3609999999999998</v>
      </c>
      <c r="N274" s="8">
        <v>3.6779999999999999</v>
      </c>
      <c r="O274" s="8">
        <v>4.0789999999999997</v>
      </c>
    </row>
    <row r="275" spans="1:15" x14ac:dyDescent="0.25">
      <c r="A275" s="5" t="s">
        <v>287</v>
      </c>
      <c r="B275" s="5">
        <v>71</v>
      </c>
      <c r="C275" s="5" t="s">
        <v>3</v>
      </c>
      <c r="D275" s="7">
        <v>415</v>
      </c>
      <c r="E275" s="8">
        <v>34.252000000000002</v>
      </c>
      <c r="F275" s="8">
        <v>7.5570000000000004</v>
      </c>
      <c r="G275" s="8">
        <v>5.6829999999999998</v>
      </c>
      <c r="H275" s="8">
        <v>7.0990000000000002</v>
      </c>
      <c r="I275" s="8">
        <v>6.0039999999999996</v>
      </c>
      <c r="J275" s="8">
        <v>6.181</v>
      </c>
      <c r="K275" s="8">
        <v>4.03</v>
      </c>
      <c r="L275" s="8">
        <v>6.2119999999999997</v>
      </c>
      <c r="M275" s="8">
        <v>4.0289999999999999</v>
      </c>
      <c r="N275" s="8">
        <v>4.5250000000000004</v>
      </c>
      <c r="O275" s="8">
        <v>4.8360000000000003</v>
      </c>
    </row>
    <row r="276" spans="1:15" x14ac:dyDescent="0.25">
      <c r="A276" s="5" t="s">
        <v>288</v>
      </c>
      <c r="B276" s="5">
        <v>31</v>
      </c>
      <c r="C276" s="5" t="s">
        <v>3</v>
      </c>
      <c r="D276" s="7">
        <v>384</v>
      </c>
      <c r="E276" s="8">
        <v>33.902000000000001</v>
      </c>
      <c r="F276" s="8">
        <v>7.2069999999999999</v>
      </c>
      <c r="G276" s="8">
        <v>4.9820000000000002</v>
      </c>
      <c r="H276" s="8">
        <v>5.9370000000000003</v>
      </c>
      <c r="I276" s="8">
        <v>6.0629999999999997</v>
      </c>
      <c r="J276" s="8">
        <v>4.9269999999999996</v>
      </c>
      <c r="K276" s="8">
        <v>4.0389999999999997</v>
      </c>
      <c r="L276" s="8">
        <v>6.5119999999999996</v>
      </c>
      <c r="M276" s="8">
        <v>3.97</v>
      </c>
      <c r="N276" s="8">
        <v>4.2720000000000002</v>
      </c>
      <c r="O276" s="8">
        <v>4.1260000000000003</v>
      </c>
    </row>
    <row r="277" spans="1:15" x14ac:dyDescent="0.25">
      <c r="A277" s="5" t="s">
        <v>289</v>
      </c>
      <c r="B277" s="5">
        <v>72</v>
      </c>
      <c r="C277" s="5" t="s">
        <v>3</v>
      </c>
      <c r="D277" s="7">
        <v>303</v>
      </c>
      <c r="E277" s="8">
        <v>32.706000000000003</v>
      </c>
      <c r="F277" s="8">
        <v>6.0110000000000001</v>
      </c>
      <c r="G277" s="8">
        <v>6.4059999999999997</v>
      </c>
      <c r="H277" s="8">
        <v>5.44</v>
      </c>
      <c r="I277" s="8">
        <v>6.09</v>
      </c>
      <c r="J277" s="8">
        <v>5.9850000000000003</v>
      </c>
      <c r="K277" s="8">
        <v>4.5129999999999999</v>
      </c>
      <c r="L277" s="8">
        <v>6.0019999999999998</v>
      </c>
      <c r="M277" s="8">
        <v>4.6289999999999996</v>
      </c>
      <c r="N277" s="8">
        <v>4.3490000000000002</v>
      </c>
      <c r="O277" s="8">
        <v>4.0979999999999999</v>
      </c>
    </row>
    <row r="278" spans="1:15" x14ac:dyDescent="0.25">
      <c r="A278" s="5" t="s">
        <v>290</v>
      </c>
      <c r="B278" s="5">
        <v>65</v>
      </c>
      <c r="C278" s="5" t="s">
        <v>2</v>
      </c>
      <c r="D278" s="7">
        <v>275</v>
      </c>
      <c r="E278" s="8">
        <v>32.007000000000005</v>
      </c>
      <c r="F278" s="8">
        <v>5.3120000000000003</v>
      </c>
      <c r="G278" s="8">
        <v>5.1790000000000003</v>
      </c>
      <c r="H278" s="8">
        <v>6.1020000000000003</v>
      </c>
      <c r="I278" s="8">
        <v>5.8</v>
      </c>
      <c r="J278" s="8">
        <v>4.0659999999999998</v>
      </c>
      <c r="K278" s="8">
        <v>4.4089999999999998</v>
      </c>
      <c r="L278" s="8">
        <v>5.3680000000000003</v>
      </c>
      <c r="M278" s="8">
        <v>4.3140000000000001</v>
      </c>
      <c r="N278" s="8">
        <v>4.157</v>
      </c>
      <c r="O278" s="8">
        <v>4.33</v>
      </c>
    </row>
    <row r="279" spans="1:15" x14ac:dyDescent="0.25">
      <c r="A279" s="5" t="s">
        <v>291</v>
      </c>
      <c r="B279" s="5">
        <v>24</v>
      </c>
      <c r="C279" s="5" t="s">
        <v>2</v>
      </c>
      <c r="D279" s="7">
        <v>249</v>
      </c>
      <c r="E279" s="8">
        <v>31.606000000000002</v>
      </c>
      <c r="F279" s="8">
        <v>4.9109999999999996</v>
      </c>
      <c r="G279" s="8">
        <v>5.6390000000000002</v>
      </c>
      <c r="H279" s="8">
        <v>5.641</v>
      </c>
      <c r="I279" s="8">
        <v>6.4710000000000001</v>
      </c>
      <c r="J279" s="8">
        <v>7.4249999999999998</v>
      </c>
      <c r="K279" s="8">
        <v>4.3449999999999998</v>
      </c>
      <c r="L279" s="8">
        <v>6.9109999999999996</v>
      </c>
      <c r="M279" s="8">
        <v>4.5380000000000003</v>
      </c>
      <c r="N279" s="8">
        <v>4.2839999999999998</v>
      </c>
      <c r="O279" s="8">
        <v>4.4219999999999997</v>
      </c>
    </row>
    <row r="280" spans="1:15" x14ac:dyDescent="0.25">
      <c r="A280" s="5" t="s">
        <v>292</v>
      </c>
      <c r="B280" s="5">
        <v>24</v>
      </c>
      <c r="C280" s="5" t="s">
        <v>3</v>
      </c>
      <c r="D280" s="7">
        <v>344</v>
      </c>
      <c r="E280" s="8">
        <v>33.338000000000001</v>
      </c>
      <c r="F280" s="8">
        <v>6.6429999999999998</v>
      </c>
      <c r="G280" s="8">
        <v>5.4349999999999996</v>
      </c>
      <c r="H280" s="8">
        <v>5.0209999999999999</v>
      </c>
      <c r="I280" s="8">
        <v>5.3650000000000002</v>
      </c>
      <c r="J280" s="8">
        <v>5.9669999999999996</v>
      </c>
      <c r="K280" s="8">
        <v>4.1740000000000004</v>
      </c>
      <c r="L280" s="8">
        <v>6.24</v>
      </c>
      <c r="M280" s="8">
        <v>3.8639999999999999</v>
      </c>
      <c r="N280" s="8">
        <v>4.0880000000000001</v>
      </c>
      <c r="O280" s="8">
        <v>4.2569999999999997</v>
      </c>
    </row>
    <row r="281" spans="1:15" x14ac:dyDescent="0.25">
      <c r="A281" s="5" t="s">
        <v>293</v>
      </c>
      <c r="B281" s="5">
        <v>50</v>
      </c>
      <c r="C281" s="5" t="s">
        <v>2</v>
      </c>
      <c r="D281" s="7">
        <v>290</v>
      </c>
      <c r="E281" s="8">
        <v>32.325000000000003</v>
      </c>
      <c r="F281" s="8">
        <v>5.63</v>
      </c>
      <c r="G281" s="8">
        <v>6.2569999999999997</v>
      </c>
      <c r="H281" s="8">
        <v>5.601</v>
      </c>
      <c r="I281" s="8">
        <v>6.2549999999999999</v>
      </c>
      <c r="J281" s="8">
        <v>5.3890000000000002</v>
      </c>
      <c r="K281" s="8">
        <v>3.9769999999999999</v>
      </c>
      <c r="L281" s="8">
        <v>6.0549999999999997</v>
      </c>
      <c r="M281" s="8">
        <v>3.8340000000000001</v>
      </c>
      <c r="N281" s="8">
        <v>4.2320000000000002</v>
      </c>
      <c r="O281" s="8">
        <v>4.1859999999999999</v>
      </c>
    </row>
    <row r="282" spans="1:15" x14ac:dyDescent="0.25">
      <c r="A282" s="5" t="s">
        <v>294</v>
      </c>
      <c r="B282" s="5">
        <v>40</v>
      </c>
      <c r="C282" s="5" t="s">
        <v>2</v>
      </c>
      <c r="D282" s="7">
        <v>313</v>
      </c>
      <c r="E282" s="8">
        <v>32.781000000000006</v>
      </c>
      <c r="F282" s="8">
        <v>6.0860000000000003</v>
      </c>
      <c r="G282" s="8">
        <v>6.9989999999999997</v>
      </c>
      <c r="H282" s="8">
        <v>5.5519999999999996</v>
      </c>
      <c r="I282" s="8">
        <v>6.6440000000000001</v>
      </c>
      <c r="J282" s="8">
        <v>4.798</v>
      </c>
      <c r="K282" s="8">
        <v>4.6180000000000003</v>
      </c>
      <c r="L282" s="8">
        <v>6.5140000000000002</v>
      </c>
      <c r="M282" s="8">
        <v>4.2839999999999998</v>
      </c>
      <c r="N282" s="8">
        <v>4.3079999999999998</v>
      </c>
      <c r="O282" s="8">
        <v>4.266</v>
      </c>
    </row>
    <row r="283" spans="1:15" x14ac:dyDescent="0.25">
      <c r="A283" s="5" t="s">
        <v>295</v>
      </c>
      <c r="B283" s="5">
        <v>36</v>
      </c>
      <c r="C283" s="5" t="s">
        <v>2</v>
      </c>
      <c r="D283" s="7">
        <v>289</v>
      </c>
      <c r="E283" s="8">
        <v>32.298000000000002</v>
      </c>
      <c r="F283" s="8">
        <v>5.6029999999999998</v>
      </c>
      <c r="G283" s="8">
        <v>3.9079999999999999</v>
      </c>
      <c r="H283" s="8">
        <v>4.9800000000000004</v>
      </c>
      <c r="I283" s="8">
        <v>4.2060000000000004</v>
      </c>
      <c r="J283" s="8">
        <v>6.3179999999999996</v>
      </c>
      <c r="K283" s="8">
        <v>4.5039999999999996</v>
      </c>
      <c r="L283" s="8">
        <v>7.282</v>
      </c>
      <c r="M283" s="8">
        <v>3.7639999999999998</v>
      </c>
      <c r="N283" s="8">
        <v>4.242</v>
      </c>
      <c r="O283" s="8">
        <v>4.431</v>
      </c>
    </row>
    <row r="284" spans="1:15" x14ac:dyDescent="0.25">
      <c r="A284" s="5" t="s">
        <v>296</v>
      </c>
      <c r="B284" s="5">
        <v>36</v>
      </c>
      <c r="C284" s="5" t="s">
        <v>3</v>
      </c>
      <c r="D284" s="7">
        <v>304</v>
      </c>
      <c r="E284" s="8">
        <v>32.460000000000008</v>
      </c>
      <c r="F284" s="8">
        <v>5.7649999999999997</v>
      </c>
      <c r="G284" s="8">
        <v>5.62</v>
      </c>
      <c r="H284" s="8">
        <v>6.8440000000000003</v>
      </c>
      <c r="I284" s="8">
        <v>6.7729999999999997</v>
      </c>
      <c r="J284" s="8">
        <v>6.8449999999999998</v>
      </c>
      <c r="K284" s="8">
        <v>3.548</v>
      </c>
      <c r="L284" s="8">
        <v>6.0350000000000001</v>
      </c>
      <c r="M284" s="8">
        <v>4.601</v>
      </c>
      <c r="N284" s="8">
        <v>3.661</v>
      </c>
      <c r="O284" s="8">
        <v>4.5140000000000002</v>
      </c>
    </row>
    <row r="285" spans="1:15" x14ac:dyDescent="0.25">
      <c r="A285" s="5" t="s">
        <v>297</v>
      </c>
      <c r="B285" s="5">
        <v>53</v>
      </c>
      <c r="C285" s="5" t="s">
        <v>2</v>
      </c>
      <c r="D285" s="7">
        <v>300</v>
      </c>
      <c r="E285" s="8">
        <v>32.25</v>
      </c>
      <c r="F285" s="8">
        <v>5.5549999999999997</v>
      </c>
      <c r="G285" s="8">
        <v>6.6340000000000003</v>
      </c>
      <c r="H285" s="8">
        <v>6.1120000000000001</v>
      </c>
      <c r="I285" s="8">
        <v>4.6820000000000004</v>
      </c>
      <c r="J285" s="8">
        <v>4.9329999999999998</v>
      </c>
      <c r="K285" s="8">
        <v>4.758</v>
      </c>
      <c r="L285" s="8">
        <v>6.1340000000000003</v>
      </c>
      <c r="M285" s="8">
        <v>4.141</v>
      </c>
      <c r="N285" s="8">
        <v>4.593</v>
      </c>
      <c r="O285" s="8">
        <v>4.234</v>
      </c>
    </row>
    <row r="286" spans="1:15" x14ac:dyDescent="0.25">
      <c r="A286" s="5" t="s">
        <v>298</v>
      </c>
      <c r="B286" s="5">
        <v>46</v>
      </c>
      <c r="C286" s="5" t="s">
        <v>2</v>
      </c>
      <c r="D286" s="7">
        <v>283</v>
      </c>
      <c r="E286" s="8">
        <v>32.416000000000004</v>
      </c>
      <c r="F286" s="8">
        <v>5.7210000000000001</v>
      </c>
      <c r="G286" s="8">
        <v>5.2880000000000003</v>
      </c>
      <c r="H286" s="8">
        <v>5.9779999999999998</v>
      </c>
      <c r="I286" s="8">
        <v>6.0659999999999998</v>
      </c>
      <c r="J286" s="8">
        <v>6.1829999999999998</v>
      </c>
      <c r="K286" s="8">
        <v>3.0840000000000001</v>
      </c>
      <c r="L286" s="8">
        <v>6.9530000000000003</v>
      </c>
      <c r="M286" s="8">
        <v>4.2119999999999997</v>
      </c>
      <c r="N286" s="8">
        <v>4.4420000000000002</v>
      </c>
      <c r="O286" s="8">
        <v>4.2149999999999999</v>
      </c>
    </row>
    <row r="287" spans="1:15" x14ac:dyDescent="0.25">
      <c r="A287" s="5" t="s">
        <v>299</v>
      </c>
      <c r="B287" s="5">
        <v>77</v>
      </c>
      <c r="C287" s="5" t="s">
        <v>3</v>
      </c>
      <c r="D287" s="7">
        <v>307</v>
      </c>
      <c r="E287" s="8">
        <v>32.286000000000001</v>
      </c>
      <c r="F287" s="8">
        <v>5.5910000000000002</v>
      </c>
      <c r="G287" s="8">
        <v>6.6040000000000001</v>
      </c>
      <c r="H287" s="8">
        <v>6.3760000000000003</v>
      </c>
      <c r="I287" s="8">
        <v>6.2060000000000004</v>
      </c>
      <c r="J287" s="8">
        <v>5.6769999999999996</v>
      </c>
      <c r="K287" s="8">
        <v>4.125</v>
      </c>
      <c r="L287" s="8">
        <v>6.1050000000000004</v>
      </c>
      <c r="M287" s="8">
        <v>3.5840000000000001</v>
      </c>
      <c r="N287" s="8">
        <v>4.1180000000000003</v>
      </c>
      <c r="O287" s="8">
        <v>4.4290000000000003</v>
      </c>
    </row>
    <row r="288" spans="1:15" x14ac:dyDescent="0.25">
      <c r="A288" s="5" t="s">
        <v>300</v>
      </c>
      <c r="B288" s="5">
        <v>26</v>
      </c>
      <c r="C288" s="5" t="s">
        <v>3</v>
      </c>
      <c r="D288" s="7">
        <v>255</v>
      </c>
      <c r="E288" s="8">
        <v>32.045000000000002</v>
      </c>
      <c r="F288" s="8">
        <v>5.35</v>
      </c>
      <c r="G288" s="8">
        <v>4.8639999999999999</v>
      </c>
      <c r="H288" s="8">
        <v>5.8630000000000004</v>
      </c>
      <c r="I288" s="8">
        <v>5.54</v>
      </c>
      <c r="J288" s="8">
        <v>6.9059999999999997</v>
      </c>
      <c r="K288" s="8">
        <v>4.1719999999999997</v>
      </c>
      <c r="L288" s="8">
        <v>4.9089999999999998</v>
      </c>
      <c r="M288" s="8">
        <v>4.351</v>
      </c>
      <c r="N288" s="8">
        <v>4.3010000000000002</v>
      </c>
      <c r="O288" s="8">
        <v>4.2510000000000003</v>
      </c>
    </row>
    <row r="289" spans="1:15" x14ac:dyDescent="0.25">
      <c r="A289" s="5" t="s">
        <v>301</v>
      </c>
      <c r="B289" s="5">
        <v>52</v>
      </c>
      <c r="C289" s="5" t="s">
        <v>2</v>
      </c>
      <c r="D289" s="7">
        <v>247</v>
      </c>
      <c r="E289" s="8">
        <v>31.634000000000004</v>
      </c>
      <c r="F289" s="8">
        <v>4.9390000000000001</v>
      </c>
      <c r="G289" s="8">
        <v>5.9870000000000001</v>
      </c>
      <c r="H289" s="8">
        <v>6.1989999999999998</v>
      </c>
      <c r="I289" s="8">
        <v>7.09</v>
      </c>
      <c r="J289" s="8">
        <v>6.5780000000000003</v>
      </c>
      <c r="K289" s="8">
        <v>4.9459999999999997</v>
      </c>
      <c r="L289" s="8">
        <v>6.1379999999999999</v>
      </c>
      <c r="M289" s="8">
        <v>3.6739999999999999</v>
      </c>
      <c r="N289" s="8">
        <v>4.694</v>
      </c>
      <c r="O289" s="8">
        <v>4.2830000000000004</v>
      </c>
    </row>
    <row r="290" spans="1:15" x14ac:dyDescent="0.25">
      <c r="A290" s="5" t="s">
        <v>302</v>
      </c>
      <c r="B290" s="5">
        <v>64</v>
      </c>
      <c r="C290" s="5" t="s">
        <v>2</v>
      </c>
      <c r="D290" s="7">
        <v>180</v>
      </c>
      <c r="E290" s="8">
        <v>30.396000000000004</v>
      </c>
      <c r="F290" s="8">
        <v>3.7010000000000001</v>
      </c>
      <c r="G290" s="8">
        <v>5.8979999999999997</v>
      </c>
      <c r="H290" s="8">
        <v>7.1210000000000004</v>
      </c>
      <c r="I290" s="8">
        <v>6.2960000000000003</v>
      </c>
      <c r="J290" s="8">
        <v>6.2439999999999998</v>
      </c>
      <c r="K290" s="8">
        <v>3.8090000000000002</v>
      </c>
      <c r="L290" s="8">
        <v>6.0439999999999996</v>
      </c>
      <c r="M290" s="8">
        <v>3.6880000000000002</v>
      </c>
      <c r="N290" s="8">
        <v>4.0540000000000003</v>
      </c>
      <c r="O290" s="8">
        <v>4.5780000000000003</v>
      </c>
    </row>
    <row r="291" spans="1:15" x14ac:dyDescent="0.25">
      <c r="A291" s="5" t="s">
        <v>303</v>
      </c>
      <c r="B291" s="5">
        <v>37</v>
      </c>
      <c r="C291" s="5" t="s">
        <v>3</v>
      </c>
      <c r="D291" s="7">
        <v>256</v>
      </c>
      <c r="E291" s="8">
        <v>31.724000000000004</v>
      </c>
      <c r="F291" s="8">
        <v>5.0289999999999999</v>
      </c>
      <c r="G291" s="8">
        <v>5.16</v>
      </c>
      <c r="H291" s="8">
        <v>7.1790000000000003</v>
      </c>
      <c r="I291" s="8">
        <v>5.69</v>
      </c>
      <c r="J291" s="8">
        <v>6.4669999999999996</v>
      </c>
      <c r="K291" s="8">
        <v>3.24</v>
      </c>
      <c r="L291" s="8">
        <v>5.7850000000000001</v>
      </c>
      <c r="M291" s="8">
        <v>4.4219999999999997</v>
      </c>
      <c r="N291" s="8">
        <v>4.4989999999999997</v>
      </c>
      <c r="O291" s="8">
        <v>4.4290000000000003</v>
      </c>
    </row>
    <row r="292" spans="1:15" x14ac:dyDescent="0.25">
      <c r="A292" s="5" t="s">
        <v>304</v>
      </c>
      <c r="B292" s="5">
        <v>28</v>
      </c>
      <c r="C292" s="5" t="s">
        <v>3</v>
      </c>
      <c r="D292" s="7">
        <v>222</v>
      </c>
      <c r="E292" s="8">
        <v>31.292000000000002</v>
      </c>
      <c r="F292" s="8">
        <v>4.5970000000000004</v>
      </c>
      <c r="G292" s="8">
        <v>4.4660000000000002</v>
      </c>
      <c r="H292" s="8">
        <v>4.718</v>
      </c>
      <c r="I292" s="8">
        <v>6.5449999999999999</v>
      </c>
      <c r="J292" s="8">
        <v>5.01</v>
      </c>
      <c r="K292" s="8">
        <v>4.194</v>
      </c>
      <c r="L292" s="8">
        <v>4.9489999999999998</v>
      </c>
      <c r="M292" s="8">
        <v>4.4000000000000004</v>
      </c>
      <c r="N292" s="8">
        <v>3.7149999999999999</v>
      </c>
      <c r="O292" s="8">
        <v>4.6559999999999997</v>
      </c>
    </row>
    <row r="293" spans="1:15" x14ac:dyDescent="0.25">
      <c r="A293" s="5" t="s">
        <v>305</v>
      </c>
      <c r="B293" s="5">
        <v>25</v>
      </c>
      <c r="C293" s="5" t="s">
        <v>2</v>
      </c>
      <c r="D293" s="7">
        <v>312</v>
      </c>
      <c r="E293" s="8">
        <v>32.743000000000002</v>
      </c>
      <c r="F293" s="8">
        <v>6.048</v>
      </c>
      <c r="G293" s="8">
        <v>5.234</v>
      </c>
      <c r="H293" s="8">
        <v>4.6859999999999999</v>
      </c>
      <c r="I293" s="8">
        <v>4.9939999999999998</v>
      </c>
      <c r="J293" s="8">
        <v>6.0730000000000004</v>
      </c>
      <c r="K293" s="8">
        <v>2.6179999999999999</v>
      </c>
      <c r="L293" s="8">
        <v>6.359</v>
      </c>
      <c r="M293" s="8">
        <v>4.5030000000000001</v>
      </c>
      <c r="N293" s="8">
        <v>4.4480000000000004</v>
      </c>
      <c r="O293" s="8">
        <v>4.2549999999999999</v>
      </c>
    </row>
    <row r="294" spans="1:15" x14ac:dyDescent="0.25">
      <c r="A294" s="5" t="s">
        <v>306</v>
      </c>
      <c r="B294" s="5">
        <v>84</v>
      </c>
      <c r="C294" s="5" t="s">
        <v>2</v>
      </c>
      <c r="D294" s="7">
        <v>233</v>
      </c>
      <c r="E294" s="8">
        <v>31.460000000000004</v>
      </c>
      <c r="F294" s="8">
        <v>4.7649999999999997</v>
      </c>
      <c r="G294" s="8">
        <v>6.3949999999999996</v>
      </c>
      <c r="H294" s="8">
        <v>4.9569999999999999</v>
      </c>
      <c r="I294" s="8">
        <v>6.1210000000000004</v>
      </c>
      <c r="J294" s="8">
        <v>6.3550000000000004</v>
      </c>
      <c r="K294" s="8">
        <v>3.9449999999999998</v>
      </c>
      <c r="L294" s="8">
        <v>6.6260000000000003</v>
      </c>
      <c r="M294" s="8">
        <v>4.1639999999999997</v>
      </c>
      <c r="N294" s="8">
        <v>4.5250000000000004</v>
      </c>
      <c r="O294" s="8">
        <v>4.0670000000000002</v>
      </c>
    </row>
    <row r="295" spans="1:15" x14ac:dyDescent="0.25">
      <c r="A295" s="5" t="s">
        <v>307</v>
      </c>
      <c r="B295" s="5">
        <v>29</v>
      </c>
      <c r="C295" s="5" t="s">
        <v>2</v>
      </c>
      <c r="D295" s="7">
        <v>364</v>
      </c>
      <c r="E295" s="8">
        <v>33.671000000000006</v>
      </c>
      <c r="F295" s="8">
        <v>6.976</v>
      </c>
      <c r="G295" s="8">
        <v>4.9889999999999999</v>
      </c>
      <c r="H295" s="8">
        <v>6.1360000000000001</v>
      </c>
      <c r="I295" s="8">
        <v>4.2919999999999998</v>
      </c>
      <c r="J295" s="8">
        <v>6.1859999999999999</v>
      </c>
      <c r="K295" s="8">
        <v>4.8849999999999998</v>
      </c>
      <c r="L295" s="8">
        <v>6.4480000000000004</v>
      </c>
      <c r="M295" s="8">
        <v>4.21</v>
      </c>
      <c r="N295" s="8">
        <v>4.0010000000000003</v>
      </c>
      <c r="O295" s="8">
        <v>4.4509999999999996</v>
      </c>
    </row>
    <row r="296" spans="1:15" x14ac:dyDescent="0.25">
      <c r="A296" s="5" t="s">
        <v>308</v>
      </c>
      <c r="B296" s="5">
        <v>37</v>
      </c>
      <c r="C296" s="5" t="s">
        <v>2</v>
      </c>
      <c r="D296" s="7">
        <v>320</v>
      </c>
      <c r="E296" s="8">
        <v>32.701000000000008</v>
      </c>
      <c r="F296" s="8">
        <v>6.0060000000000002</v>
      </c>
      <c r="G296" s="8">
        <v>6.4969999999999999</v>
      </c>
      <c r="H296" s="8">
        <v>4.351</v>
      </c>
      <c r="I296" s="8">
        <v>6.0780000000000003</v>
      </c>
      <c r="J296" s="8">
        <v>5.92</v>
      </c>
      <c r="K296" s="8">
        <v>4.1369999999999996</v>
      </c>
      <c r="L296" s="8">
        <v>5.2990000000000004</v>
      </c>
      <c r="M296" s="8">
        <v>4.2969999999999997</v>
      </c>
      <c r="N296" s="8">
        <v>3.9350000000000001</v>
      </c>
      <c r="O296" s="8">
        <v>4.3609999999999998</v>
      </c>
    </row>
    <row r="297" spans="1:15" x14ac:dyDescent="0.25">
      <c r="A297" s="5" t="s">
        <v>309</v>
      </c>
      <c r="B297" s="5">
        <v>22</v>
      </c>
      <c r="C297" s="5" t="s">
        <v>3</v>
      </c>
      <c r="D297" s="7">
        <v>326</v>
      </c>
      <c r="E297" s="8">
        <v>32.888000000000005</v>
      </c>
      <c r="F297" s="8">
        <v>6.1929999999999996</v>
      </c>
      <c r="G297" s="8">
        <v>3.9390000000000001</v>
      </c>
      <c r="H297" s="8">
        <v>4.2830000000000004</v>
      </c>
      <c r="I297" s="8">
        <v>4.9009999999999998</v>
      </c>
      <c r="J297" s="8">
        <v>6.2640000000000002</v>
      </c>
      <c r="K297" s="8">
        <v>3.63</v>
      </c>
      <c r="L297" s="8">
        <v>5.6189999999999998</v>
      </c>
      <c r="M297" s="8">
        <v>4.2530000000000001</v>
      </c>
      <c r="N297" s="8">
        <v>4.3369999999999997</v>
      </c>
      <c r="O297" s="8">
        <v>4.7859999999999996</v>
      </c>
    </row>
    <row r="298" spans="1:15" x14ac:dyDescent="0.25">
      <c r="A298" s="5" t="s">
        <v>310</v>
      </c>
      <c r="B298" s="5">
        <v>54</v>
      </c>
      <c r="C298" s="5" t="s">
        <v>2</v>
      </c>
      <c r="D298" s="7">
        <v>283</v>
      </c>
      <c r="E298" s="8">
        <v>32.33</v>
      </c>
      <c r="F298" s="8">
        <v>5.6349999999999998</v>
      </c>
      <c r="G298" s="8">
        <v>4.8499999999999996</v>
      </c>
      <c r="H298" s="8">
        <v>5.7560000000000002</v>
      </c>
      <c r="I298" s="8">
        <v>6.2409999999999997</v>
      </c>
      <c r="J298" s="8">
        <v>6.2910000000000004</v>
      </c>
      <c r="K298" s="8">
        <v>4.6859999999999999</v>
      </c>
      <c r="L298" s="8">
        <v>6.484</v>
      </c>
      <c r="M298" s="8">
        <v>4.0890000000000004</v>
      </c>
      <c r="N298" s="8">
        <v>4.2270000000000003</v>
      </c>
      <c r="O298" s="8">
        <v>4.3460000000000001</v>
      </c>
    </row>
    <row r="299" spans="1:15" x14ac:dyDescent="0.25">
      <c r="A299" s="5" t="s">
        <v>311</v>
      </c>
      <c r="B299" s="5">
        <v>55</v>
      </c>
      <c r="C299" s="5" t="s">
        <v>2</v>
      </c>
      <c r="D299" s="7">
        <v>227</v>
      </c>
      <c r="E299" s="8">
        <v>31.126000000000001</v>
      </c>
      <c r="F299" s="8">
        <v>4.431</v>
      </c>
      <c r="G299" s="8">
        <v>4.38</v>
      </c>
      <c r="H299" s="8">
        <v>4.0940000000000003</v>
      </c>
      <c r="I299" s="8">
        <v>6.2990000000000004</v>
      </c>
      <c r="J299" s="8">
        <v>4.7850000000000001</v>
      </c>
      <c r="K299" s="8">
        <v>4.9640000000000004</v>
      </c>
      <c r="L299" s="8">
        <v>5.85</v>
      </c>
      <c r="M299" s="8">
        <v>4.2560000000000002</v>
      </c>
      <c r="N299" s="8">
        <v>4.3239999999999998</v>
      </c>
      <c r="O299" s="8">
        <v>4.2750000000000004</v>
      </c>
    </row>
    <row r="300" spans="1:15" x14ac:dyDescent="0.25">
      <c r="A300" s="5" t="s">
        <v>312</v>
      </c>
      <c r="B300" s="5">
        <v>26</v>
      </c>
      <c r="C300" s="5" t="s">
        <v>3</v>
      </c>
      <c r="D300" s="7">
        <v>275</v>
      </c>
      <c r="E300" s="8">
        <v>32.027000000000001</v>
      </c>
      <c r="F300" s="8">
        <v>5.3319999999999999</v>
      </c>
      <c r="G300" s="8">
        <v>5.82</v>
      </c>
      <c r="H300" s="8">
        <v>5.44</v>
      </c>
      <c r="I300" s="8">
        <v>5.9880000000000004</v>
      </c>
      <c r="J300" s="8">
        <v>5.9870000000000001</v>
      </c>
      <c r="K300" s="8">
        <v>4.3280000000000003</v>
      </c>
      <c r="L300" s="8">
        <v>5.7809999999999997</v>
      </c>
      <c r="M300" s="8">
        <v>4.2530000000000001</v>
      </c>
      <c r="N300" s="8">
        <v>4.0860000000000003</v>
      </c>
      <c r="O300" s="8">
        <v>4.077</v>
      </c>
    </row>
    <row r="301" spans="1:15" x14ac:dyDescent="0.25">
      <c r="A301" s="5" t="s">
        <v>313</v>
      </c>
      <c r="B301" s="5">
        <v>70</v>
      </c>
      <c r="C301" s="5" t="s">
        <v>2</v>
      </c>
      <c r="D301" s="7">
        <v>262</v>
      </c>
      <c r="E301" s="8">
        <v>31.732000000000003</v>
      </c>
      <c r="F301" s="8">
        <v>5.0369999999999999</v>
      </c>
      <c r="G301" s="8">
        <v>5.9610000000000003</v>
      </c>
      <c r="H301" s="8">
        <v>5.8449999999999998</v>
      </c>
      <c r="I301" s="8">
        <v>6.2880000000000003</v>
      </c>
      <c r="J301" s="8">
        <v>5.2110000000000003</v>
      </c>
      <c r="K301" s="8">
        <v>3.6070000000000002</v>
      </c>
      <c r="L301" s="8">
        <v>4.9729999999999999</v>
      </c>
      <c r="M301" s="8">
        <v>4.3280000000000003</v>
      </c>
      <c r="N301" s="8">
        <v>4.0549999999999997</v>
      </c>
      <c r="O301" s="8">
        <v>4.3949999999999996</v>
      </c>
    </row>
    <row r="302" spans="1:15" x14ac:dyDescent="0.25">
      <c r="A302" s="5" t="s">
        <v>314</v>
      </c>
      <c r="B302" s="5">
        <v>61</v>
      </c>
      <c r="C302" s="5" t="s">
        <v>3</v>
      </c>
      <c r="D302" s="7">
        <v>212</v>
      </c>
      <c r="E302" s="8">
        <v>30.931000000000001</v>
      </c>
      <c r="F302" s="8">
        <v>4.2359999999999998</v>
      </c>
      <c r="G302" s="8">
        <v>6.1459999999999999</v>
      </c>
      <c r="H302" s="8">
        <v>5.6340000000000003</v>
      </c>
      <c r="I302" s="8">
        <v>6.319</v>
      </c>
      <c r="J302" s="8">
        <v>6.5209999999999999</v>
      </c>
      <c r="K302" s="8">
        <v>4.0179999999999998</v>
      </c>
      <c r="L302" s="8">
        <v>5.3810000000000002</v>
      </c>
      <c r="M302" s="8">
        <v>3.7690000000000001</v>
      </c>
      <c r="N302" s="8">
        <v>3.52</v>
      </c>
      <c r="O302" s="8">
        <v>4.5709999999999997</v>
      </c>
    </row>
    <row r="303" spans="1:15" x14ac:dyDescent="0.25">
      <c r="A303" s="5" t="s">
        <v>315</v>
      </c>
      <c r="B303" s="5">
        <v>41</v>
      </c>
      <c r="C303" s="5" t="s">
        <v>2</v>
      </c>
      <c r="D303" s="7">
        <v>299</v>
      </c>
      <c r="E303" s="8">
        <v>32.615000000000002</v>
      </c>
      <c r="F303" s="8">
        <v>5.92</v>
      </c>
      <c r="G303" s="8">
        <v>5.2210000000000001</v>
      </c>
      <c r="H303" s="8">
        <v>5.8650000000000002</v>
      </c>
      <c r="I303" s="8">
        <v>6.5910000000000002</v>
      </c>
      <c r="J303" s="8">
        <v>5.1760000000000002</v>
      </c>
      <c r="K303" s="8">
        <v>5.4429999999999996</v>
      </c>
      <c r="L303" s="8">
        <v>5.28</v>
      </c>
      <c r="M303" s="8">
        <v>4.625</v>
      </c>
      <c r="N303" s="8">
        <v>3.7909999999999999</v>
      </c>
      <c r="O303" s="8">
        <v>4.5780000000000003</v>
      </c>
    </row>
    <row r="304" spans="1:15" x14ac:dyDescent="0.25">
      <c r="A304" s="5" t="s">
        <v>316</v>
      </c>
      <c r="B304" s="5">
        <v>47</v>
      </c>
      <c r="C304" s="5" t="s">
        <v>2</v>
      </c>
      <c r="D304" s="7">
        <v>257</v>
      </c>
      <c r="E304" s="8">
        <v>31.871000000000002</v>
      </c>
      <c r="F304" s="8">
        <v>5.1760000000000002</v>
      </c>
      <c r="G304" s="8">
        <v>5.9790000000000001</v>
      </c>
      <c r="H304" s="8">
        <v>5.8579999999999997</v>
      </c>
      <c r="I304" s="8">
        <v>6.0579999999999998</v>
      </c>
      <c r="J304" s="8">
        <v>5.2</v>
      </c>
      <c r="K304" s="8">
        <v>4.2869999999999999</v>
      </c>
      <c r="L304" s="8">
        <v>5.8040000000000003</v>
      </c>
      <c r="M304" s="8">
        <v>4.4029999999999996</v>
      </c>
      <c r="N304" s="8">
        <v>4.3929999999999998</v>
      </c>
      <c r="O304" s="8">
        <v>4.0679999999999996</v>
      </c>
    </row>
    <row r="305" spans="1:15" x14ac:dyDescent="0.25">
      <c r="A305" s="5" t="s">
        <v>317</v>
      </c>
      <c r="B305" s="5">
        <v>76</v>
      </c>
      <c r="C305" s="5" t="s">
        <v>3</v>
      </c>
      <c r="D305" s="7">
        <v>369</v>
      </c>
      <c r="E305" s="8">
        <v>33.536000000000001</v>
      </c>
      <c r="F305" s="8">
        <v>6.8410000000000002</v>
      </c>
      <c r="G305" s="8">
        <v>4.6669999999999998</v>
      </c>
      <c r="H305" s="8">
        <v>5.415</v>
      </c>
      <c r="I305" s="8">
        <v>5.8319999999999999</v>
      </c>
      <c r="J305" s="8">
        <v>5.2329999999999997</v>
      </c>
      <c r="K305" s="8">
        <v>4.2300000000000004</v>
      </c>
      <c r="L305" s="8">
        <v>6.3470000000000004</v>
      </c>
      <c r="M305" s="8">
        <v>4.5590000000000002</v>
      </c>
      <c r="N305" s="8">
        <v>3.835</v>
      </c>
      <c r="O305" s="8">
        <v>4.1859999999999999</v>
      </c>
    </row>
    <row r="306" spans="1:15" x14ac:dyDescent="0.25">
      <c r="A306" s="5" t="s">
        <v>318</v>
      </c>
      <c r="B306" s="5">
        <v>31</v>
      </c>
      <c r="C306" s="5" t="s">
        <v>3</v>
      </c>
      <c r="D306" s="7">
        <v>360</v>
      </c>
      <c r="E306" s="8">
        <v>33.409000000000006</v>
      </c>
      <c r="F306" s="8">
        <v>6.7140000000000004</v>
      </c>
      <c r="G306" s="8">
        <v>5.23</v>
      </c>
      <c r="H306" s="8">
        <v>6.3209999999999997</v>
      </c>
      <c r="I306" s="8">
        <v>5.7009999999999996</v>
      </c>
      <c r="J306" s="8">
        <v>5.7009999999999996</v>
      </c>
      <c r="K306" s="8">
        <v>4.2430000000000003</v>
      </c>
      <c r="L306" s="8">
        <v>6.4290000000000003</v>
      </c>
      <c r="M306" s="8">
        <v>4.4489999999999998</v>
      </c>
      <c r="N306" s="8">
        <v>4.2699999999999996</v>
      </c>
      <c r="O306" s="8">
        <v>4.3259999999999996</v>
      </c>
    </row>
    <row r="307" spans="1:15" x14ac:dyDescent="0.25">
      <c r="A307" s="5" t="s">
        <v>319</v>
      </c>
      <c r="B307" s="5">
        <v>26</v>
      </c>
      <c r="C307" s="5" t="s">
        <v>2</v>
      </c>
      <c r="D307" s="7">
        <v>252</v>
      </c>
      <c r="E307" s="8">
        <v>31.692000000000004</v>
      </c>
      <c r="F307" s="8">
        <v>4.9969999999999999</v>
      </c>
      <c r="G307" s="8">
        <v>5.2359999999999998</v>
      </c>
      <c r="H307" s="8">
        <v>6.1829999999999998</v>
      </c>
      <c r="I307" s="8">
        <v>6.3920000000000003</v>
      </c>
      <c r="J307" s="8">
        <v>5.9939999999999998</v>
      </c>
      <c r="K307" s="8">
        <v>3.6579999999999999</v>
      </c>
      <c r="L307" s="8">
        <v>6.5860000000000003</v>
      </c>
      <c r="M307" s="8">
        <v>4.5250000000000004</v>
      </c>
      <c r="N307" s="8">
        <v>3.9529999999999998</v>
      </c>
      <c r="O307" s="8">
        <v>4.1829999999999998</v>
      </c>
    </row>
    <row r="308" spans="1:15" x14ac:dyDescent="0.25">
      <c r="A308" s="5" t="s">
        <v>320</v>
      </c>
      <c r="B308" s="5">
        <v>57</v>
      </c>
      <c r="C308" s="5" t="s">
        <v>2</v>
      </c>
      <c r="D308" s="7">
        <v>216</v>
      </c>
      <c r="E308" s="8">
        <v>31.079000000000004</v>
      </c>
      <c r="F308" s="8">
        <v>4.3840000000000003</v>
      </c>
      <c r="G308" s="8">
        <v>4.9779999999999998</v>
      </c>
      <c r="H308" s="8">
        <v>6.03</v>
      </c>
      <c r="I308" s="8">
        <v>6.0880000000000001</v>
      </c>
      <c r="J308" s="8">
        <v>5.9749999999999996</v>
      </c>
      <c r="K308" s="8">
        <v>3.5310000000000001</v>
      </c>
      <c r="L308" s="8">
        <v>5.891</v>
      </c>
      <c r="M308" s="8">
        <v>4.0490000000000004</v>
      </c>
      <c r="N308" s="8">
        <v>4.5430000000000001</v>
      </c>
      <c r="O308" s="8">
        <v>4.4390000000000001</v>
      </c>
    </row>
    <row r="309" spans="1:15" x14ac:dyDescent="0.25">
      <c r="A309" s="5" t="s">
        <v>321</v>
      </c>
      <c r="B309" s="5">
        <v>83</v>
      </c>
      <c r="C309" s="5" t="s">
        <v>2</v>
      </c>
      <c r="D309" s="7">
        <v>239</v>
      </c>
      <c r="E309" s="8">
        <v>31.273000000000003</v>
      </c>
      <c r="F309" s="8">
        <v>4.5780000000000003</v>
      </c>
      <c r="G309" s="8">
        <v>4.585</v>
      </c>
      <c r="H309" s="8">
        <v>5.8090000000000002</v>
      </c>
      <c r="I309" s="8">
        <v>5.2149999999999999</v>
      </c>
      <c r="J309" s="8">
        <v>7.2140000000000004</v>
      </c>
      <c r="K309" s="8">
        <v>4.3419999999999996</v>
      </c>
      <c r="L309" s="8">
        <v>6.1689999999999996</v>
      </c>
      <c r="M309" s="8">
        <v>4.3460000000000001</v>
      </c>
      <c r="N309" s="8">
        <v>4.3070000000000004</v>
      </c>
      <c r="O309" s="8">
        <v>4.4550000000000001</v>
      </c>
    </row>
    <row r="310" spans="1:15" x14ac:dyDescent="0.25">
      <c r="A310" s="5" t="s">
        <v>322</v>
      </c>
      <c r="B310" s="5">
        <v>42</v>
      </c>
      <c r="C310" s="5" t="s">
        <v>3</v>
      </c>
      <c r="D310" s="7">
        <v>276</v>
      </c>
      <c r="E310" s="8">
        <v>32.194000000000003</v>
      </c>
      <c r="F310" s="8">
        <v>5.4989999999999997</v>
      </c>
      <c r="G310" s="8">
        <v>5.6680000000000001</v>
      </c>
      <c r="H310" s="8">
        <v>5.39</v>
      </c>
      <c r="I310" s="8">
        <v>6.0780000000000003</v>
      </c>
      <c r="J310" s="8">
        <v>5.4569999999999999</v>
      </c>
      <c r="K310" s="8">
        <v>3.782</v>
      </c>
      <c r="L310" s="8">
        <v>5.9550000000000001</v>
      </c>
      <c r="M310" s="8">
        <v>4.3659999999999997</v>
      </c>
      <c r="N310" s="8">
        <v>4.6929999999999996</v>
      </c>
      <c r="O310" s="8">
        <v>4.2759999999999998</v>
      </c>
    </row>
    <row r="311" spans="1:15" x14ac:dyDescent="0.25">
      <c r="A311" s="5" t="s">
        <v>323</v>
      </c>
      <c r="B311" s="5">
        <v>39</v>
      </c>
      <c r="C311" s="5" t="s">
        <v>2</v>
      </c>
      <c r="D311" s="7">
        <v>296</v>
      </c>
      <c r="E311" s="8">
        <v>32.347999999999999</v>
      </c>
      <c r="F311" s="8">
        <v>5.6529999999999996</v>
      </c>
      <c r="G311" s="8">
        <v>5.9589999999999996</v>
      </c>
      <c r="H311" s="8">
        <v>6.0919999999999996</v>
      </c>
      <c r="I311" s="8">
        <v>6.6470000000000002</v>
      </c>
      <c r="J311" s="8">
        <v>5.766</v>
      </c>
      <c r="K311" s="8">
        <v>3.84</v>
      </c>
      <c r="L311" s="8">
        <v>4.9009999999999998</v>
      </c>
      <c r="M311" s="8">
        <v>4.5960000000000001</v>
      </c>
      <c r="N311" s="8">
        <v>4.29</v>
      </c>
      <c r="O311" s="8">
        <v>4.5309999999999997</v>
      </c>
    </row>
    <row r="312" spans="1:15" x14ac:dyDescent="0.25">
      <c r="A312" s="5" t="s">
        <v>324</v>
      </c>
      <c r="B312" s="5">
        <v>21</v>
      </c>
      <c r="C312" s="5" t="s">
        <v>3</v>
      </c>
      <c r="D312" s="7">
        <v>226</v>
      </c>
      <c r="E312" s="8">
        <v>31.291000000000004</v>
      </c>
      <c r="F312" s="8">
        <v>4.5960000000000001</v>
      </c>
      <c r="G312" s="8">
        <v>5.7690000000000001</v>
      </c>
      <c r="H312" s="8">
        <v>7.1440000000000001</v>
      </c>
      <c r="I312" s="8">
        <v>5.2560000000000002</v>
      </c>
      <c r="J312" s="8">
        <v>6.1150000000000002</v>
      </c>
      <c r="K312" s="8">
        <v>4.3490000000000002</v>
      </c>
      <c r="L312" s="8">
        <v>5.4950000000000001</v>
      </c>
      <c r="M312" s="8">
        <v>4.7080000000000002</v>
      </c>
      <c r="N312" s="8">
        <v>4.2969999999999997</v>
      </c>
      <c r="O312" s="8">
        <v>4.2469999999999999</v>
      </c>
    </row>
    <row r="313" spans="1:15" x14ac:dyDescent="0.25">
      <c r="A313" s="5" t="s">
        <v>325</v>
      </c>
      <c r="B313" s="5">
        <v>43</v>
      </c>
      <c r="C313" s="5" t="s">
        <v>3</v>
      </c>
      <c r="D313" s="7">
        <v>158</v>
      </c>
      <c r="E313" s="8">
        <v>30.152000000000001</v>
      </c>
      <c r="F313" s="8">
        <v>4.5620000000000003</v>
      </c>
      <c r="G313" s="8">
        <v>5.7009999999999996</v>
      </c>
      <c r="H313" s="8">
        <v>6.0519999999999996</v>
      </c>
      <c r="I313" s="8">
        <v>6.6360000000000001</v>
      </c>
      <c r="J313" s="8">
        <v>6.0069999999999997</v>
      </c>
      <c r="K313" s="8">
        <v>4.4649999999999999</v>
      </c>
      <c r="L313" s="8">
        <v>5.6349999999999998</v>
      </c>
      <c r="M313" s="8">
        <v>4.4420000000000002</v>
      </c>
      <c r="N313" s="8">
        <v>4.0780000000000003</v>
      </c>
      <c r="O313" s="8">
        <v>4.5019999999999998</v>
      </c>
    </row>
    <row r="314" spans="1:15" x14ac:dyDescent="0.25">
      <c r="A314" s="5" t="s">
        <v>326</v>
      </c>
      <c r="B314" s="5">
        <v>75</v>
      </c>
      <c r="C314" s="5" t="s">
        <v>2</v>
      </c>
      <c r="D314" s="7">
        <v>318</v>
      </c>
      <c r="E314" s="8">
        <v>32.629000000000005</v>
      </c>
      <c r="F314" s="8">
        <v>5.9340000000000002</v>
      </c>
      <c r="G314" s="8">
        <v>4.4640000000000004</v>
      </c>
      <c r="H314" s="8">
        <v>7.0650000000000004</v>
      </c>
      <c r="I314" s="8">
        <v>6.6970000000000001</v>
      </c>
      <c r="J314" s="8">
        <v>6.306</v>
      </c>
      <c r="K314" s="8">
        <v>3.5379999999999998</v>
      </c>
      <c r="L314" s="8">
        <v>6.4009999999999998</v>
      </c>
      <c r="M314" s="8">
        <v>4.2629999999999999</v>
      </c>
      <c r="N314" s="8">
        <v>4.0640000000000001</v>
      </c>
      <c r="O314" s="8">
        <v>4.2510000000000003</v>
      </c>
    </row>
    <row r="315" spans="1:15" x14ac:dyDescent="0.25">
      <c r="A315" s="5" t="s">
        <v>327</v>
      </c>
      <c r="B315" s="5">
        <v>46</v>
      </c>
      <c r="C315" s="5" t="s">
        <v>3</v>
      </c>
      <c r="D315" s="7">
        <v>280</v>
      </c>
      <c r="E315" s="8">
        <v>32.042000000000002</v>
      </c>
      <c r="F315" s="8">
        <v>5.3470000000000004</v>
      </c>
      <c r="G315" s="8">
        <v>4.0519999999999996</v>
      </c>
      <c r="H315" s="8">
        <v>5.5789999999999997</v>
      </c>
      <c r="I315" s="8">
        <v>5.9489999999999998</v>
      </c>
      <c r="J315" s="8">
        <v>5.1429999999999998</v>
      </c>
      <c r="K315" s="8">
        <v>4.43</v>
      </c>
      <c r="L315" s="8">
        <v>6.2489999999999997</v>
      </c>
      <c r="M315" s="8">
        <v>4.1029999999999998</v>
      </c>
      <c r="N315" s="8">
        <v>4.2140000000000004</v>
      </c>
      <c r="O315" s="8">
        <v>4.2190000000000003</v>
      </c>
    </row>
    <row r="316" spans="1:15" x14ac:dyDescent="0.25">
      <c r="A316" s="5" t="s">
        <v>328</v>
      </c>
      <c r="B316" s="5">
        <v>54</v>
      </c>
      <c r="C316" s="5" t="s">
        <v>2</v>
      </c>
      <c r="D316" s="7">
        <v>313</v>
      </c>
      <c r="E316" s="8">
        <v>32.597000000000001</v>
      </c>
      <c r="F316" s="8">
        <v>5.9020000000000001</v>
      </c>
      <c r="G316" s="8">
        <v>5.4720000000000004</v>
      </c>
      <c r="H316" s="8">
        <v>6.1520000000000001</v>
      </c>
      <c r="I316" s="8">
        <v>5.3390000000000004</v>
      </c>
      <c r="J316" s="8">
        <v>5.8230000000000004</v>
      </c>
      <c r="K316" s="8">
        <v>3.7559999999999998</v>
      </c>
      <c r="L316" s="8">
        <v>5.5529999999999999</v>
      </c>
      <c r="M316" s="8">
        <v>4.2789999999999999</v>
      </c>
      <c r="N316" s="8">
        <v>3.819</v>
      </c>
      <c r="O316" s="8">
        <v>4.5919999999999996</v>
      </c>
    </row>
    <row r="317" spans="1:15" x14ac:dyDescent="0.25">
      <c r="A317" s="5" t="s">
        <v>329</v>
      </c>
      <c r="B317" s="5">
        <v>35</v>
      </c>
      <c r="C317" s="5" t="s">
        <v>2</v>
      </c>
      <c r="D317" s="7">
        <v>255</v>
      </c>
      <c r="E317" s="8">
        <v>31.542000000000002</v>
      </c>
      <c r="F317" s="8">
        <v>4.8470000000000004</v>
      </c>
      <c r="G317" s="8">
        <v>6.8819999999999997</v>
      </c>
      <c r="H317" s="8">
        <v>5.0579999999999998</v>
      </c>
      <c r="I317" s="8">
        <v>5.4889999999999999</v>
      </c>
      <c r="J317" s="8">
        <v>6.1349999999999998</v>
      </c>
      <c r="K317" s="8">
        <v>4.1619999999999999</v>
      </c>
      <c r="L317" s="8">
        <v>6.0960000000000001</v>
      </c>
      <c r="M317" s="8">
        <v>3.8380000000000001</v>
      </c>
      <c r="N317" s="8">
        <v>3.77</v>
      </c>
      <c r="O317" s="8">
        <v>4.5579999999999998</v>
      </c>
    </row>
    <row r="318" spans="1:15" x14ac:dyDescent="0.25">
      <c r="A318" s="5" t="s">
        <v>330</v>
      </c>
      <c r="B318" s="5">
        <v>59</v>
      </c>
      <c r="C318" s="5" t="s">
        <v>2</v>
      </c>
      <c r="D318" s="7">
        <v>165</v>
      </c>
      <c r="E318" s="8">
        <v>30.237000000000002</v>
      </c>
      <c r="F318" s="8">
        <v>3.5419999999999998</v>
      </c>
      <c r="G318" s="8">
        <v>3.593</v>
      </c>
      <c r="H318" s="8">
        <v>5.9619999999999997</v>
      </c>
      <c r="I318" s="8">
        <v>6.76</v>
      </c>
      <c r="J318" s="8">
        <v>4.9889999999999999</v>
      </c>
      <c r="K318" s="8">
        <v>4.8369999999999997</v>
      </c>
      <c r="L318" s="8">
        <v>6.2329999999999997</v>
      </c>
      <c r="M318" s="8">
        <v>4.3940000000000001</v>
      </c>
      <c r="N318" s="8">
        <v>4.1550000000000002</v>
      </c>
      <c r="O318" s="8">
        <v>4.5069999999999997</v>
      </c>
    </row>
    <row r="319" spans="1:15" x14ac:dyDescent="0.25">
      <c r="A319" s="5" t="s">
        <v>331</v>
      </c>
      <c r="B319" s="5">
        <v>58</v>
      </c>
      <c r="C319" s="5" t="s">
        <v>2</v>
      </c>
      <c r="D319" s="7">
        <v>292</v>
      </c>
      <c r="E319" s="8">
        <v>32.263000000000005</v>
      </c>
      <c r="F319" s="8">
        <v>5.5679999999999996</v>
      </c>
      <c r="G319" s="8">
        <v>5.2629999999999999</v>
      </c>
      <c r="H319" s="8">
        <v>5.7779999999999996</v>
      </c>
      <c r="I319" s="8">
        <v>5.0309999999999997</v>
      </c>
      <c r="J319" s="8">
        <v>5.2809999999999997</v>
      </c>
      <c r="K319" s="8">
        <v>4.1059999999999999</v>
      </c>
      <c r="L319" s="8">
        <v>5.7539999999999996</v>
      </c>
      <c r="M319" s="8">
        <v>3.7570000000000001</v>
      </c>
      <c r="N319" s="8">
        <v>3.915</v>
      </c>
      <c r="O319" s="8">
        <v>4.4580000000000002</v>
      </c>
    </row>
    <row r="320" spans="1:15" x14ac:dyDescent="0.25">
      <c r="A320" s="5" t="s">
        <v>332</v>
      </c>
      <c r="B320" s="5">
        <v>55</v>
      </c>
      <c r="C320" s="5" t="s">
        <v>2</v>
      </c>
      <c r="D320" s="7">
        <v>276</v>
      </c>
      <c r="E320" s="8">
        <v>32.148000000000003</v>
      </c>
      <c r="F320" s="8">
        <v>5.4530000000000003</v>
      </c>
      <c r="G320" s="8">
        <v>5.2869999999999999</v>
      </c>
      <c r="H320" s="8">
        <v>3.242</v>
      </c>
      <c r="I320" s="8">
        <v>5.8019999999999996</v>
      </c>
      <c r="J320" s="8">
        <v>4.5990000000000002</v>
      </c>
      <c r="K320" s="8">
        <v>3.9750000000000001</v>
      </c>
      <c r="L320" s="8">
        <v>5.8230000000000004</v>
      </c>
      <c r="M320" s="8">
        <v>4.2859999999999996</v>
      </c>
      <c r="N320" s="8">
        <v>4.5309999999999997</v>
      </c>
      <c r="O320" s="8">
        <v>4.306</v>
      </c>
    </row>
    <row r="321" spans="1:15" x14ac:dyDescent="0.25">
      <c r="A321" s="5" t="s">
        <v>333</v>
      </c>
      <c r="B321" s="5">
        <v>51</v>
      </c>
      <c r="C321" s="5" t="s">
        <v>3</v>
      </c>
      <c r="D321" s="7">
        <v>243</v>
      </c>
      <c r="E321" s="8">
        <v>31.498000000000001</v>
      </c>
      <c r="F321" s="8">
        <v>4.8029999999999999</v>
      </c>
      <c r="G321" s="8">
        <v>5.4409999999999998</v>
      </c>
      <c r="H321" s="8">
        <v>5.7949999999999999</v>
      </c>
      <c r="I321" s="8">
        <v>6.1630000000000003</v>
      </c>
      <c r="J321" s="8">
        <v>5.78</v>
      </c>
      <c r="K321" s="8">
        <v>4.2720000000000002</v>
      </c>
      <c r="L321" s="8">
        <v>6.0919999999999996</v>
      </c>
      <c r="M321" s="8">
        <v>4.2590000000000003</v>
      </c>
      <c r="N321" s="8">
        <v>4.0570000000000004</v>
      </c>
      <c r="O321" s="8">
        <v>4.742</v>
      </c>
    </row>
    <row r="322" spans="1:15" x14ac:dyDescent="0.25">
      <c r="A322" s="5" t="s">
        <v>334</v>
      </c>
      <c r="B322" s="5">
        <v>34</v>
      </c>
      <c r="C322" s="5" t="s">
        <v>3</v>
      </c>
      <c r="D322" s="7">
        <v>308</v>
      </c>
      <c r="E322" s="8">
        <v>32.653000000000006</v>
      </c>
      <c r="F322" s="8">
        <v>5.9580000000000002</v>
      </c>
      <c r="G322" s="8">
        <v>4.3159999999999998</v>
      </c>
      <c r="H322" s="8">
        <v>6.6070000000000002</v>
      </c>
      <c r="I322" s="8">
        <v>5.4050000000000002</v>
      </c>
      <c r="J322" s="8">
        <v>4.63</v>
      </c>
      <c r="K322" s="8">
        <v>4.0220000000000002</v>
      </c>
      <c r="L322" s="8">
        <v>5.5670000000000002</v>
      </c>
      <c r="M322" s="8">
        <v>4.0940000000000003</v>
      </c>
      <c r="N322" s="8">
        <v>4.2389999999999999</v>
      </c>
      <c r="O322" s="8">
        <v>4.1669999999999998</v>
      </c>
    </row>
    <row r="323" spans="1:15" x14ac:dyDescent="0.25">
      <c r="A323" s="5" t="s">
        <v>335</v>
      </c>
      <c r="B323" s="5">
        <v>54</v>
      </c>
      <c r="C323" s="5" t="s">
        <v>2</v>
      </c>
      <c r="D323" s="7">
        <v>287</v>
      </c>
      <c r="E323" s="8">
        <v>32.274000000000001</v>
      </c>
      <c r="F323" s="8">
        <v>5.5789999999999997</v>
      </c>
      <c r="G323" s="8">
        <v>4.8079999999999998</v>
      </c>
      <c r="H323" s="8">
        <v>4.5709999999999997</v>
      </c>
      <c r="I323" s="8">
        <v>6.032</v>
      </c>
      <c r="J323" s="8">
        <v>6.1689999999999996</v>
      </c>
      <c r="K323" s="8">
        <v>3.97</v>
      </c>
      <c r="L323" s="8">
        <v>6.7910000000000004</v>
      </c>
      <c r="M323" s="8">
        <v>4.508</v>
      </c>
      <c r="N323" s="8">
        <v>3.88</v>
      </c>
      <c r="O323" s="8">
        <v>4.0880000000000001</v>
      </c>
    </row>
    <row r="324" spans="1:15" x14ac:dyDescent="0.25">
      <c r="A324" s="5" t="s">
        <v>336</v>
      </c>
      <c r="B324" s="5">
        <v>42</v>
      </c>
      <c r="C324" s="5" t="s">
        <v>2</v>
      </c>
      <c r="D324" s="7">
        <v>316</v>
      </c>
      <c r="E324" s="8">
        <v>32.675000000000004</v>
      </c>
      <c r="F324" s="8">
        <v>5.98</v>
      </c>
      <c r="G324" s="8">
        <v>4.4530000000000003</v>
      </c>
      <c r="H324" s="8">
        <v>5.9210000000000003</v>
      </c>
      <c r="I324" s="8">
        <v>6.3410000000000002</v>
      </c>
      <c r="J324" s="8">
        <v>5.2549999999999999</v>
      </c>
      <c r="K324" s="8">
        <v>4.327</v>
      </c>
      <c r="L324" s="8">
        <v>6.8380000000000001</v>
      </c>
      <c r="M324" s="8">
        <v>4.1849999999999996</v>
      </c>
      <c r="N324" s="8">
        <v>4.3520000000000003</v>
      </c>
      <c r="O324" s="8">
        <v>4.4189999999999996</v>
      </c>
    </row>
    <row r="325" spans="1:15" x14ac:dyDescent="0.25">
      <c r="A325" s="5" t="s">
        <v>337</v>
      </c>
      <c r="B325" s="5">
        <v>44</v>
      </c>
      <c r="C325" s="5" t="s">
        <v>3</v>
      </c>
      <c r="D325" s="7">
        <v>134</v>
      </c>
      <c r="E325" s="8">
        <v>29.835000000000004</v>
      </c>
      <c r="F325" s="8">
        <v>3.14</v>
      </c>
      <c r="G325" s="8">
        <v>6.4790000000000001</v>
      </c>
      <c r="H325" s="8">
        <v>6.4429999999999996</v>
      </c>
      <c r="I325" s="8">
        <v>5.65</v>
      </c>
      <c r="J325" s="8">
        <v>5.407</v>
      </c>
      <c r="K325" s="8">
        <v>5.1040000000000001</v>
      </c>
      <c r="L325" s="8">
        <v>6.351</v>
      </c>
      <c r="M325" s="8">
        <v>4.1429999999999998</v>
      </c>
      <c r="N325" s="8">
        <v>4.6559999999999997</v>
      </c>
      <c r="O325" s="8">
        <v>4.2939999999999996</v>
      </c>
    </row>
    <row r="326" spans="1:15" x14ac:dyDescent="0.25">
      <c r="A326" s="5" t="s">
        <v>338</v>
      </c>
      <c r="B326" s="5">
        <v>74</v>
      </c>
      <c r="C326" s="5" t="s">
        <v>3</v>
      </c>
      <c r="D326" s="7">
        <v>328</v>
      </c>
      <c r="E326" s="8">
        <v>32.639000000000003</v>
      </c>
      <c r="F326" s="8">
        <v>5.944</v>
      </c>
      <c r="G326" s="8">
        <v>6.4690000000000003</v>
      </c>
      <c r="H326" s="8">
        <v>6.2619999999999996</v>
      </c>
      <c r="I326" s="8">
        <v>5.9160000000000004</v>
      </c>
      <c r="J326" s="8">
        <v>5.7549999999999999</v>
      </c>
      <c r="K326" s="8">
        <v>3.9860000000000002</v>
      </c>
      <c r="L326" s="8">
        <v>5.5279999999999996</v>
      </c>
      <c r="M326" s="8">
        <v>4.0090000000000003</v>
      </c>
      <c r="N326" s="8">
        <v>4.1559999999999997</v>
      </c>
      <c r="O326" s="8">
        <v>4.37</v>
      </c>
    </row>
    <row r="327" spans="1:15" x14ac:dyDescent="0.25">
      <c r="A327" s="5" t="s">
        <v>339</v>
      </c>
      <c r="B327" s="5">
        <v>48</v>
      </c>
      <c r="C327" s="5" t="s">
        <v>3</v>
      </c>
      <c r="D327" s="7">
        <v>253</v>
      </c>
      <c r="E327" s="8">
        <v>31.87</v>
      </c>
      <c r="F327" s="8">
        <v>5.1749999999999998</v>
      </c>
      <c r="G327" s="8">
        <v>5.2450000000000001</v>
      </c>
      <c r="H327" s="8">
        <v>6.2969999999999997</v>
      </c>
      <c r="I327" s="8">
        <v>5.9370000000000003</v>
      </c>
      <c r="J327" s="8">
        <v>4.8029999999999999</v>
      </c>
      <c r="K327" s="8">
        <v>3.3879999999999999</v>
      </c>
      <c r="L327" s="8">
        <v>6.0890000000000004</v>
      </c>
      <c r="M327" s="8">
        <v>3.4860000000000002</v>
      </c>
      <c r="N327" s="8">
        <v>3.6139999999999999</v>
      </c>
      <c r="O327" s="8">
        <v>4.3280000000000003</v>
      </c>
    </row>
    <row r="328" spans="1:15" x14ac:dyDescent="0.25">
      <c r="A328" s="5" t="s">
        <v>340</v>
      </c>
      <c r="B328" s="5">
        <v>23</v>
      </c>
      <c r="C328" s="5" t="s">
        <v>3</v>
      </c>
      <c r="D328" s="7">
        <v>276</v>
      </c>
      <c r="E328" s="8">
        <v>32.292000000000002</v>
      </c>
      <c r="F328" s="8">
        <v>5.5970000000000004</v>
      </c>
      <c r="G328" s="8">
        <v>5.5149999999999997</v>
      </c>
      <c r="H328" s="8">
        <v>4.3129999999999997</v>
      </c>
      <c r="I328" s="8">
        <v>6.8390000000000004</v>
      </c>
      <c r="J328" s="8">
        <v>5.09</v>
      </c>
      <c r="K328" s="8">
        <v>4.085</v>
      </c>
      <c r="L328" s="8">
        <v>6.3209999999999997</v>
      </c>
      <c r="M328" s="8">
        <v>3.948</v>
      </c>
      <c r="N328" s="8">
        <v>4.0979999999999999</v>
      </c>
      <c r="O328" s="8">
        <v>4.3419999999999996</v>
      </c>
    </row>
    <row r="329" spans="1:15" x14ac:dyDescent="0.25">
      <c r="A329" s="5" t="s">
        <v>341</v>
      </c>
      <c r="B329" s="5">
        <v>57</v>
      </c>
      <c r="C329" s="5" t="s">
        <v>2</v>
      </c>
      <c r="D329" s="7">
        <v>359</v>
      </c>
      <c r="E329" s="8">
        <v>33.31</v>
      </c>
      <c r="F329" s="8">
        <v>6.6150000000000002</v>
      </c>
      <c r="G329" s="8">
        <v>4.1929999999999996</v>
      </c>
      <c r="H329" s="8">
        <v>5.181</v>
      </c>
      <c r="I329" s="8">
        <v>6.2709999999999999</v>
      </c>
      <c r="J329" s="8">
        <v>4.5259999999999998</v>
      </c>
      <c r="K329" s="8">
        <v>3.7109999999999999</v>
      </c>
      <c r="L329" s="8">
        <v>6.3280000000000003</v>
      </c>
      <c r="M329" s="8">
        <v>3.6760000000000002</v>
      </c>
      <c r="N329" s="8">
        <v>4.3630000000000004</v>
      </c>
      <c r="O329" s="8">
        <v>4.4089999999999998</v>
      </c>
    </row>
    <row r="330" spans="1:15" x14ac:dyDescent="0.25">
      <c r="A330" s="5" t="s">
        <v>342</v>
      </c>
      <c r="B330" s="5">
        <v>29</v>
      </c>
      <c r="C330" s="5" t="s">
        <v>2</v>
      </c>
      <c r="D330" s="7">
        <v>220</v>
      </c>
      <c r="E330" s="8">
        <v>31.038000000000004</v>
      </c>
      <c r="F330" s="8">
        <v>4.343</v>
      </c>
      <c r="G330" s="8">
        <v>5.4770000000000003</v>
      </c>
      <c r="H330" s="8">
        <v>6.59</v>
      </c>
      <c r="I330" s="8">
        <v>5.84</v>
      </c>
      <c r="J330" s="8">
        <v>6.4509999999999996</v>
      </c>
      <c r="K330" s="8">
        <v>3.3580000000000001</v>
      </c>
      <c r="L330" s="8">
        <v>5.7590000000000003</v>
      </c>
      <c r="M330" s="8">
        <v>4.2089999999999996</v>
      </c>
      <c r="N330" s="8">
        <v>4.1050000000000004</v>
      </c>
      <c r="O330" s="8">
        <v>4.5949999999999998</v>
      </c>
    </row>
    <row r="331" spans="1:15" x14ac:dyDescent="0.25">
      <c r="A331" s="5" t="s">
        <v>343</v>
      </c>
      <c r="B331" s="5">
        <v>70</v>
      </c>
      <c r="C331" s="5" t="s">
        <v>3</v>
      </c>
      <c r="D331" s="7">
        <v>259</v>
      </c>
      <c r="E331" s="8">
        <v>31.719000000000001</v>
      </c>
      <c r="F331" s="8">
        <v>5.024</v>
      </c>
      <c r="G331" s="8">
        <v>5.0880000000000001</v>
      </c>
      <c r="H331" s="8">
        <v>6.87</v>
      </c>
      <c r="I331" s="8">
        <v>6.5190000000000001</v>
      </c>
      <c r="J331" s="8">
        <v>5.99</v>
      </c>
      <c r="K331" s="8">
        <v>4.7969999999999997</v>
      </c>
      <c r="L331" s="8">
        <v>6.3970000000000002</v>
      </c>
      <c r="M331" s="8">
        <v>4.37</v>
      </c>
      <c r="N331" s="8">
        <v>4.34</v>
      </c>
      <c r="O331" s="8">
        <v>4.1029999999999998</v>
      </c>
    </row>
    <row r="332" spans="1:15" x14ac:dyDescent="0.25">
      <c r="A332" s="5" t="s">
        <v>344</v>
      </c>
      <c r="B332" s="5">
        <v>27</v>
      </c>
      <c r="C332" s="5" t="s">
        <v>2</v>
      </c>
      <c r="D332" s="7">
        <v>319</v>
      </c>
      <c r="E332" s="8">
        <v>32.718000000000004</v>
      </c>
      <c r="F332" s="8">
        <v>6.0229999999999997</v>
      </c>
      <c r="G332" s="8">
        <v>6.9909999999999997</v>
      </c>
      <c r="H332" s="8">
        <v>5.9809999999999999</v>
      </c>
      <c r="I332" s="8">
        <v>5.8949999999999996</v>
      </c>
      <c r="J332" s="8">
        <v>5.5730000000000004</v>
      </c>
      <c r="K332" s="8">
        <v>3.097</v>
      </c>
      <c r="L332" s="8">
        <v>5.702</v>
      </c>
      <c r="M332" s="8">
        <v>4.6479999999999997</v>
      </c>
      <c r="N332" s="8">
        <v>4.766</v>
      </c>
      <c r="O332" s="8">
        <v>4.4870000000000001</v>
      </c>
    </row>
    <row r="333" spans="1:15" x14ac:dyDescent="0.25">
      <c r="A333" s="5" t="s">
        <v>345</v>
      </c>
      <c r="B333" s="5">
        <v>62</v>
      </c>
      <c r="C333" s="5" t="s">
        <v>3</v>
      </c>
      <c r="D333" s="7">
        <v>335</v>
      </c>
      <c r="E333" s="8">
        <v>33.082000000000008</v>
      </c>
      <c r="F333" s="8">
        <v>6.3869999999999996</v>
      </c>
      <c r="G333" s="8">
        <v>6.1379999999999999</v>
      </c>
      <c r="H333" s="8">
        <v>6.88</v>
      </c>
      <c r="I333" s="8">
        <v>6</v>
      </c>
      <c r="J333" s="8">
        <v>5.6210000000000004</v>
      </c>
      <c r="K333" s="8">
        <v>4.21</v>
      </c>
      <c r="L333" s="8">
        <v>6.0730000000000004</v>
      </c>
      <c r="M333" s="8">
        <v>4.4820000000000002</v>
      </c>
      <c r="N333" s="8">
        <v>4.101</v>
      </c>
      <c r="O333" s="8">
        <v>4.5069999999999997</v>
      </c>
    </row>
    <row r="334" spans="1:15" x14ac:dyDescent="0.25">
      <c r="A334" s="5" t="s">
        <v>346</v>
      </c>
      <c r="B334" s="5">
        <v>34</v>
      </c>
      <c r="C334" s="5" t="s">
        <v>2</v>
      </c>
      <c r="D334" s="7">
        <v>274</v>
      </c>
      <c r="E334" s="8">
        <v>32.212000000000003</v>
      </c>
      <c r="F334" s="8">
        <v>5.5170000000000003</v>
      </c>
      <c r="G334" s="8">
        <v>5.9269999999999996</v>
      </c>
      <c r="H334" s="8">
        <v>6.9020000000000001</v>
      </c>
      <c r="I334" s="8">
        <v>6.2149999999999999</v>
      </c>
      <c r="J334" s="8">
        <v>5.7430000000000003</v>
      </c>
      <c r="K334" s="8">
        <v>4.0090000000000003</v>
      </c>
      <c r="L334" s="8">
        <v>6.39</v>
      </c>
      <c r="M334" s="8">
        <v>3.7629999999999999</v>
      </c>
      <c r="N334" s="8">
        <v>4.133</v>
      </c>
      <c r="O334" s="8">
        <v>4.0469999999999997</v>
      </c>
    </row>
    <row r="335" spans="1:15" x14ac:dyDescent="0.25">
      <c r="A335" s="5" t="s">
        <v>347</v>
      </c>
      <c r="B335" s="5">
        <v>43</v>
      </c>
      <c r="C335" s="5" t="s">
        <v>3</v>
      </c>
      <c r="D335" s="7">
        <v>336</v>
      </c>
      <c r="E335" s="8">
        <v>33.097999999999999</v>
      </c>
      <c r="F335" s="8">
        <v>6.4029999999999996</v>
      </c>
      <c r="G335" s="8">
        <v>5.0179999999999998</v>
      </c>
      <c r="H335" s="8">
        <v>7.31</v>
      </c>
      <c r="I335" s="8">
        <v>5.2380000000000004</v>
      </c>
      <c r="J335" s="8">
        <v>6.6360000000000001</v>
      </c>
      <c r="K335" s="8">
        <v>3.4489999999999998</v>
      </c>
      <c r="L335" s="8">
        <v>6.5670000000000002</v>
      </c>
      <c r="M335" s="8">
        <v>4.4470000000000001</v>
      </c>
      <c r="N335" s="8">
        <v>3.6840000000000002</v>
      </c>
      <c r="O335" s="8">
        <v>4.5259999999999998</v>
      </c>
    </row>
    <row r="336" spans="1:15" x14ac:dyDescent="0.25">
      <c r="A336" s="5" t="s">
        <v>348</v>
      </c>
      <c r="B336" s="5">
        <v>79</v>
      </c>
      <c r="C336" s="5" t="s">
        <v>2</v>
      </c>
      <c r="D336" s="7">
        <v>344</v>
      </c>
      <c r="E336" s="8">
        <v>33.35</v>
      </c>
      <c r="F336" s="8">
        <v>6.6550000000000002</v>
      </c>
      <c r="G336" s="8">
        <v>5.4320000000000004</v>
      </c>
      <c r="H336" s="8">
        <v>7.5730000000000004</v>
      </c>
      <c r="I336" s="8">
        <v>6.4619999999999997</v>
      </c>
      <c r="J336" s="8">
        <v>5.5750000000000002</v>
      </c>
      <c r="K336" s="8">
        <v>3.7240000000000002</v>
      </c>
      <c r="L336" s="8">
        <v>5.6669999999999998</v>
      </c>
      <c r="M336" s="8">
        <v>4.2220000000000004</v>
      </c>
      <c r="N336" s="8">
        <v>4.3070000000000004</v>
      </c>
      <c r="O336" s="8">
        <v>4.2699999999999996</v>
      </c>
    </row>
    <row r="337" spans="1:15" x14ac:dyDescent="0.25">
      <c r="A337" s="5" t="s">
        <v>349</v>
      </c>
      <c r="B337" s="5">
        <v>63</v>
      </c>
      <c r="C337" s="5" t="s">
        <v>3</v>
      </c>
      <c r="D337" s="7">
        <v>285</v>
      </c>
      <c r="E337" s="8">
        <v>32.103000000000002</v>
      </c>
      <c r="F337" s="8">
        <v>6.3730000000000002</v>
      </c>
      <c r="G337" s="8">
        <v>8.3089999999999993</v>
      </c>
      <c r="H337" s="8">
        <v>3.5720000000000001</v>
      </c>
      <c r="I337" s="8">
        <v>6.3239999999999998</v>
      </c>
      <c r="J337" s="8">
        <v>6.1150000000000002</v>
      </c>
      <c r="K337" s="8">
        <v>2.895</v>
      </c>
      <c r="L337" s="8">
        <v>6.056</v>
      </c>
      <c r="M337" s="8">
        <v>3.6890000000000001</v>
      </c>
      <c r="N337" s="8">
        <v>3.8940000000000001</v>
      </c>
      <c r="O337" s="8">
        <v>4.2709999999999999</v>
      </c>
    </row>
    <row r="338" spans="1:15" x14ac:dyDescent="0.25">
      <c r="A338" s="5" t="s">
        <v>350</v>
      </c>
      <c r="B338" s="5">
        <v>81</v>
      </c>
      <c r="C338" s="5" t="s">
        <v>3</v>
      </c>
      <c r="D338" s="7">
        <v>253</v>
      </c>
      <c r="E338" s="8">
        <v>31.726000000000003</v>
      </c>
      <c r="F338" s="8">
        <v>5.0309999999999997</v>
      </c>
      <c r="G338" s="8">
        <v>6.8650000000000002</v>
      </c>
      <c r="H338" s="8">
        <v>4.7530000000000001</v>
      </c>
      <c r="I338" s="8">
        <v>7.0650000000000004</v>
      </c>
      <c r="J338" s="8">
        <v>6.1</v>
      </c>
      <c r="K338" s="8">
        <v>4.1280000000000001</v>
      </c>
      <c r="L338" s="8">
        <v>5.875</v>
      </c>
      <c r="M338" s="8">
        <v>3.6280000000000001</v>
      </c>
      <c r="N338" s="8">
        <v>3.8660000000000001</v>
      </c>
      <c r="O338" s="8">
        <v>4.399</v>
      </c>
    </row>
    <row r="339" spans="1:15" x14ac:dyDescent="0.25">
      <c r="A339" s="5" t="s">
        <v>351</v>
      </c>
      <c r="B339" s="5">
        <v>24</v>
      </c>
      <c r="C339" s="5" t="s">
        <v>2</v>
      </c>
      <c r="D339" s="7">
        <v>310</v>
      </c>
      <c r="E339" s="8">
        <v>32.792000000000002</v>
      </c>
      <c r="F339" s="8">
        <v>6.0970000000000004</v>
      </c>
      <c r="G339" s="8">
        <v>5.5069999999999997</v>
      </c>
      <c r="H339" s="8">
        <v>5.1079999999999997</v>
      </c>
      <c r="I339" s="8">
        <v>4.6369999999999996</v>
      </c>
      <c r="J339" s="8">
        <v>4.8979999999999997</v>
      </c>
      <c r="K339" s="8">
        <v>4.7380000000000004</v>
      </c>
      <c r="L339" s="8">
        <v>5.875</v>
      </c>
      <c r="M339" s="8">
        <v>4.0010000000000003</v>
      </c>
      <c r="N339" s="8">
        <v>3.8410000000000002</v>
      </c>
      <c r="O339" s="8">
        <v>4.4960000000000004</v>
      </c>
    </row>
    <row r="340" spans="1:15" x14ac:dyDescent="0.25">
      <c r="A340" s="5" t="s">
        <v>352</v>
      </c>
      <c r="B340" s="5">
        <v>71</v>
      </c>
      <c r="C340" s="5" t="s">
        <v>3</v>
      </c>
      <c r="D340" s="7">
        <v>329</v>
      </c>
      <c r="E340" s="8">
        <v>33.031000000000006</v>
      </c>
      <c r="F340" s="8">
        <v>6.3360000000000003</v>
      </c>
      <c r="G340" s="8">
        <v>5.8570000000000002</v>
      </c>
      <c r="H340" s="8">
        <v>6.5590000000000002</v>
      </c>
      <c r="I340" s="8">
        <v>5.8419999999999996</v>
      </c>
      <c r="J340" s="8">
        <v>5.8630000000000004</v>
      </c>
      <c r="K340" s="8">
        <v>3.2229999999999999</v>
      </c>
      <c r="L340" s="8">
        <v>6.6970000000000001</v>
      </c>
      <c r="M340" s="8">
        <v>4.3739999999999997</v>
      </c>
      <c r="N340" s="8">
        <v>4.0289999999999999</v>
      </c>
      <c r="O340" s="8">
        <v>4.2670000000000003</v>
      </c>
    </row>
    <row r="341" spans="1:15" x14ac:dyDescent="0.25">
      <c r="A341" s="5" t="s">
        <v>353</v>
      </c>
      <c r="B341" s="5">
        <v>82</v>
      </c>
      <c r="C341" s="5" t="s">
        <v>2</v>
      </c>
      <c r="D341" s="7">
        <v>304</v>
      </c>
      <c r="E341" s="8">
        <v>32.499000000000002</v>
      </c>
      <c r="F341" s="8">
        <v>5.8040000000000003</v>
      </c>
      <c r="G341" s="8">
        <v>5.6470000000000002</v>
      </c>
      <c r="H341" s="8">
        <v>5.0599999999999996</v>
      </c>
      <c r="I341" s="8">
        <v>7.2830000000000004</v>
      </c>
      <c r="J341" s="8">
        <v>6.3949999999999996</v>
      </c>
      <c r="K341" s="8">
        <v>3.0529999999999999</v>
      </c>
      <c r="L341" s="8">
        <v>6.2869999999999999</v>
      </c>
      <c r="M341" s="8">
        <v>4.399</v>
      </c>
      <c r="N341" s="8">
        <v>4.0620000000000003</v>
      </c>
      <c r="O341" s="8">
        <v>4.2960000000000003</v>
      </c>
    </row>
    <row r="342" spans="1:15" x14ac:dyDescent="0.25">
      <c r="A342" s="5" t="s">
        <v>354</v>
      </c>
      <c r="B342" s="5">
        <v>68</v>
      </c>
      <c r="C342" s="5" t="s">
        <v>2</v>
      </c>
      <c r="D342" s="7">
        <v>345</v>
      </c>
      <c r="E342" s="8">
        <v>33.35</v>
      </c>
      <c r="F342" s="8">
        <v>6.6550000000000002</v>
      </c>
      <c r="G342" s="8">
        <v>5.3</v>
      </c>
      <c r="H342" s="8">
        <v>6.5030000000000001</v>
      </c>
      <c r="I342" s="8">
        <v>6.2690000000000001</v>
      </c>
      <c r="J342" s="8">
        <v>4.9829999999999997</v>
      </c>
      <c r="K342" s="8">
        <v>4.0369999999999999</v>
      </c>
      <c r="L342" s="8">
        <v>7.0430000000000001</v>
      </c>
      <c r="M342" s="8">
        <v>4.6269999999999998</v>
      </c>
      <c r="N342" s="8">
        <v>4.0730000000000004</v>
      </c>
      <c r="O342" s="8">
        <v>4.101</v>
      </c>
    </row>
    <row r="343" spans="1:15" x14ac:dyDescent="0.25">
      <c r="A343" s="5" t="s">
        <v>355</v>
      </c>
      <c r="B343" s="5">
        <v>70</v>
      </c>
      <c r="C343" s="5" t="s">
        <v>3</v>
      </c>
      <c r="D343" s="7">
        <v>181</v>
      </c>
      <c r="E343" s="8">
        <v>30.623000000000001</v>
      </c>
      <c r="F343" s="8">
        <v>3.9279999999999999</v>
      </c>
      <c r="G343" s="8">
        <v>5.2119999999999997</v>
      </c>
      <c r="H343" s="8">
        <v>6.5659999999999998</v>
      </c>
      <c r="I343" s="8">
        <v>6.8010000000000002</v>
      </c>
      <c r="J343" s="8">
        <v>6.1479999999999997</v>
      </c>
      <c r="K343" s="8">
        <v>4.4290000000000003</v>
      </c>
      <c r="L343" s="8">
        <v>5.5179999999999998</v>
      </c>
      <c r="M343" s="8">
        <v>4.4569999999999999</v>
      </c>
      <c r="N343" s="8">
        <v>5.0570000000000004</v>
      </c>
      <c r="O343" s="8">
        <v>4.5309999999999997</v>
      </c>
    </row>
    <row r="344" spans="1:15" x14ac:dyDescent="0.25">
      <c r="A344" s="5" t="s">
        <v>356</v>
      </c>
      <c r="B344" s="5">
        <v>53</v>
      </c>
      <c r="C344" s="5" t="s">
        <v>2</v>
      </c>
      <c r="D344" s="7">
        <v>382</v>
      </c>
      <c r="E344" s="8">
        <v>33.831000000000003</v>
      </c>
      <c r="F344" s="8">
        <v>7.1360000000000001</v>
      </c>
      <c r="G344" s="8">
        <v>5.5670000000000002</v>
      </c>
      <c r="H344" s="8">
        <v>5.726</v>
      </c>
      <c r="I344" s="8">
        <v>5.7370000000000001</v>
      </c>
      <c r="J344" s="8">
        <v>4.0819999999999999</v>
      </c>
      <c r="K344" s="8">
        <v>4.4029999999999996</v>
      </c>
      <c r="L344" s="8">
        <v>5.6870000000000003</v>
      </c>
      <c r="M344" s="8">
        <v>3.9249999999999998</v>
      </c>
      <c r="N344" s="8">
        <v>4.3940000000000001</v>
      </c>
      <c r="O344" s="8">
        <v>4.41</v>
      </c>
    </row>
    <row r="345" spans="1:15" x14ac:dyDescent="0.25">
      <c r="A345" s="5" t="s">
        <v>357</v>
      </c>
      <c r="B345" s="5">
        <v>43</v>
      </c>
      <c r="C345" s="5" t="s">
        <v>2</v>
      </c>
      <c r="D345" s="7">
        <v>317</v>
      </c>
      <c r="E345" s="8">
        <v>32.75</v>
      </c>
      <c r="F345" s="8">
        <v>6.0549999999999997</v>
      </c>
      <c r="G345" s="8">
        <v>6.218</v>
      </c>
      <c r="H345" s="8">
        <v>5.4550000000000001</v>
      </c>
      <c r="I345" s="8">
        <v>6.4619999999999997</v>
      </c>
      <c r="J345" s="8">
        <v>5.1390000000000002</v>
      </c>
      <c r="K345" s="8">
        <v>3.7789999999999999</v>
      </c>
      <c r="L345" s="8">
        <v>5.258</v>
      </c>
      <c r="M345" s="8">
        <v>4.3179999999999996</v>
      </c>
      <c r="N345" s="8">
        <v>4.2149999999999999</v>
      </c>
      <c r="O345" s="8">
        <v>4.5279999999999996</v>
      </c>
    </row>
    <row r="346" spans="1:15" x14ac:dyDescent="0.25">
      <c r="A346" s="5" t="s">
        <v>358</v>
      </c>
      <c r="B346" s="5">
        <v>46</v>
      </c>
      <c r="C346" s="5" t="s">
        <v>2</v>
      </c>
      <c r="D346" s="7">
        <v>242</v>
      </c>
      <c r="E346" s="8">
        <v>31.610000000000003</v>
      </c>
      <c r="F346" s="8">
        <v>4.915</v>
      </c>
      <c r="G346" s="8">
        <v>6.1459999999999999</v>
      </c>
      <c r="H346" s="8">
        <v>5.3819999999999997</v>
      </c>
      <c r="I346" s="8">
        <v>7.1630000000000003</v>
      </c>
      <c r="J346" s="8">
        <v>5.0739999999999998</v>
      </c>
      <c r="K346" s="8">
        <v>3.4689999999999999</v>
      </c>
      <c r="L346" s="8">
        <v>5.6820000000000004</v>
      </c>
      <c r="M346" s="8">
        <v>3.9510000000000001</v>
      </c>
      <c r="N346" s="8">
        <v>3.5590000000000002</v>
      </c>
      <c r="O346" s="8">
        <v>4.5199999999999996</v>
      </c>
    </row>
    <row r="347" spans="1:15" x14ac:dyDescent="0.25">
      <c r="A347" s="5" t="s">
        <v>359</v>
      </c>
      <c r="B347" s="5">
        <v>38</v>
      </c>
      <c r="C347" s="5" t="s">
        <v>2</v>
      </c>
      <c r="D347" s="7">
        <v>247</v>
      </c>
      <c r="E347" s="8">
        <v>31.685000000000002</v>
      </c>
      <c r="F347" s="8">
        <v>4.99</v>
      </c>
      <c r="G347" s="8">
        <v>5.6509999999999998</v>
      </c>
      <c r="H347" s="8">
        <v>5.4829999999999997</v>
      </c>
      <c r="I347" s="8">
        <v>4.8019999999999996</v>
      </c>
      <c r="J347" s="8">
        <v>5.7910000000000004</v>
      </c>
      <c r="K347" s="8">
        <v>3.8079999999999998</v>
      </c>
      <c r="L347" s="8">
        <v>5.7729999999999997</v>
      </c>
      <c r="M347" s="8">
        <v>4.3019999999999996</v>
      </c>
      <c r="N347" s="8">
        <v>3.3479999999999999</v>
      </c>
      <c r="O347" s="8">
        <v>4.6580000000000004</v>
      </c>
    </row>
    <row r="348" spans="1:15" x14ac:dyDescent="0.25">
      <c r="A348" s="5" t="s">
        <v>360</v>
      </c>
      <c r="B348" s="5">
        <v>28</v>
      </c>
      <c r="C348" s="5" t="s">
        <v>2</v>
      </c>
      <c r="D348" s="7">
        <v>313</v>
      </c>
      <c r="E348" s="8">
        <v>32.688000000000002</v>
      </c>
      <c r="F348" s="8">
        <v>5.9930000000000003</v>
      </c>
      <c r="G348" s="8">
        <v>6.3979999999999997</v>
      </c>
      <c r="H348" s="8">
        <v>6.9059999999999997</v>
      </c>
      <c r="I348" s="8">
        <v>6.5540000000000003</v>
      </c>
      <c r="J348" s="8">
        <v>6.4720000000000004</v>
      </c>
      <c r="K348" s="8">
        <v>3.8530000000000002</v>
      </c>
      <c r="L348" s="8">
        <v>6.18</v>
      </c>
      <c r="M348" s="8">
        <v>3.57</v>
      </c>
      <c r="N348" s="8">
        <v>4.7270000000000003</v>
      </c>
      <c r="O348" s="8">
        <v>4.5999999999999996</v>
      </c>
    </row>
    <row r="349" spans="1:15" x14ac:dyDescent="0.25">
      <c r="A349" s="5" t="s">
        <v>361</v>
      </c>
      <c r="B349" s="5">
        <v>57</v>
      </c>
      <c r="C349" s="5" t="s">
        <v>3</v>
      </c>
      <c r="D349" s="7">
        <v>230</v>
      </c>
      <c r="E349" s="8">
        <v>31.544000000000004</v>
      </c>
      <c r="F349" s="8">
        <v>4.8490000000000002</v>
      </c>
      <c r="G349" s="8">
        <v>4.2430000000000003</v>
      </c>
      <c r="H349" s="8">
        <v>6.5460000000000003</v>
      </c>
      <c r="I349" s="8">
        <v>6.63</v>
      </c>
      <c r="J349" s="8">
        <v>5.6230000000000002</v>
      </c>
      <c r="K349" s="8">
        <v>5.2910000000000004</v>
      </c>
      <c r="L349" s="8">
        <v>5.92</v>
      </c>
      <c r="M349" s="8">
        <v>4.4290000000000003</v>
      </c>
      <c r="N349" s="8">
        <v>4.0869999999999997</v>
      </c>
      <c r="O349" s="8">
        <v>4.4569999999999999</v>
      </c>
    </row>
    <row r="350" spans="1:15" x14ac:dyDescent="0.25">
      <c r="A350" s="5" t="s">
        <v>362</v>
      </c>
      <c r="B350" s="5">
        <v>28</v>
      </c>
      <c r="C350" s="5" t="s">
        <v>2</v>
      </c>
      <c r="D350" s="7">
        <v>324</v>
      </c>
      <c r="E350" s="8">
        <v>33.122</v>
      </c>
      <c r="F350" s="8">
        <v>6.4269999999999996</v>
      </c>
      <c r="G350" s="8">
        <v>6.0289999999999999</v>
      </c>
      <c r="H350" s="8">
        <v>5.0750000000000002</v>
      </c>
      <c r="I350" s="8">
        <v>5.46</v>
      </c>
      <c r="J350" s="8">
        <v>5.1230000000000002</v>
      </c>
      <c r="K350" s="8">
        <v>3.8109999999999999</v>
      </c>
      <c r="L350" s="8">
        <v>6.1050000000000004</v>
      </c>
      <c r="M350" s="8">
        <v>3.3690000000000002</v>
      </c>
      <c r="N350" s="8">
        <v>3.9729999999999999</v>
      </c>
      <c r="O350" s="8">
        <v>4.1950000000000003</v>
      </c>
    </row>
    <row r="351" spans="1:15" x14ac:dyDescent="0.25">
      <c r="A351" s="5" t="s">
        <v>363</v>
      </c>
      <c r="B351" s="5">
        <v>53</v>
      </c>
      <c r="C351" s="5" t="s">
        <v>2</v>
      </c>
      <c r="D351" s="7">
        <v>264</v>
      </c>
      <c r="E351" s="8">
        <v>32.007000000000005</v>
      </c>
      <c r="F351" s="8">
        <v>5.3120000000000003</v>
      </c>
      <c r="G351" s="8">
        <v>3.9220000000000002</v>
      </c>
      <c r="H351" s="8">
        <v>4.2699999999999996</v>
      </c>
      <c r="I351" s="8">
        <v>5.0960000000000001</v>
      </c>
      <c r="J351" s="8">
        <v>6.2430000000000003</v>
      </c>
      <c r="K351" s="8">
        <v>3.45</v>
      </c>
      <c r="L351" s="8">
        <v>5.2370000000000001</v>
      </c>
      <c r="M351" s="8">
        <v>4.1159999999999997</v>
      </c>
      <c r="N351" s="8">
        <v>3.952</v>
      </c>
      <c r="O351" s="8">
        <v>4.1980000000000004</v>
      </c>
    </row>
    <row r="352" spans="1:15" x14ac:dyDescent="0.25">
      <c r="A352" s="5" t="s">
        <v>364</v>
      </c>
      <c r="B352" s="5">
        <v>76</v>
      </c>
      <c r="C352" s="5" t="s">
        <v>2</v>
      </c>
      <c r="D352" s="7">
        <v>299</v>
      </c>
      <c r="E352" s="8">
        <v>32.516000000000005</v>
      </c>
      <c r="F352" s="8">
        <v>5.8209999999999997</v>
      </c>
      <c r="G352" s="8">
        <v>5.1639999999999997</v>
      </c>
      <c r="H352" s="8">
        <v>7.2290000000000001</v>
      </c>
      <c r="I352" s="8">
        <v>5.0229999999999997</v>
      </c>
      <c r="J352" s="8">
        <v>5.867</v>
      </c>
      <c r="K352" s="8">
        <v>4.0750000000000002</v>
      </c>
      <c r="L352" s="8">
        <v>5.4189999999999996</v>
      </c>
      <c r="M352" s="8">
        <v>4.625</v>
      </c>
      <c r="N352" s="8">
        <v>4.4690000000000003</v>
      </c>
      <c r="O352" s="8">
        <v>4.1040000000000001</v>
      </c>
    </row>
    <row r="353" spans="1:15" x14ac:dyDescent="0.25">
      <c r="A353" s="5" t="s">
        <v>365</v>
      </c>
      <c r="B353" s="5">
        <v>56</v>
      </c>
      <c r="C353" s="5" t="s">
        <v>2</v>
      </c>
      <c r="D353" s="7">
        <v>369</v>
      </c>
      <c r="E353" s="8">
        <v>33.615000000000002</v>
      </c>
      <c r="F353" s="8">
        <v>6.92</v>
      </c>
      <c r="G353" s="8">
        <v>4.9059999999999997</v>
      </c>
      <c r="H353" s="8">
        <v>6.3739999999999997</v>
      </c>
      <c r="I353" s="8">
        <v>7.1180000000000003</v>
      </c>
      <c r="J353" s="8">
        <v>5.4</v>
      </c>
      <c r="K353" s="8">
        <v>4.742</v>
      </c>
      <c r="L353" s="8">
        <v>5.83</v>
      </c>
      <c r="M353" s="8">
        <v>3.6619999999999999</v>
      </c>
      <c r="N353" s="8">
        <v>4.1399999999999997</v>
      </c>
      <c r="O353" s="8">
        <v>4.4800000000000004</v>
      </c>
    </row>
    <row r="354" spans="1:15" x14ac:dyDescent="0.25">
      <c r="A354" s="5" t="s">
        <v>366</v>
      </c>
      <c r="B354" s="5">
        <v>71</v>
      </c>
      <c r="C354" s="5" t="s">
        <v>2</v>
      </c>
      <c r="D354" s="7">
        <v>225</v>
      </c>
      <c r="E354" s="8">
        <v>31.005000000000003</v>
      </c>
      <c r="F354" s="8">
        <v>4.3099999999999996</v>
      </c>
      <c r="G354" s="8">
        <v>5.83</v>
      </c>
      <c r="H354" s="8">
        <v>5.4829999999999997</v>
      </c>
      <c r="I354" s="8">
        <v>4.8449999999999998</v>
      </c>
      <c r="J354" s="8">
        <v>6.77</v>
      </c>
      <c r="K354" s="8">
        <v>4.569</v>
      </c>
      <c r="L354" s="8">
        <v>5.9210000000000003</v>
      </c>
      <c r="M354" s="8">
        <v>3.5539999999999998</v>
      </c>
      <c r="N354" s="8">
        <v>3.7890000000000001</v>
      </c>
      <c r="O354" s="8">
        <v>4.5670000000000002</v>
      </c>
    </row>
    <row r="355" spans="1:15" x14ac:dyDescent="0.25">
      <c r="A355" s="5" t="s">
        <v>367</v>
      </c>
      <c r="B355" s="5">
        <v>72</v>
      </c>
      <c r="C355" s="5" t="s">
        <v>3</v>
      </c>
      <c r="D355" s="7">
        <v>235</v>
      </c>
      <c r="E355" s="8">
        <v>31.267000000000003</v>
      </c>
      <c r="F355" s="8">
        <v>4.5720000000000001</v>
      </c>
      <c r="G355" s="8">
        <v>3.35</v>
      </c>
      <c r="H355" s="8">
        <v>6.8579999999999997</v>
      </c>
      <c r="I355" s="8">
        <v>6.9989999999999997</v>
      </c>
      <c r="J355" s="8">
        <v>7.133</v>
      </c>
      <c r="K355" s="8">
        <v>4.2140000000000004</v>
      </c>
      <c r="L355" s="8">
        <v>5.8090000000000002</v>
      </c>
      <c r="M355" s="8">
        <v>4.5819999999999999</v>
      </c>
      <c r="N355" s="8">
        <v>4.0910000000000002</v>
      </c>
      <c r="O355" s="8">
        <v>4.6210000000000004</v>
      </c>
    </row>
    <row r="356" spans="1:15" x14ac:dyDescent="0.25">
      <c r="A356" s="5" t="s">
        <v>368</v>
      </c>
      <c r="B356" s="5">
        <v>41</v>
      </c>
      <c r="C356" s="5" t="s">
        <v>2</v>
      </c>
      <c r="D356" s="7">
        <v>358</v>
      </c>
      <c r="E356" s="8">
        <v>33.505000000000003</v>
      </c>
      <c r="F356" s="8">
        <v>6.81</v>
      </c>
      <c r="G356" s="8">
        <v>4.7439999999999998</v>
      </c>
      <c r="H356" s="8">
        <v>5.609</v>
      </c>
      <c r="I356" s="8">
        <v>6.9969999999999999</v>
      </c>
      <c r="J356" s="8">
        <v>5.2859999999999996</v>
      </c>
      <c r="K356" s="8">
        <v>3.976</v>
      </c>
      <c r="L356" s="8">
        <v>6.7309999999999999</v>
      </c>
      <c r="M356" s="8">
        <v>4.24</v>
      </c>
      <c r="N356" s="8">
        <v>4.08</v>
      </c>
      <c r="O356" s="8">
        <v>4.2709999999999999</v>
      </c>
    </row>
    <row r="357" spans="1:15" x14ac:dyDescent="0.25">
      <c r="A357" s="5" t="s">
        <v>369</v>
      </c>
      <c r="B357" s="5">
        <v>39</v>
      </c>
      <c r="C357" s="5" t="s">
        <v>3</v>
      </c>
      <c r="D357" s="7">
        <v>289</v>
      </c>
      <c r="E357" s="8">
        <v>32.31</v>
      </c>
      <c r="F357" s="8">
        <v>5.6150000000000002</v>
      </c>
      <c r="G357" s="8">
        <v>3.9729999999999999</v>
      </c>
      <c r="H357" s="8">
        <v>5.51</v>
      </c>
      <c r="I357" s="8">
        <v>5.2519999999999998</v>
      </c>
      <c r="J357" s="8">
        <v>5.6319999999999997</v>
      </c>
      <c r="K357" s="8">
        <v>4.3380000000000001</v>
      </c>
      <c r="L357" s="8">
        <v>5.5439999999999996</v>
      </c>
      <c r="M357" s="8">
        <v>3.4710000000000001</v>
      </c>
      <c r="N357" s="8">
        <v>4.0659999999999998</v>
      </c>
      <c r="O357" s="8">
        <v>4.5880000000000001</v>
      </c>
    </row>
    <row r="358" spans="1:15" x14ac:dyDescent="0.25">
      <c r="A358" s="5" t="s">
        <v>370</v>
      </c>
      <c r="B358" s="5">
        <v>73</v>
      </c>
      <c r="C358" s="5" t="s">
        <v>3</v>
      </c>
      <c r="D358" s="7">
        <v>441</v>
      </c>
      <c r="E358" s="8">
        <v>35.023000000000003</v>
      </c>
      <c r="F358" s="8">
        <v>8.3279999999999994</v>
      </c>
      <c r="G358" s="8">
        <v>5.84</v>
      </c>
      <c r="H358" s="8">
        <v>7.3860000000000001</v>
      </c>
      <c r="I358" s="8">
        <v>5.6109999999999998</v>
      </c>
      <c r="J358" s="8">
        <v>5.9539999999999997</v>
      </c>
      <c r="K358" s="8">
        <v>3.3069999999999999</v>
      </c>
      <c r="L358" s="8">
        <v>5.7249999999999996</v>
      </c>
      <c r="M358" s="8">
        <v>4.7030000000000003</v>
      </c>
      <c r="N358" s="8">
        <v>4.2510000000000003</v>
      </c>
      <c r="O358" s="8">
        <v>4.0209999999999999</v>
      </c>
    </row>
    <row r="359" spans="1:15" x14ac:dyDescent="0.25">
      <c r="A359" s="5" t="s">
        <v>371</v>
      </c>
      <c r="B359" s="5">
        <v>50</v>
      </c>
      <c r="C359" s="5" t="s">
        <v>3</v>
      </c>
      <c r="D359" s="7">
        <v>298</v>
      </c>
      <c r="E359" s="8">
        <v>32.469000000000001</v>
      </c>
      <c r="F359" s="8">
        <v>5.774</v>
      </c>
      <c r="G359" s="8">
        <v>5.665</v>
      </c>
      <c r="H359" s="8">
        <v>7.2549999999999999</v>
      </c>
      <c r="I359" s="8">
        <v>7.3179999999999996</v>
      </c>
      <c r="J359" s="8">
        <v>7.0119999999999996</v>
      </c>
      <c r="K359" s="8">
        <v>3.8319999999999999</v>
      </c>
      <c r="L359" s="8">
        <v>5.508</v>
      </c>
      <c r="M359" s="8">
        <v>4.2329999999999997</v>
      </c>
      <c r="N359" s="8">
        <v>4.2160000000000002</v>
      </c>
      <c r="O359" s="8">
        <v>4.76</v>
      </c>
    </row>
    <row r="360" spans="1:15" x14ac:dyDescent="0.25">
      <c r="A360" s="5" t="s">
        <v>372</v>
      </c>
      <c r="B360" s="5">
        <v>53</v>
      </c>
      <c r="C360" s="5" t="s">
        <v>3</v>
      </c>
      <c r="D360" s="7">
        <v>286</v>
      </c>
      <c r="E360" s="8">
        <v>32.311000000000007</v>
      </c>
      <c r="F360" s="8">
        <v>5.6159999999999997</v>
      </c>
      <c r="G360" s="8">
        <v>5.2869999999999999</v>
      </c>
      <c r="H360" s="8">
        <v>5.8079999999999998</v>
      </c>
      <c r="I360" s="8">
        <v>6.1669999999999998</v>
      </c>
      <c r="J360" s="8">
        <v>5.4749999999999996</v>
      </c>
      <c r="K360" s="8">
        <v>4.32</v>
      </c>
      <c r="L360" s="8">
        <v>5.7789999999999999</v>
      </c>
      <c r="M360" s="8">
        <v>4.21</v>
      </c>
      <c r="N360" s="8">
        <v>4.42</v>
      </c>
      <c r="O360" s="8">
        <v>4.3559999999999999</v>
      </c>
    </row>
    <row r="361" spans="1:15" x14ac:dyDescent="0.25">
      <c r="A361" s="5" t="s">
        <v>373</v>
      </c>
      <c r="B361" s="5">
        <v>37</v>
      </c>
      <c r="C361" s="5" t="s">
        <v>2</v>
      </c>
      <c r="D361" s="7">
        <v>221</v>
      </c>
      <c r="E361" s="8">
        <v>31.125000000000004</v>
      </c>
      <c r="F361" s="8">
        <v>4.43</v>
      </c>
      <c r="G361" s="8">
        <v>5.2619999999999996</v>
      </c>
      <c r="H361" s="8">
        <v>6.7560000000000002</v>
      </c>
      <c r="I361" s="8">
        <v>5.8419999999999996</v>
      </c>
      <c r="J361" s="8">
        <v>6.0369999999999999</v>
      </c>
      <c r="K361" s="8">
        <v>5.6059999999999999</v>
      </c>
      <c r="L361" s="8">
        <v>5.7560000000000002</v>
      </c>
      <c r="M361" s="8">
        <v>4.625</v>
      </c>
      <c r="N361" s="8">
        <v>4.1150000000000002</v>
      </c>
      <c r="O361" s="8">
        <v>4.3419999999999996</v>
      </c>
    </row>
    <row r="362" spans="1:15" x14ac:dyDescent="0.25">
      <c r="A362" s="5" t="s">
        <v>374</v>
      </c>
      <c r="B362" s="5">
        <v>79</v>
      </c>
      <c r="C362" s="5" t="s">
        <v>3</v>
      </c>
      <c r="D362" s="7">
        <v>232</v>
      </c>
      <c r="E362" s="8">
        <v>31.485000000000003</v>
      </c>
      <c r="F362" s="8">
        <v>4.79</v>
      </c>
      <c r="G362" s="8">
        <v>6.5609999999999999</v>
      </c>
      <c r="H362" s="8">
        <v>7.319</v>
      </c>
      <c r="I362" s="8">
        <v>5.9710000000000001</v>
      </c>
      <c r="J362" s="8">
        <v>5.4059999999999997</v>
      </c>
      <c r="K362" s="8">
        <v>3.4390000000000001</v>
      </c>
      <c r="L362" s="8">
        <v>6.056</v>
      </c>
      <c r="M362" s="8">
        <v>4.742</v>
      </c>
      <c r="N362" s="8">
        <v>4.26</v>
      </c>
      <c r="O362" s="8">
        <v>4.34</v>
      </c>
    </row>
    <row r="363" spans="1:15" x14ac:dyDescent="0.25">
      <c r="A363" s="5" t="s">
        <v>375</v>
      </c>
      <c r="B363" s="5">
        <v>43</v>
      </c>
      <c r="C363" s="5" t="s">
        <v>3</v>
      </c>
      <c r="D363" s="7">
        <v>197</v>
      </c>
      <c r="E363" s="8">
        <v>30.682000000000002</v>
      </c>
      <c r="F363" s="8">
        <v>3.9870000000000001</v>
      </c>
      <c r="G363" s="8">
        <v>5.4139999999999997</v>
      </c>
      <c r="H363" s="8">
        <v>5.7930000000000001</v>
      </c>
      <c r="I363" s="8">
        <v>6.1269999999999998</v>
      </c>
      <c r="J363" s="8">
        <v>5.6669999999999998</v>
      </c>
      <c r="K363" s="8">
        <v>3.8879999999999999</v>
      </c>
      <c r="L363" s="8">
        <v>5.2930000000000001</v>
      </c>
      <c r="M363" s="8">
        <v>3.431</v>
      </c>
      <c r="N363" s="8">
        <v>3.9089999999999998</v>
      </c>
      <c r="O363" s="8">
        <v>4.3810000000000002</v>
      </c>
    </row>
    <row r="364" spans="1:15" x14ac:dyDescent="0.25">
      <c r="A364" s="5" t="s">
        <v>376</v>
      </c>
      <c r="B364" s="5">
        <v>83</v>
      </c>
      <c r="C364" s="5" t="s">
        <v>2</v>
      </c>
      <c r="D364" s="7">
        <v>228</v>
      </c>
      <c r="E364" s="8">
        <v>31.058000000000003</v>
      </c>
      <c r="F364" s="8">
        <v>4.3630000000000004</v>
      </c>
      <c r="G364" s="8">
        <v>5.5220000000000002</v>
      </c>
      <c r="H364" s="8">
        <v>5.4880000000000004</v>
      </c>
      <c r="I364" s="8">
        <v>5.7930000000000001</v>
      </c>
      <c r="J364" s="8">
        <v>6.7610000000000001</v>
      </c>
      <c r="K364" s="8">
        <v>2.4710000000000001</v>
      </c>
      <c r="L364" s="8">
        <v>5.8230000000000004</v>
      </c>
      <c r="M364" s="8">
        <v>4.05</v>
      </c>
      <c r="N364" s="8">
        <v>4.0730000000000004</v>
      </c>
      <c r="O364" s="8">
        <v>4.391</v>
      </c>
    </row>
    <row r="365" spans="1:15" x14ac:dyDescent="0.25">
      <c r="A365" s="5" t="s">
        <v>377</v>
      </c>
      <c r="B365" s="5">
        <v>57</v>
      </c>
      <c r="C365" s="5" t="s">
        <v>2</v>
      </c>
      <c r="D365" s="7">
        <v>357</v>
      </c>
      <c r="E365" s="8">
        <v>33.466999999999999</v>
      </c>
      <c r="F365" s="8">
        <v>6.7720000000000002</v>
      </c>
      <c r="G365" s="8">
        <v>4.827</v>
      </c>
      <c r="H365" s="8">
        <v>6.3289999999999997</v>
      </c>
      <c r="I365" s="8">
        <v>5.226</v>
      </c>
      <c r="J365" s="8">
        <v>5.1879999999999997</v>
      </c>
      <c r="K365" s="8">
        <v>3.9740000000000002</v>
      </c>
      <c r="L365" s="8">
        <v>6.3890000000000002</v>
      </c>
      <c r="M365" s="8">
        <v>3.9</v>
      </c>
      <c r="N365" s="8">
        <v>4.1879999999999997</v>
      </c>
      <c r="O365" s="8">
        <v>4.46</v>
      </c>
    </row>
    <row r="366" spans="1:15" x14ac:dyDescent="0.25">
      <c r="A366" s="5" t="s">
        <v>378</v>
      </c>
      <c r="B366" s="5">
        <v>34</v>
      </c>
      <c r="C366" s="5" t="s">
        <v>2</v>
      </c>
      <c r="D366" s="7">
        <v>217</v>
      </c>
      <c r="E366" s="8">
        <v>31.051000000000002</v>
      </c>
      <c r="F366" s="8">
        <v>4.3559999999999999</v>
      </c>
      <c r="G366" s="8">
        <v>5.5490000000000004</v>
      </c>
      <c r="H366" s="8">
        <v>5.6719999999999997</v>
      </c>
      <c r="I366" s="8">
        <v>5.0060000000000002</v>
      </c>
      <c r="J366" s="8">
        <v>5.0810000000000004</v>
      </c>
      <c r="K366" s="8">
        <v>3.3740000000000001</v>
      </c>
      <c r="L366" s="8">
        <v>6.367</v>
      </c>
      <c r="M366" s="8">
        <v>4.0960000000000001</v>
      </c>
      <c r="N366" s="8">
        <v>3.9260000000000002</v>
      </c>
      <c r="O366" s="8">
        <v>4.59</v>
      </c>
    </row>
    <row r="367" spans="1:15" x14ac:dyDescent="0.25">
      <c r="A367" s="5" t="s">
        <v>379</v>
      </c>
      <c r="B367" s="5">
        <v>63</v>
      </c>
      <c r="C367" s="5" t="s">
        <v>3</v>
      </c>
      <c r="D367" s="7">
        <v>257</v>
      </c>
      <c r="E367" s="8">
        <v>31.669000000000004</v>
      </c>
      <c r="F367" s="8">
        <v>4.9740000000000002</v>
      </c>
      <c r="G367" s="8">
        <v>5.274</v>
      </c>
      <c r="H367" s="8">
        <v>6.0970000000000004</v>
      </c>
      <c r="I367" s="8">
        <v>4.8129999999999997</v>
      </c>
      <c r="J367" s="8">
        <v>5.9029999999999996</v>
      </c>
      <c r="K367" s="8">
        <v>4.6349999999999998</v>
      </c>
      <c r="L367" s="8">
        <v>5.2910000000000004</v>
      </c>
      <c r="M367" s="8">
        <v>3.7530000000000001</v>
      </c>
      <c r="N367" s="8">
        <v>4.343</v>
      </c>
      <c r="O367" s="8">
        <v>4.5</v>
      </c>
    </row>
    <row r="368" spans="1:15" x14ac:dyDescent="0.25">
      <c r="A368" s="5" t="s">
        <v>380</v>
      </c>
      <c r="B368" s="5">
        <v>78</v>
      </c>
      <c r="C368" s="5" t="s">
        <v>2</v>
      </c>
      <c r="D368" s="7">
        <v>372</v>
      </c>
      <c r="E368" s="8">
        <v>33.773000000000003</v>
      </c>
      <c r="F368" s="8">
        <v>7.0780000000000003</v>
      </c>
      <c r="G368" s="8">
        <v>5.2839999999999998</v>
      </c>
      <c r="H368" s="8">
        <v>7.0549999999999997</v>
      </c>
      <c r="I368" s="8">
        <v>4.2770000000000001</v>
      </c>
      <c r="J368" s="8">
        <v>4.6399999999999997</v>
      </c>
      <c r="K368" s="8">
        <v>4.3150000000000004</v>
      </c>
      <c r="L368" s="8">
        <v>5.5270000000000001</v>
      </c>
      <c r="M368" s="8">
        <v>3.2829999999999999</v>
      </c>
      <c r="N368" s="8">
        <v>4.2080000000000002</v>
      </c>
      <c r="O368" s="8">
        <v>4.202</v>
      </c>
    </row>
    <row r="369" spans="1:15" x14ac:dyDescent="0.25">
      <c r="A369" s="5" t="s">
        <v>381</v>
      </c>
      <c r="B369" s="5">
        <v>60</v>
      </c>
      <c r="C369" s="5" t="s">
        <v>2</v>
      </c>
      <c r="D369" s="7">
        <v>318</v>
      </c>
      <c r="E369" s="8">
        <v>32.774000000000001</v>
      </c>
      <c r="F369" s="8">
        <v>6.0789999999999997</v>
      </c>
      <c r="G369" s="8">
        <v>5.085</v>
      </c>
      <c r="H369" s="8">
        <v>6.6459999999999999</v>
      </c>
      <c r="I369" s="8">
        <v>6.0949999999999998</v>
      </c>
      <c r="J369" s="8">
        <v>5.47</v>
      </c>
      <c r="K369" s="8">
        <v>2.7770000000000001</v>
      </c>
      <c r="L369" s="8">
        <v>5.7080000000000002</v>
      </c>
      <c r="M369" s="8">
        <v>4.0369999999999999</v>
      </c>
      <c r="N369" s="8">
        <v>4.9889999999999999</v>
      </c>
      <c r="O369" s="8">
        <v>4.5220000000000002</v>
      </c>
    </row>
    <row r="370" spans="1:15" x14ac:dyDescent="0.25">
      <c r="A370" s="5" t="s">
        <v>382</v>
      </c>
      <c r="B370" s="5">
        <v>59</v>
      </c>
      <c r="C370" s="5" t="s">
        <v>3</v>
      </c>
      <c r="D370" s="7">
        <v>316</v>
      </c>
      <c r="E370" s="8">
        <v>32.774000000000001</v>
      </c>
      <c r="F370" s="8">
        <v>6.0789999999999997</v>
      </c>
      <c r="G370" s="8">
        <v>5.2590000000000003</v>
      </c>
      <c r="H370" s="8">
        <v>5.28</v>
      </c>
      <c r="I370" s="8">
        <v>6.7190000000000003</v>
      </c>
      <c r="J370" s="8">
        <v>5.532</v>
      </c>
      <c r="K370" s="8">
        <v>3.448</v>
      </c>
      <c r="L370" s="8">
        <v>6.0640000000000001</v>
      </c>
      <c r="M370" s="8">
        <v>4.8330000000000002</v>
      </c>
      <c r="N370" s="8">
        <v>4.4950000000000001</v>
      </c>
      <c r="O370" s="8">
        <v>4.1040000000000001</v>
      </c>
    </row>
    <row r="371" spans="1:15" x14ac:dyDescent="0.25">
      <c r="A371" s="5" t="s">
        <v>383</v>
      </c>
      <c r="B371" s="5">
        <v>42</v>
      </c>
      <c r="C371" s="5" t="s">
        <v>2</v>
      </c>
      <c r="D371" s="7">
        <v>198</v>
      </c>
      <c r="E371" s="8">
        <v>30.772000000000002</v>
      </c>
      <c r="F371" s="8">
        <v>4.077</v>
      </c>
      <c r="G371" s="8">
        <v>5.3550000000000004</v>
      </c>
      <c r="H371" s="8">
        <v>3.28</v>
      </c>
      <c r="I371" s="8">
        <v>5.53</v>
      </c>
      <c r="J371" s="8">
        <v>5.4980000000000002</v>
      </c>
      <c r="K371" s="8">
        <v>5.0570000000000004</v>
      </c>
      <c r="L371" s="8">
        <v>5.5860000000000003</v>
      </c>
      <c r="M371" s="8">
        <v>4.9710000000000001</v>
      </c>
      <c r="N371" s="8">
        <v>3.855</v>
      </c>
      <c r="O371" s="8">
        <v>4.4800000000000004</v>
      </c>
    </row>
    <row r="372" spans="1:15" x14ac:dyDescent="0.25">
      <c r="A372" s="5" t="s">
        <v>384</v>
      </c>
      <c r="B372" s="5">
        <v>56</v>
      </c>
      <c r="C372" s="5" t="s">
        <v>2</v>
      </c>
      <c r="D372" s="7">
        <v>263</v>
      </c>
      <c r="E372" s="8">
        <v>32.005000000000003</v>
      </c>
      <c r="F372" s="8">
        <v>5.31</v>
      </c>
      <c r="G372" s="8">
        <v>6.6619999999999999</v>
      </c>
      <c r="H372" s="8">
        <v>5.21</v>
      </c>
      <c r="I372" s="8">
        <v>5.3</v>
      </c>
      <c r="J372" s="8">
        <v>6.16</v>
      </c>
      <c r="K372" s="8">
        <v>3.871</v>
      </c>
      <c r="L372" s="8">
        <v>6.0129999999999999</v>
      </c>
      <c r="M372" s="8">
        <v>4.4550000000000001</v>
      </c>
      <c r="N372" s="8">
        <v>4.3810000000000002</v>
      </c>
      <c r="O372" s="8">
        <v>4.4210000000000003</v>
      </c>
    </row>
    <row r="373" spans="1:15" x14ac:dyDescent="0.25">
      <c r="A373" s="5" t="s">
        <v>385</v>
      </c>
      <c r="B373" s="5">
        <v>52</v>
      </c>
      <c r="C373" s="5" t="s">
        <v>2</v>
      </c>
      <c r="D373" s="7">
        <v>293</v>
      </c>
      <c r="E373" s="8">
        <v>32.381</v>
      </c>
      <c r="F373" s="8">
        <v>5.6859999999999999</v>
      </c>
      <c r="G373" s="8">
        <v>4.9560000000000004</v>
      </c>
      <c r="H373" s="8">
        <v>5.8419999999999996</v>
      </c>
      <c r="I373" s="8">
        <v>5.8140000000000001</v>
      </c>
      <c r="J373" s="8">
        <v>4.6660000000000004</v>
      </c>
      <c r="K373" s="8">
        <v>4.0780000000000003</v>
      </c>
      <c r="L373" s="8">
        <v>5.516</v>
      </c>
      <c r="M373" s="8">
        <v>3.4380000000000002</v>
      </c>
      <c r="N373" s="8">
        <v>4.1360000000000001</v>
      </c>
      <c r="O373" s="8">
        <v>4.6520000000000001</v>
      </c>
    </row>
    <row r="374" spans="1:15" x14ac:dyDescent="0.25">
      <c r="A374" s="5" t="s">
        <v>386</v>
      </c>
      <c r="B374" s="5">
        <v>20</v>
      </c>
      <c r="C374" s="5" t="s">
        <v>2</v>
      </c>
      <c r="D374" s="7">
        <v>375</v>
      </c>
      <c r="E374" s="8">
        <v>33.679000000000002</v>
      </c>
      <c r="F374" s="8">
        <v>6.984</v>
      </c>
      <c r="G374" s="8">
        <v>6.3419999999999996</v>
      </c>
      <c r="H374" s="8">
        <v>5.4080000000000004</v>
      </c>
      <c r="I374" s="8">
        <v>6.133</v>
      </c>
      <c r="J374" s="8">
        <v>5.5819999999999999</v>
      </c>
      <c r="K374" s="8">
        <v>4.6859999999999999</v>
      </c>
      <c r="L374" s="8">
        <v>6.4850000000000003</v>
      </c>
      <c r="M374" s="8">
        <v>3.53</v>
      </c>
      <c r="N374" s="8">
        <v>4.2510000000000003</v>
      </c>
      <c r="O374" s="8">
        <v>4.3689999999999998</v>
      </c>
    </row>
    <row r="375" spans="1:15" x14ac:dyDescent="0.25">
      <c r="A375" s="5" t="s">
        <v>387</v>
      </c>
      <c r="B375" s="5">
        <v>61</v>
      </c>
      <c r="C375" s="5" t="s">
        <v>3</v>
      </c>
      <c r="D375" s="7">
        <v>255</v>
      </c>
      <c r="E375" s="8">
        <v>31.516000000000002</v>
      </c>
      <c r="F375" s="8">
        <v>4.8209999999999997</v>
      </c>
      <c r="G375" s="8">
        <v>5.7009999999999996</v>
      </c>
      <c r="H375" s="8">
        <v>6.2619999999999996</v>
      </c>
      <c r="I375" s="8">
        <v>5.7549999999999999</v>
      </c>
      <c r="J375" s="8">
        <v>6.282</v>
      </c>
      <c r="K375" s="8">
        <v>4.8230000000000004</v>
      </c>
      <c r="L375" s="8">
        <v>5.851</v>
      </c>
      <c r="M375" s="8">
        <v>3.7069999999999999</v>
      </c>
      <c r="N375" s="8">
        <v>4.4400000000000004</v>
      </c>
      <c r="O375" s="8">
        <v>4.335</v>
      </c>
    </row>
    <row r="376" spans="1:15" x14ac:dyDescent="0.25">
      <c r="A376" s="5" t="s">
        <v>388</v>
      </c>
      <c r="B376" s="5">
        <v>68</v>
      </c>
      <c r="C376" s="5" t="s">
        <v>2</v>
      </c>
      <c r="D376" s="7">
        <v>259</v>
      </c>
      <c r="E376" s="8">
        <v>31.665000000000003</v>
      </c>
      <c r="F376" s="8">
        <v>4.97</v>
      </c>
      <c r="G376" s="8">
        <v>6.77</v>
      </c>
      <c r="H376" s="8">
        <v>6.968</v>
      </c>
      <c r="I376" s="8">
        <v>6.1360000000000001</v>
      </c>
      <c r="J376" s="8">
        <v>4.9930000000000003</v>
      </c>
      <c r="K376" s="8">
        <v>3.8639999999999999</v>
      </c>
      <c r="L376" s="8">
        <v>6.3159999999999998</v>
      </c>
      <c r="M376" s="8">
        <v>3.383</v>
      </c>
      <c r="N376" s="8">
        <v>4.0359999999999996</v>
      </c>
      <c r="O376" s="8">
        <v>4.29</v>
      </c>
    </row>
    <row r="377" spans="1:15" x14ac:dyDescent="0.25">
      <c r="A377" s="5" t="s">
        <v>389</v>
      </c>
      <c r="B377" s="5">
        <v>29</v>
      </c>
      <c r="C377" s="5" t="s">
        <v>2</v>
      </c>
      <c r="D377" s="7">
        <v>251</v>
      </c>
      <c r="E377" s="8">
        <v>31.336000000000002</v>
      </c>
      <c r="F377" s="8">
        <v>4.641</v>
      </c>
      <c r="G377" s="8">
        <v>5.17</v>
      </c>
      <c r="H377" s="8">
        <v>5.0609999999999999</v>
      </c>
      <c r="I377" s="8">
        <v>8.4849999999999994</v>
      </c>
      <c r="J377" s="8">
        <v>6.1340000000000003</v>
      </c>
      <c r="K377" s="8">
        <v>3.6139999999999999</v>
      </c>
      <c r="L377" s="8">
        <v>5.19</v>
      </c>
      <c r="M377" s="8">
        <v>4.3869999999999996</v>
      </c>
      <c r="N377" s="8">
        <v>4.1879999999999997</v>
      </c>
      <c r="O377" s="8">
        <v>4.5650000000000004</v>
      </c>
    </row>
    <row r="378" spans="1:15" x14ac:dyDescent="0.25">
      <c r="A378" s="5" t="s">
        <v>390</v>
      </c>
      <c r="B378" s="5">
        <v>36</v>
      </c>
      <c r="C378" s="5" t="s">
        <v>3</v>
      </c>
      <c r="D378" s="7">
        <v>352</v>
      </c>
      <c r="E378" s="8">
        <v>33.501000000000005</v>
      </c>
      <c r="F378" s="8">
        <v>6.806</v>
      </c>
      <c r="G378" s="8">
        <v>4.7880000000000003</v>
      </c>
      <c r="H378" s="8">
        <v>7.2830000000000004</v>
      </c>
      <c r="I378" s="8">
        <v>6.835</v>
      </c>
      <c r="J378" s="8">
        <v>6.0190000000000001</v>
      </c>
      <c r="K378" s="8">
        <v>4.0949999999999998</v>
      </c>
      <c r="L378" s="8">
        <v>5.59</v>
      </c>
      <c r="M378" s="8">
        <v>4.2210000000000001</v>
      </c>
      <c r="N378" s="8">
        <v>4.2220000000000004</v>
      </c>
      <c r="O378" s="8">
        <v>4.7279999999999998</v>
      </c>
    </row>
    <row r="379" spans="1:15" x14ac:dyDescent="0.25">
      <c r="A379" s="5" t="s">
        <v>391</v>
      </c>
      <c r="B379" s="5">
        <v>61</v>
      </c>
      <c r="C379" s="5" t="s">
        <v>2</v>
      </c>
      <c r="D379" s="7">
        <v>285</v>
      </c>
      <c r="E379" s="8">
        <v>32.109000000000002</v>
      </c>
      <c r="F379" s="8">
        <v>5.4139999999999997</v>
      </c>
      <c r="G379" s="8">
        <v>6.6150000000000002</v>
      </c>
      <c r="H379" s="8">
        <v>7.3959999999999999</v>
      </c>
      <c r="I379" s="8">
        <v>6.2329999999999997</v>
      </c>
      <c r="J379" s="8">
        <v>4.9770000000000003</v>
      </c>
      <c r="K379" s="8">
        <v>3.8109999999999999</v>
      </c>
      <c r="L379" s="8">
        <v>5.7030000000000003</v>
      </c>
      <c r="M379" s="8">
        <v>4.0119999999999996</v>
      </c>
      <c r="N379" s="8">
        <v>4.3810000000000002</v>
      </c>
      <c r="O379" s="8">
        <v>4.3739999999999997</v>
      </c>
    </row>
    <row r="380" spans="1:15" x14ac:dyDescent="0.25">
      <c r="A380" s="5" t="s">
        <v>392</v>
      </c>
      <c r="B380" s="5">
        <v>76</v>
      </c>
      <c r="C380" s="5" t="s">
        <v>3</v>
      </c>
      <c r="D380" s="7">
        <v>156</v>
      </c>
      <c r="E380" s="8">
        <v>30.045000000000002</v>
      </c>
      <c r="F380" s="8">
        <v>3.35</v>
      </c>
      <c r="G380" s="8">
        <v>2.931</v>
      </c>
      <c r="H380" s="8">
        <v>7.7949999999999999</v>
      </c>
      <c r="I380" s="8">
        <v>5.91</v>
      </c>
      <c r="J380" s="8">
        <v>5.2229999999999999</v>
      </c>
      <c r="K380" s="8">
        <v>2.972</v>
      </c>
      <c r="L380" s="8">
        <v>6.2080000000000002</v>
      </c>
      <c r="M380" s="8">
        <v>4.3090000000000002</v>
      </c>
      <c r="N380" s="8">
        <v>4.1150000000000002</v>
      </c>
      <c r="O380" s="8">
        <v>4.4560000000000004</v>
      </c>
    </row>
    <row r="381" spans="1:15" x14ac:dyDescent="0.25">
      <c r="A381" s="5" t="s">
        <v>393</v>
      </c>
      <c r="B381" s="5">
        <v>66</v>
      </c>
      <c r="C381" s="5" t="s">
        <v>2</v>
      </c>
      <c r="D381" s="7">
        <v>304</v>
      </c>
      <c r="E381" s="8">
        <v>32.22</v>
      </c>
      <c r="F381" s="8">
        <v>5.5250000000000004</v>
      </c>
      <c r="G381" s="8">
        <v>4.9320000000000004</v>
      </c>
      <c r="H381" s="8">
        <v>4.5780000000000003</v>
      </c>
      <c r="I381" s="8">
        <v>6.234</v>
      </c>
      <c r="J381" s="8">
        <v>6.1539999999999999</v>
      </c>
      <c r="K381" s="8">
        <v>4.2590000000000003</v>
      </c>
      <c r="L381" s="8">
        <v>6.2069999999999999</v>
      </c>
      <c r="M381" s="8">
        <v>4.4980000000000002</v>
      </c>
      <c r="N381" s="8">
        <v>4.2539999999999996</v>
      </c>
      <c r="O381" s="8">
        <v>4.1559999999999997</v>
      </c>
    </row>
    <row r="382" spans="1:15" x14ac:dyDescent="0.25">
      <c r="A382" s="5" t="s">
        <v>394</v>
      </c>
      <c r="B382" s="5">
        <v>78</v>
      </c>
      <c r="C382" s="5" t="s">
        <v>3</v>
      </c>
      <c r="D382" s="7">
        <v>159</v>
      </c>
      <c r="E382" s="8">
        <v>30.250000000000004</v>
      </c>
      <c r="F382" s="8">
        <v>4.2640000000000002</v>
      </c>
      <c r="G382" s="8">
        <v>7.968</v>
      </c>
      <c r="H382" s="8">
        <v>4.8890000000000002</v>
      </c>
      <c r="I382" s="8">
        <v>5.3010000000000002</v>
      </c>
      <c r="J382" s="8">
        <v>5.75</v>
      </c>
      <c r="K382" s="8">
        <v>3.7010000000000001</v>
      </c>
      <c r="L382" s="8">
        <v>6.8360000000000003</v>
      </c>
      <c r="M382" s="8">
        <v>3.7610000000000001</v>
      </c>
      <c r="N382" s="8">
        <v>4.0709999999999997</v>
      </c>
      <c r="O382" s="8">
        <v>4.3609999999999998</v>
      </c>
    </row>
    <row r="383" spans="1:15" x14ac:dyDescent="0.25">
      <c r="A383" s="5" t="s">
        <v>395</v>
      </c>
      <c r="B383" s="5">
        <v>34</v>
      </c>
      <c r="C383" s="5" t="s">
        <v>3</v>
      </c>
      <c r="D383" s="7">
        <v>317</v>
      </c>
      <c r="E383" s="8">
        <v>32.910000000000004</v>
      </c>
      <c r="F383" s="8">
        <v>6.2149999999999999</v>
      </c>
      <c r="G383" s="8">
        <v>5.5049999999999999</v>
      </c>
      <c r="H383" s="8">
        <v>3.694</v>
      </c>
      <c r="I383" s="8">
        <v>7.6559999999999997</v>
      </c>
      <c r="J383" s="8">
        <v>5.8029999999999999</v>
      </c>
      <c r="K383" s="8">
        <v>4.1760000000000002</v>
      </c>
      <c r="L383" s="8">
        <v>5.6470000000000002</v>
      </c>
      <c r="M383" s="8">
        <v>3.7320000000000002</v>
      </c>
      <c r="N383" s="8">
        <v>4.3360000000000003</v>
      </c>
      <c r="O383" s="8">
        <v>4.2859999999999996</v>
      </c>
    </row>
    <row r="384" spans="1:15" x14ac:dyDescent="0.25">
      <c r="A384" s="5" t="s">
        <v>396</v>
      </c>
      <c r="B384" s="5">
        <v>74</v>
      </c>
      <c r="C384" s="5" t="s">
        <v>3</v>
      </c>
      <c r="D384" s="7">
        <v>240</v>
      </c>
      <c r="E384" s="8">
        <v>31.578000000000003</v>
      </c>
      <c r="F384" s="8">
        <v>4.883</v>
      </c>
      <c r="G384" s="8">
        <v>3.57</v>
      </c>
      <c r="H384" s="8">
        <v>5.3449999999999998</v>
      </c>
      <c r="I384" s="8">
        <v>5.1950000000000003</v>
      </c>
      <c r="J384" s="8">
        <v>6.4269999999999996</v>
      </c>
      <c r="K384" s="8">
        <v>4.1950000000000003</v>
      </c>
      <c r="L384" s="8">
        <v>6.2549999999999999</v>
      </c>
      <c r="M384" s="8">
        <v>3.9119999999999999</v>
      </c>
      <c r="N384" s="8">
        <v>4.1749999999999998</v>
      </c>
      <c r="O384" s="8">
        <v>4.5540000000000003</v>
      </c>
    </row>
    <row r="385" spans="1:15" x14ac:dyDescent="0.25">
      <c r="A385" s="5" t="s">
        <v>397</v>
      </c>
      <c r="B385" s="5">
        <v>72</v>
      </c>
      <c r="C385" s="5" t="s">
        <v>3</v>
      </c>
      <c r="D385" s="7">
        <v>205</v>
      </c>
      <c r="E385" s="8">
        <v>31.240000000000002</v>
      </c>
      <c r="F385" s="8">
        <v>4.5449999999999999</v>
      </c>
      <c r="G385" s="8">
        <v>5.4779999999999998</v>
      </c>
      <c r="H385" s="8">
        <v>4.7409999999999997</v>
      </c>
      <c r="I385" s="8">
        <v>6.6840000000000002</v>
      </c>
      <c r="J385" s="8">
        <v>4.4980000000000002</v>
      </c>
      <c r="K385" s="8">
        <v>4.3869999999999996</v>
      </c>
      <c r="L385" s="8">
        <v>6.0960000000000001</v>
      </c>
      <c r="M385" s="8">
        <v>4.0759999999999996</v>
      </c>
      <c r="N385" s="8">
        <v>4.4829999999999997</v>
      </c>
      <c r="O385" s="8">
        <v>4.2329999999999997</v>
      </c>
    </row>
    <row r="386" spans="1:15" x14ac:dyDescent="0.25">
      <c r="A386" s="5" t="s">
        <v>398</v>
      </c>
      <c r="B386" s="5">
        <v>64</v>
      </c>
      <c r="C386" s="5" t="s">
        <v>2</v>
      </c>
      <c r="D386" s="7">
        <v>285</v>
      </c>
      <c r="E386" s="8">
        <v>32.331000000000003</v>
      </c>
      <c r="F386" s="8">
        <v>5.6360000000000001</v>
      </c>
      <c r="G386" s="8">
        <v>5.7469999999999999</v>
      </c>
      <c r="H386" s="8">
        <v>5.4539999999999997</v>
      </c>
      <c r="I386" s="8">
        <v>6.444</v>
      </c>
      <c r="J386" s="8">
        <v>7.16</v>
      </c>
      <c r="K386" s="8">
        <v>4.1159999999999997</v>
      </c>
      <c r="L386" s="8">
        <v>6.0540000000000003</v>
      </c>
      <c r="M386" s="8">
        <v>3.919</v>
      </c>
      <c r="N386" s="8">
        <v>4.3959999999999999</v>
      </c>
      <c r="O386" s="8">
        <v>4.4480000000000004</v>
      </c>
    </row>
    <row r="387" spans="1:15" x14ac:dyDescent="0.25">
      <c r="A387" s="5" t="s">
        <v>399</v>
      </c>
      <c r="B387" s="5">
        <v>29</v>
      </c>
      <c r="C387" s="5" t="s">
        <v>3</v>
      </c>
      <c r="D387" s="7">
        <v>313</v>
      </c>
      <c r="E387" s="8">
        <v>32.832999999999998</v>
      </c>
      <c r="F387" s="8">
        <v>6.1379999999999999</v>
      </c>
      <c r="G387" s="8">
        <v>6.1159999999999997</v>
      </c>
      <c r="H387" s="8">
        <v>5.1719999999999997</v>
      </c>
      <c r="I387" s="8">
        <v>6.6440000000000001</v>
      </c>
      <c r="J387" s="8">
        <v>5.5380000000000003</v>
      </c>
      <c r="K387" s="8">
        <v>3.6909999999999998</v>
      </c>
      <c r="L387" s="8">
        <v>6.306</v>
      </c>
      <c r="M387" s="8">
        <v>4.4279999999999999</v>
      </c>
      <c r="N387" s="8">
        <v>4.5609999999999999</v>
      </c>
      <c r="O387" s="8">
        <v>4.5709999999999997</v>
      </c>
    </row>
    <row r="388" spans="1:15" x14ac:dyDescent="0.25">
      <c r="A388" s="5" t="s">
        <v>400</v>
      </c>
      <c r="B388" s="5">
        <v>79</v>
      </c>
      <c r="C388" s="5" t="s">
        <v>2</v>
      </c>
      <c r="D388" s="7">
        <v>261</v>
      </c>
      <c r="E388" s="8">
        <v>31.828000000000003</v>
      </c>
      <c r="F388" s="8">
        <v>5.133</v>
      </c>
      <c r="G388" s="8">
        <v>6.6840000000000002</v>
      </c>
      <c r="H388" s="8">
        <v>7.1269999999999998</v>
      </c>
      <c r="I388" s="8">
        <v>5.3319999999999999</v>
      </c>
      <c r="J388" s="8">
        <v>5.1440000000000001</v>
      </c>
      <c r="K388" s="8">
        <v>3.0950000000000002</v>
      </c>
      <c r="L388" s="8">
        <v>5.5519999999999996</v>
      </c>
      <c r="M388" s="8">
        <v>3.88</v>
      </c>
      <c r="N388" s="8">
        <v>3.8580000000000001</v>
      </c>
      <c r="O388" s="8">
        <v>4.1520000000000001</v>
      </c>
    </row>
    <row r="389" spans="1:15" x14ac:dyDescent="0.25">
      <c r="A389" s="5" t="s">
        <v>401</v>
      </c>
      <c r="B389" s="5">
        <v>25</v>
      </c>
      <c r="C389" s="5" t="s">
        <v>3</v>
      </c>
      <c r="D389" s="7">
        <v>348</v>
      </c>
      <c r="E389" s="8">
        <v>33.256</v>
      </c>
      <c r="F389" s="8">
        <v>6.5609999999999999</v>
      </c>
      <c r="G389" s="8">
        <v>5.2539999999999996</v>
      </c>
      <c r="H389" s="8">
        <v>5.7130000000000001</v>
      </c>
      <c r="I389" s="8">
        <v>4.93</v>
      </c>
      <c r="J389" s="8">
        <v>5.766</v>
      </c>
      <c r="K389" s="8">
        <v>3.5529999999999999</v>
      </c>
      <c r="L389" s="8">
        <v>5.5970000000000004</v>
      </c>
      <c r="M389" s="8">
        <v>4.548</v>
      </c>
      <c r="N389" s="8">
        <v>4.0830000000000002</v>
      </c>
      <c r="O389" s="8">
        <v>4.6630000000000003</v>
      </c>
    </row>
    <row r="390" spans="1:15" x14ac:dyDescent="0.25">
      <c r="A390" s="5" t="s">
        <v>402</v>
      </c>
      <c r="B390" s="5">
        <v>38</v>
      </c>
      <c r="C390" s="5" t="s">
        <v>3</v>
      </c>
      <c r="D390" s="7">
        <v>303</v>
      </c>
      <c r="E390" s="8">
        <v>32.251000000000005</v>
      </c>
      <c r="F390" s="8">
        <v>5.556</v>
      </c>
      <c r="G390" s="8">
        <v>5.9390000000000001</v>
      </c>
      <c r="H390" s="8">
        <v>5.1340000000000003</v>
      </c>
      <c r="I390" s="8">
        <v>5.7329999999999997</v>
      </c>
      <c r="J390" s="8">
        <v>6.0149999999999997</v>
      </c>
      <c r="K390" s="8">
        <v>3.77</v>
      </c>
      <c r="L390" s="8">
        <v>5.9059999999999997</v>
      </c>
      <c r="M390" s="8">
        <v>4.8369999999999997</v>
      </c>
      <c r="N390" s="8">
        <v>4.2990000000000004</v>
      </c>
      <c r="O390" s="8">
        <v>4.0529999999999999</v>
      </c>
    </row>
    <row r="391" spans="1:15" x14ac:dyDescent="0.25">
      <c r="A391" s="5" t="s">
        <v>403</v>
      </c>
      <c r="B391" s="5">
        <v>42</v>
      </c>
      <c r="C391" s="5" t="s">
        <v>3</v>
      </c>
      <c r="D391" s="7">
        <v>296</v>
      </c>
      <c r="E391" s="8">
        <v>32.28</v>
      </c>
      <c r="F391" s="8">
        <v>5.585</v>
      </c>
      <c r="G391" s="8">
        <v>5.9729999999999999</v>
      </c>
      <c r="H391" s="8">
        <v>5.7569999999999997</v>
      </c>
      <c r="I391" s="8">
        <v>6.6230000000000002</v>
      </c>
      <c r="J391" s="8">
        <v>5.6660000000000004</v>
      </c>
      <c r="K391" s="8">
        <v>4.407</v>
      </c>
      <c r="L391" s="8">
        <v>6.3010000000000002</v>
      </c>
      <c r="M391" s="8">
        <v>4.1760000000000002</v>
      </c>
      <c r="N391" s="8">
        <v>3.6920000000000002</v>
      </c>
      <c r="O391" s="8">
        <v>4.444</v>
      </c>
    </row>
    <row r="392" spans="1:15" x14ac:dyDescent="0.25">
      <c r="A392" s="5" t="s">
        <v>404</v>
      </c>
      <c r="B392" s="5">
        <v>29</v>
      </c>
      <c r="C392" s="5" t="s">
        <v>2</v>
      </c>
      <c r="D392" s="7">
        <v>386</v>
      </c>
      <c r="E392" s="8">
        <v>34.031000000000006</v>
      </c>
      <c r="F392" s="8">
        <v>7.3360000000000003</v>
      </c>
      <c r="G392" s="8">
        <v>5.4359999999999999</v>
      </c>
      <c r="H392" s="8">
        <v>6.3879999999999999</v>
      </c>
      <c r="I392" s="8">
        <v>5.8570000000000002</v>
      </c>
      <c r="J392" s="8">
        <v>5.6059999999999999</v>
      </c>
      <c r="K392" s="8">
        <v>4.4569999999999999</v>
      </c>
      <c r="L392" s="8">
        <v>5.6150000000000002</v>
      </c>
      <c r="M392" s="8">
        <v>4.0990000000000002</v>
      </c>
      <c r="N392" s="8">
        <v>4.3019999999999996</v>
      </c>
      <c r="O392" s="8">
        <v>4.133</v>
      </c>
    </row>
    <row r="393" spans="1:15" x14ac:dyDescent="0.25">
      <c r="A393" s="5" t="s">
        <v>405</v>
      </c>
      <c r="B393" s="5">
        <v>32</v>
      </c>
      <c r="C393" s="5" t="s">
        <v>3</v>
      </c>
      <c r="D393" s="7">
        <v>314</v>
      </c>
      <c r="E393" s="8">
        <v>32.870000000000005</v>
      </c>
      <c r="F393" s="8">
        <v>6.1749999999999998</v>
      </c>
      <c r="G393" s="8">
        <v>5.5049999999999999</v>
      </c>
      <c r="H393" s="8">
        <v>4.8540000000000001</v>
      </c>
      <c r="I393" s="8">
        <v>6.8529999999999998</v>
      </c>
      <c r="J393" s="8">
        <v>5.9169999999999998</v>
      </c>
      <c r="K393" s="8">
        <v>3.5760000000000001</v>
      </c>
      <c r="L393" s="8">
        <v>5.8550000000000004</v>
      </c>
      <c r="M393" s="8">
        <v>3.8140000000000001</v>
      </c>
      <c r="N393" s="8">
        <v>4.1740000000000004</v>
      </c>
      <c r="O393" s="8">
        <v>4.3630000000000004</v>
      </c>
    </row>
    <row r="394" spans="1:15" x14ac:dyDescent="0.25">
      <c r="A394" s="5" t="s">
        <v>406</v>
      </c>
      <c r="B394" s="5">
        <v>76</v>
      </c>
      <c r="C394" s="5" t="s">
        <v>2</v>
      </c>
      <c r="D394" s="7">
        <v>194</v>
      </c>
      <c r="E394" s="8">
        <v>30.649000000000004</v>
      </c>
      <c r="F394" s="8">
        <v>3.9540000000000002</v>
      </c>
      <c r="G394" s="8">
        <v>4.6139999999999999</v>
      </c>
      <c r="H394" s="8">
        <v>6.359</v>
      </c>
      <c r="I394" s="8">
        <v>5.8620000000000001</v>
      </c>
      <c r="J394" s="8">
        <v>6.5010000000000003</v>
      </c>
      <c r="K394" s="8">
        <v>3.0630000000000002</v>
      </c>
      <c r="L394" s="8">
        <v>5.9770000000000003</v>
      </c>
      <c r="M394" s="8">
        <v>3.7040000000000002</v>
      </c>
      <c r="N394" s="8">
        <v>4.0640000000000001</v>
      </c>
      <c r="O394" s="8">
        <v>4.1319999999999997</v>
      </c>
    </row>
    <row r="395" spans="1:15" x14ac:dyDescent="0.25">
      <c r="A395" s="5" t="s">
        <v>407</v>
      </c>
      <c r="B395" s="5">
        <v>43</v>
      </c>
      <c r="C395" s="5" t="s">
        <v>2</v>
      </c>
      <c r="D395" s="7">
        <v>291</v>
      </c>
      <c r="E395" s="8">
        <v>32.549000000000007</v>
      </c>
      <c r="F395" s="8">
        <v>5.8540000000000001</v>
      </c>
      <c r="G395" s="8">
        <v>4.9720000000000004</v>
      </c>
      <c r="H395" s="8">
        <v>7.0039999999999996</v>
      </c>
      <c r="I395" s="8">
        <v>6.133</v>
      </c>
      <c r="J395" s="8">
        <v>5.6980000000000004</v>
      </c>
      <c r="K395" s="8">
        <v>3.5289999999999999</v>
      </c>
      <c r="L395" s="8">
        <v>6.2030000000000003</v>
      </c>
      <c r="M395" s="8">
        <v>4.4450000000000003</v>
      </c>
      <c r="N395" s="8">
        <v>3.9049999999999998</v>
      </c>
      <c r="O395" s="8">
        <v>4.4550000000000001</v>
      </c>
    </row>
    <row r="396" spans="1:15" x14ac:dyDescent="0.25">
      <c r="A396" s="5" t="s">
        <v>408</v>
      </c>
      <c r="B396" s="5">
        <v>43</v>
      </c>
      <c r="C396" s="5" t="s">
        <v>2</v>
      </c>
      <c r="D396" s="7">
        <v>293</v>
      </c>
      <c r="E396" s="8">
        <v>32.103000000000002</v>
      </c>
      <c r="F396" s="8">
        <v>5.4080000000000004</v>
      </c>
      <c r="G396" s="8">
        <v>4.4930000000000003</v>
      </c>
      <c r="H396" s="8">
        <v>5.9809999999999999</v>
      </c>
      <c r="I396" s="8">
        <v>7.0469999999999997</v>
      </c>
      <c r="J396" s="8">
        <v>6.806</v>
      </c>
      <c r="K396" s="8">
        <v>4.0860000000000003</v>
      </c>
      <c r="L396" s="8">
        <v>5.6790000000000003</v>
      </c>
      <c r="M396" s="8">
        <v>3.782</v>
      </c>
      <c r="N396" s="8">
        <v>3.7890000000000001</v>
      </c>
      <c r="O396" s="8">
        <v>4.41</v>
      </c>
    </row>
    <row r="397" spans="1:15" x14ac:dyDescent="0.25">
      <c r="A397" s="5" t="s">
        <v>409</v>
      </c>
      <c r="B397" s="5">
        <v>64</v>
      </c>
      <c r="C397" s="5" t="s">
        <v>2</v>
      </c>
      <c r="D397" s="7">
        <v>331</v>
      </c>
      <c r="E397" s="8">
        <v>32.832999999999998</v>
      </c>
      <c r="F397" s="8">
        <v>6.1379999999999999</v>
      </c>
      <c r="G397" s="8">
        <v>5.7290000000000001</v>
      </c>
      <c r="H397" s="8">
        <v>7.1630000000000003</v>
      </c>
      <c r="I397" s="8">
        <v>6.3970000000000002</v>
      </c>
      <c r="J397" s="8">
        <v>6.1379999999999999</v>
      </c>
      <c r="K397" s="8">
        <v>4.2350000000000003</v>
      </c>
      <c r="L397" s="8">
        <v>6.8029999999999999</v>
      </c>
      <c r="M397" s="8">
        <v>4.234</v>
      </c>
      <c r="N397" s="8">
        <v>4.4119999999999999</v>
      </c>
      <c r="O397" s="8">
        <v>4.3920000000000003</v>
      </c>
    </row>
    <row r="398" spans="1:15" x14ac:dyDescent="0.25">
      <c r="A398" s="5" t="s">
        <v>410</v>
      </c>
      <c r="B398" s="5">
        <v>49</v>
      </c>
      <c r="C398" s="5" t="s">
        <v>2</v>
      </c>
      <c r="D398" s="7">
        <v>226</v>
      </c>
      <c r="E398" s="8">
        <v>31.332000000000004</v>
      </c>
      <c r="F398" s="8">
        <v>4.6369999999999996</v>
      </c>
      <c r="G398" s="8">
        <v>5.3979999999999997</v>
      </c>
      <c r="H398" s="8">
        <v>5.2080000000000002</v>
      </c>
      <c r="I398" s="8">
        <v>5.3029999999999999</v>
      </c>
      <c r="J398" s="8">
        <v>5.2009999999999996</v>
      </c>
      <c r="K398" s="8">
        <v>4.0519999999999996</v>
      </c>
      <c r="L398" s="8">
        <v>6.68</v>
      </c>
      <c r="M398" s="8">
        <v>4.149</v>
      </c>
      <c r="N398" s="8">
        <v>4.4340000000000002</v>
      </c>
      <c r="O398" s="8">
        <v>4.1150000000000002</v>
      </c>
    </row>
    <row r="399" spans="1:15" x14ac:dyDescent="0.25">
      <c r="A399" s="5" t="s">
        <v>411</v>
      </c>
      <c r="B399" s="5">
        <v>27</v>
      </c>
      <c r="C399" s="5" t="s">
        <v>2</v>
      </c>
      <c r="D399" s="7">
        <v>213</v>
      </c>
      <c r="E399" s="8">
        <v>31.309000000000001</v>
      </c>
      <c r="F399" s="8">
        <v>4.6139999999999999</v>
      </c>
      <c r="G399" s="8">
        <v>5.2880000000000003</v>
      </c>
      <c r="H399" s="8">
        <v>5.6239999999999997</v>
      </c>
      <c r="I399" s="8">
        <v>5.8639999999999999</v>
      </c>
      <c r="J399" s="8">
        <v>5.3959999999999999</v>
      </c>
      <c r="K399" s="8">
        <v>3.7519999999999998</v>
      </c>
      <c r="L399" s="8">
        <v>5.38</v>
      </c>
      <c r="M399" s="8">
        <v>3.754</v>
      </c>
      <c r="N399" s="8">
        <v>4.1040000000000001</v>
      </c>
      <c r="O399" s="8">
        <v>4.0979999999999999</v>
      </c>
    </row>
    <row r="400" spans="1:15" x14ac:dyDescent="0.25">
      <c r="A400" s="5" t="s">
        <v>412</v>
      </c>
      <c r="B400" s="5">
        <v>33</v>
      </c>
      <c r="C400" s="5" t="s">
        <v>2</v>
      </c>
      <c r="D400" s="7">
        <v>222</v>
      </c>
      <c r="E400" s="8">
        <v>30.972000000000001</v>
      </c>
      <c r="F400" s="8">
        <v>4.2770000000000001</v>
      </c>
      <c r="G400" s="8">
        <v>6.8</v>
      </c>
      <c r="H400" s="8">
        <v>4.08</v>
      </c>
      <c r="I400" s="8">
        <v>5.4279999999999999</v>
      </c>
      <c r="J400" s="8">
        <v>5.6</v>
      </c>
      <c r="K400" s="8">
        <v>4.1890000000000001</v>
      </c>
      <c r="L400" s="8">
        <v>6.2610000000000001</v>
      </c>
      <c r="M400" s="8">
        <v>4.9379999999999997</v>
      </c>
      <c r="N400" s="8">
        <v>4.2300000000000004</v>
      </c>
      <c r="O400" s="8">
        <v>4.16</v>
      </c>
    </row>
    <row r="401" spans="1:15" x14ac:dyDescent="0.25">
      <c r="A401" s="5" t="s">
        <v>413</v>
      </c>
      <c r="B401" s="5">
        <v>34</v>
      </c>
      <c r="C401" s="5" t="s">
        <v>2</v>
      </c>
      <c r="D401" s="7">
        <v>270</v>
      </c>
      <c r="E401" s="8">
        <v>32.009</v>
      </c>
      <c r="F401" s="8">
        <v>5.3140000000000001</v>
      </c>
      <c r="G401" s="8">
        <v>5.57</v>
      </c>
      <c r="H401" s="8">
        <v>5.4119999999999999</v>
      </c>
      <c r="I401" s="8">
        <v>6.008</v>
      </c>
      <c r="J401" s="8">
        <v>6.0380000000000003</v>
      </c>
      <c r="K401" s="8">
        <v>3.7869999999999999</v>
      </c>
      <c r="L401" s="8">
        <v>5.8529999999999998</v>
      </c>
      <c r="M401" s="8">
        <v>3.8530000000000002</v>
      </c>
      <c r="N401" s="8">
        <v>4.4080000000000004</v>
      </c>
      <c r="O401" s="8">
        <v>4.5410000000000004</v>
      </c>
    </row>
    <row r="402" spans="1:15" x14ac:dyDescent="0.25">
      <c r="A402" s="5" t="s">
        <v>414</v>
      </c>
      <c r="B402" s="5">
        <v>40</v>
      </c>
      <c r="C402" s="5" t="s">
        <v>2</v>
      </c>
      <c r="D402" s="7">
        <v>191</v>
      </c>
      <c r="E402" s="8">
        <v>30.474000000000004</v>
      </c>
      <c r="F402" s="8">
        <v>3.7789999999999999</v>
      </c>
      <c r="G402" s="8">
        <v>5.4029999999999996</v>
      </c>
      <c r="H402" s="8">
        <v>7.0039999999999996</v>
      </c>
      <c r="I402" s="8">
        <v>5.649</v>
      </c>
      <c r="J402" s="8">
        <v>6.5339999999999998</v>
      </c>
      <c r="K402" s="8">
        <v>4.1159999999999997</v>
      </c>
      <c r="L402" s="8">
        <v>6.16</v>
      </c>
      <c r="M402" s="8">
        <v>4.3769999999999998</v>
      </c>
      <c r="N402" s="8">
        <v>4.4550000000000001</v>
      </c>
      <c r="O402" s="8">
        <v>4.0999999999999996</v>
      </c>
    </row>
    <row r="403" spans="1:15" x14ac:dyDescent="0.25">
      <c r="A403" s="5" t="s">
        <v>415</v>
      </c>
      <c r="B403" s="5">
        <v>43</v>
      </c>
      <c r="C403" s="5" t="s">
        <v>3</v>
      </c>
      <c r="D403" s="7">
        <v>276</v>
      </c>
      <c r="E403" s="8">
        <v>32.347000000000001</v>
      </c>
      <c r="F403" s="8">
        <v>5.6520000000000001</v>
      </c>
      <c r="G403" s="8">
        <v>4.9489999999999998</v>
      </c>
      <c r="H403" s="8">
        <v>5.2350000000000003</v>
      </c>
      <c r="I403" s="8">
        <v>5.0540000000000003</v>
      </c>
      <c r="J403" s="8">
        <v>7.3179999999999996</v>
      </c>
      <c r="K403" s="8">
        <v>4.8600000000000003</v>
      </c>
      <c r="L403" s="8">
        <v>5.9480000000000004</v>
      </c>
      <c r="M403" s="8">
        <v>5.23</v>
      </c>
      <c r="N403" s="8">
        <v>4.157</v>
      </c>
      <c r="O403" s="8">
        <v>4.4720000000000004</v>
      </c>
    </row>
    <row r="404" spans="1:15" x14ac:dyDescent="0.25">
      <c r="A404" s="5" t="s">
        <v>416</v>
      </c>
      <c r="B404" s="5">
        <v>24</v>
      </c>
      <c r="C404" s="5" t="s">
        <v>3</v>
      </c>
      <c r="D404" s="7">
        <v>325</v>
      </c>
      <c r="E404" s="8">
        <v>33.012</v>
      </c>
      <c r="F404" s="8">
        <v>6.3170000000000002</v>
      </c>
      <c r="G404" s="8">
        <v>3.87</v>
      </c>
      <c r="H404" s="8">
        <v>6.91</v>
      </c>
      <c r="I404" s="8">
        <v>6.4320000000000004</v>
      </c>
      <c r="J404" s="8">
        <v>5.5339999999999998</v>
      </c>
      <c r="K404" s="8">
        <v>4.3369999999999997</v>
      </c>
      <c r="L404" s="8">
        <v>6.0449999999999999</v>
      </c>
      <c r="M404" s="8">
        <v>4.3949999999999996</v>
      </c>
      <c r="N404" s="8">
        <v>4.9829999999999997</v>
      </c>
      <c r="O404" s="8">
        <v>4.1440000000000001</v>
      </c>
    </row>
    <row r="405" spans="1:15" x14ac:dyDescent="0.25">
      <c r="A405" s="5" t="s">
        <v>417</v>
      </c>
      <c r="B405" s="5">
        <v>31</v>
      </c>
      <c r="C405" s="5" t="s">
        <v>3</v>
      </c>
      <c r="D405" s="7">
        <v>316</v>
      </c>
      <c r="E405" s="8">
        <v>32.773000000000003</v>
      </c>
      <c r="F405" s="8">
        <v>6.0780000000000003</v>
      </c>
      <c r="G405" s="8">
        <v>5.0970000000000004</v>
      </c>
      <c r="H405" s="8">
        <v>6.7839999999999998</v>
      </c>
      <c r="I405" s="8">
        <v>6.2439999999999998</v>
      </c>
      <c r="J405" s="8">
        <v>5.8079999999999998</v>
      </c>
      <c r="K405" s="8">
        <v>4.1520000000000001</v>
      </c>
      <c r="L405" s="8">
        <v>5.5579999999999998</v>
      </c>
      <c r="M405" s="8">
        <v>3.669</v>
      </c>
      <c r="N405" s="8">
        <v>4.5229999999999997</v>
      </c>
      <c r="O405" s="8">
        <v>4.2320000000000002</v>
      </c>
    </row>
    <row r="406" spans="1:15" x14ac:dyDescent="0.25">
      <c r="A406" s="5" t="s">
        <v>418</v>
      </c>
      <c r="B406" s="5">
        <v>24</v>
      </c>
      <c r="C406" s="5" t="s">
        <v>3</v>
      </c>
      <c r="D406" s="7">
        <v>346</v>
      </c>
      <c r="E406" s="8">
        <v>33.259</v>
      </c>
      <c r="F406" s="8">
        <v>6.5640000000000001</v>
      </c>
      <c r="G406" s="8">
        <v>3.2949999999999999</v>
      </c>
      <c r="H406" s="8">
        <v>7.0720000000000001</v>
      </c>
      <c r="I406" s="8">
        <v>6.9880000000000004</v>
      </c>
      <c r="J406" s="8">
        <v>6.0970000000000004</v>
      </c>
      <c r="K406" s="8">
        <v>3.87</v>
      </c>
      <c r="L406" s="8">
        <v>6.4870000000000001</v>
      </c>
      <c r="M406" s="8">
        <v>3.78</v>
      </c>
      <c r="N406" s="8">
        <v>4.0949999999999998</v>
      </c>
      <c r="O406" s="8">
        <v>4.1470000000000002</v>
      </c>
    </row>
    <row r="407" spans="1:15" x14ac:dyDescent="0.25">
      <c r="A407" s="5" t="s">
        <v>419</v>
      </c>
      <c r="B407" s="5">
        <v>26</v>
      </c>
      <c r="C407" s="5" t="s">
        <v>3</v>
      </c>
      <c r="D407" s="7">
        <v>230</v>
      </c>
      <c r="E407" s="8">
        <v>31.392000000000003</v>
      </c>
      <c r="F407" s="8">
        <v>4.6970000000000001</v>
      </c>
      <c r="G407" s="8">
        <v>4.93</v>
      </c>
      <c r="H407" s="8">
        <v>4.5780000000000003</v>
      </c>
      <c r="I407" s="8">
        <v>5.3120000000000003</v>
      </c>
      <c r="J407" s="8">
        <v>5.9169999999999998</v>
      </c>
      <c r="K407" s="8">
        <v>4.4909999999999997</v>
      </c>
      <c r="L407" s="8">
        <v>5.1310000000000002</v>
      </c>
      <c r="M407" s="8">
        <v>4.2210000000000001</v>
      </c>
      <c r="N407" s="8">
        <v>4.6859999999999999</v>
      </c>
      <c r="O407" s="8">
        <v>4.2770000000000001</v>
      </c>
    </row>
    <row r="408" spans="1:15" x14ac:dyDescent="0.25">
      <c r="A408" s="5" t="s">
        <v>420</v>
      </c>
      <c r="B408" s="5">
        <v>65</v>
      </c>
      <c r="C408" s="5" t="s">
        <v>2</v>
      </c>
      <c r="D408" s="7">
        <v>335</v>
      </c>
      <c r="E408" s="8">
        <v>32.994</v>
      </c>
      <c r="F408" s="8">
        <v>6.2990000000000004</v>
      </c>
      <c r="G408" s="8">
        <v>5.4589999999999996</v>
      </c>
      <c r="H408" s="8">
        <v>6.5750000000000002</v>
      </c>
      <c r="I408" s="8">
        <v>6.48</v>
      </c>
      <c r="J408" s="8">
        <v>5.5640000000000001</v>
      </c>
      <c r="K408" s="8">
        <v>5.141</v>
      </c>
      <c r="L408" s="8">
        <v>6.0449999999999999</v>
      </c>
      <c r="M408" s="8">
        <v>4.4660000000000002</v>
      </c>
      <c r="N408" s="8">
        <v>4.2240000000000002</v>
      </c>
      <c r="O408" s="8">
        <v>4.03</v>
      </c>
    </row>
    <row r="409" spans="1:15" x14ac:dyDescent="0.25">
      <c r="A409" s="5" t="s">
        <v>421</v>
      </c>
      <c r="B409" s="5">
        <v>76</v>
      </c>
      <c r="C409" s="5" t="s">
        <v>2</v>
      </c>
      <c r="D409" s="7">
        <v>253</v>
      </c>
      <c r="E409" s="8">
        <v>31.880000000000003</v>
      </c>
      <c r="F409" s="8">
        <v>5.1849999999999996</v>
      </c>
      <c r="G409" s="8">
        <v>6.5940000000000003</v>
      </c>
      <c r="H409" s="8">
        <v>6.0309999999999997</v>
      </c>
      <c r="I409" s="8">
        <v>6.82</v>
      </c>
      <c r="J409" s="8">
        <v>5.2910000000000004</v>
      </c>
      <c r="K409" s="8">
        <v>4.7060000000000004</v>
      </c>
      <c r="L409" s="8">
        <v>5.9649999999999999</v>
      </c>
      <c r="M409" s="8">
        <v>4.016</v>
      </c>
      <c r="N409" s="8">
        <v>3.9529999999999998</v>
      </c>
      <c r="O409" s="8">
        <v>4.5789999999999997</v>
      </c>
    </row>
    <row r="410" spans="1:15" x14ac:dyDescent="0.25">
      <c r="A410" s="5" t="s">
        <v>422</v>
      </c>
      <c r="B410" s="5">
        <v>56</v>
      </c>
      <c r="C410" s="5" t="s">
        <v>2</v>
      </c>
      <c r="D410" s="7">
        <v>351</v>
      </c>
      <c r="E410" s="8">
        <v>33.381</v>
      </c>
      <c r="F410" s="8">
        <v>6.6859999999999999</v>
      </c>
      <c r="G410" s="8">
        <v>4.702</v>
      </c>
      <c r="H410" s="8">
        <v>4.9669999999999996</v>
      </c>
      <c r="I410" s="8">
        <v>6.25</v>
      </c>
      <c r="J410" s="8">
        <v>6.2370000000000001</v>
      </c>
      <c r="K410" s="8">
        <v>4.109</v>
      </c>
      <c r="L410" s="8">
        <v>6.5460000000000003</v>
      </c>
      <c r="M410" s="8">
        <v>4.2919999999999998</v>
      </c>
      <c r="N410" s="8">
        <v>3.9550000000000001</v>
      </c>
      <c r="O410" s="8">
        <v>4.3929999999999998</v>
      </c>
    </row>
    <row r="411" spans="1:15" x14ac:dyDescent="0.25">
      <c r="A411" s="5" t="s">
        <v>423</v>
      </c>
      <c r="B411" s="5">
        <v>35</v>
      </c>
      <c r="C411" s="5" t="s">
        <v>2</v>
      </c>
      <c r="D411" s="7">
        <v>288</v>
      </c>
      <c r="E411" s="8">
        <v>32.28</v>
      </c>
      <c r="F411" s="8">
        <v>5.585</v>
      </c>
      <c r="G411" s="8">
        <v>5.7279999999999998</v>
      </c>
      <c r="H411" s="8">
        <v>4.9480000000000004</v>
      </c>
      <c r="I411" s="8">
        <v>4.9880000000000004</v>
      </c>
      <c r="J411" s="8">
        <v>5.0709999999999997</v>
      </c>
      <c r="K411" s="8">
        <v>3.8010000000000002</v>
      </c>
      <c r="L411" s="8">
        <v>5.9610000000000003</v>
      </c>
      <c r="M411" s="8">
        <v>4.2290000000000001</v>
      </c>
      <c r="N411" s="8">
        <v>4.07</v>
      </c>
      <c r="O411" s="8">
        <v>4.375</v>
      </c>
    </row>
    <row r="412" spans="1:15" x14ac:dyDescent="0.25">
      <c r="A412" s="5" t="s">
        <v>424</v>
      </c>
      <c r="B412" s="5">
        <v>76</v>
      </c>
      <c r="C412" s="5" t="s">
        <v>2</v>
      </c>
      <c r="D412" s="7">
        <v>202</v>
      </c>
      <c r="E412" s="8">
        <v>30.770000000000003</v>
      </c>
      <c r="F412" s="8">
        <v>4.0750000000000002</v>
      </c>
      <c r="G412" s="8">
        <v>5.45</v>
      </c>
      <c r="H412" s="8">
        <v>4.9180000000000001</v>
      </c>
      <c r="I412" s="8">
        <v>5.5090000000000003</v>
      </c>
      <c r="J412" s="8">
        <v>6.9279999999999999</v>
      </c>
      <c r="K412" s="8">
        <v>3.5329999999999999</v>
      </c>
      <c r="L412" s="8">
        <v>6.4080000000000004</v>
      </c>
      <c r="M412" s="8">
        <v>3.3319999999999999</v>
      </c>
      <c r="N412" s="8">
        <v>3.8639999999999999</v>
      </c>
      <c r="O412" s="8">
        <v>4.3819999999999997</v>
      </c>
    </row>
    <row r="413" spans="1:15" x14ac:dyDescent="0.25">
      <c r="A413" s="5" t="s">
        <v>425</v>
      </c>
      <c r="B413" s="5">
        <v>34</v>
      </c>
      <c r="C413" s="5" t="s">
        <v>2</v>
      </c>
      <c r="D413" s="7">
        <v>202</v>
      </c>
      <c r="E413" s="8">
        <v>30.741000000000003</v>
      </c>
      <c r="F413" s="8">
        <v>4.0460000000000003</v>
      </c>
      <c r="G413" s="8">
        <v>3.4060000000000001</v>
      </c>
      <c r="H413" s="8">
        <v>5.6719999999999997</v>
      </c>
      <c r="I413" s="8">
        <v>5.8949999999999996</v>
      </c>
      <c r="J413" s="8">
        <v>7.0439999999999996</v>
      </c>
      <c r="K413" s="8">
        <v>3.8610000000000002</v>
      </c>
      <c r="L413" s="8">
        <v>5.8559999999999999</v>
      </c>
      <c r="M413" s="8">
        <v>4.7389999999999999</v>
      </c>
      <c r="N413" s="8">
        <v>4.1820000000000004</v>
      </c>
      <c r="O413" s="8">
        <v>4.2110000000000003</v>
      </c>
    </row>
    <row r="414" spans="1:15" x14ac:dyDescent="0.25">
      <c r="A414" s="5" t="s">
        <v>426</v>
      </c>
      <c r="B414" s="5">
        <v>31</v>
      </c>
      <c r="C414" s="5" t="s">
        <v>2</v>
      </c>
      <c r="D414" s="7">
        <v>164</v>
      </c>
      <c r="E414" s="8">
        <v>30.386000000000003</v>
      </c>
      <c r="F414" s="8">
        <v>3.6909999999999998</v>
      </c>
      <c r="G414" s="8">
        <v>3.7519999999999998</v>
      </c>
      <c r="H414" s="8">
        <v>3.7109999999999999</v>
      </c>
      <c r="I414" s="8">
        <v>6.0529999999999999</v>
      </c>
      <c r="J414" s="8">
        <v>6.3310000000000004</v>
      </c>
      <c r="K414" s="8">
        <v>3.7120000000000002</v>
      </c>
      <c r="L414" s="8">
        <v>5.5810000000000004</v>
      </c>
      <c r="M414" s="8">
        <v>4</v>
      </c>
      <c r="N414" s="8">
        <v>4.91</v>
      </c>
      <c r="O414" s="8">
        <v>4.3280000000000003</v>
      </c>
    </row>
    <row r="415" spans="1:15" x14ac:dyDescent="0.25">
      <c r="A415" s="5" t="s">
        <v>427</v>
      </c>
      <c r="B415" s="5">
        <v>48</v>
      </c>
      <c r="C415" s="5" t="s">
        <v>3</v>
      </c>
      <c r="D415" s="7">
        <v>180</v>
      </c>
      <c r="E415" s="8">
        <v>30.732000000000003</v>
      </c>
      <c r="F415" s="8">
        <v>4.0369999999999999</v>
      </c>
      <c r="G415" s="8">
        <v>5.2720000000000002</v>
      </c>
      <c r="H415" s="8">
        <v>5.2110000000000003</v>
      </c>
      <c r="I415" s="8">
        <v>5.8890000000000002</v>
      </c>
      <c r="J415" s="8">
        <v>5.835</v>
      </c>
      <c r="K415" s="8">
        <v>3.9180000000000001</v>
      </c>
      <c r="L415" s="8">
        <v>6.4749999999999996</v>
      </c>
      <c r="M415" s="8">
        <v>3.91</v>
      </c>
      <c r="N415" s="8">
        <v>4.2679999999999998</v>
      </c>
      <c r="O415" s="8">
        <v>4.3860000000000001</v>
      </c>
    </row>
    <row r="416" spans="1:15" x14ac:dyDescent="0.25">
      <c r="A416" s="5" t="s">
        <v>428</v>
      </c>
      <c r="B416" s="5">
        <v>41</v>
      </c>
      <c r="C416" s="5" t="s">
        <v>3</v>
      </c>
      <c r="D416" s="7">
        <v>286</v>
      </c>
      <c r="E416" s="8">
        <v>32.057000000000002</v>
      </c>
      <c r="F416" s="8">
        <v>5.3620000000000001</v>
      </c>
      <c r="G416" s="8">
        <v>6.5670000000000002</v>
      </c>
      <c r="H416" s="8">
        <v>4.9020000000000001</v>
      </c>
      <c r="I416" s="8">
        <v>5.8639999999999999</v>
      </c>
      <c r="J416" s="8">
        <v>6.2670000000000003</v>
      </c>
      <c r="K416" s="8">
        <v>4.0960000000000001</v>
      </c>
      <c r="L416" s="8">
        <v>5.8250000000000002</v>
      </c>
      <c r="M416" s="8">
        <v>4.6680000000000001</v>
      </c>
      <c r="N416" s="8">
        <v>4.2910000000000004</v>
      </c>
      <c r="O416" s="8">
        <v>4.43</v>
      </c>
    </row>
    <row r="417" spans="1:15" x14ac:dyDescent="0.25">
      <c r="A417" s="5" t="s">
        <v>429</v>
      </c>
      <c r="B417" s="5">
        <v>77</v>
      </c>
      <c r="C417" s="5" t="s">
        <v>3</v>
      </c>
      <c r="D417" s="7">
        <v>225</v>
      </c>
      <c r="E417" s="8">
        <v>31.189000000000004</v>
      </c>
      <c r="F417" s="8">
        <v>4.4939999999999998</v>
      </c>
      <c r="G417" s="8">
        <v>4.9000000000000004</v>
      </c>
      <c r="H417" s="8">
        <v>6.4039999999999999</v>
      </c>
      <c r="I417" s="8">
        <v>6.093</v>
      </c>
      <c r="J417" s="8">
        <v>5.56</v>
      </c>
      <c r="K417" s="8">
        <v>3.4750000000000001</v>
      </c>
      <c r="L417" s="8">
        <v>5.9779999999999998</v>
      </c>
      <c r="M417" s="8">
        <v>4.1260000000000003</v>
      </c>
      <c r="N417" s="8">
        <v>3.827</v>
      </c>
      <c r="O417" s="8">
        <v>4.3760000000000003</v>
      </c>
    </row>
    <row r="418" spans="1:15" x14ac:dyDescent="0.25">
      <c r="A418" s="5" t="s">
        <v>430</v>
      </c>
      <c r="B418" s="5">
        <v>62</v>
      </c>
      <c r="C418" s="5" t="s">
        <v>3</v>
      </c>
      <c r="D418" s="7">
        <v>112</v>
      </c>
      <c r="E418" s="8">
        <v>29.462000000000003</v>
      </c>
      <c r="F418" s="8">
        <v>2.7669999999999999</v>
      </c>
      <c r="G418" s="8">
        <v>6.0679999999999996</v>
      </c>
      <c r="H418" s="8">
        <v>5.92</v>
      </c>
      <c r="I418" s="8">
        <v>6.8819999999999997</v>
      </c>
      <c r="J418" s="8">
        <v>6.1420000000000003</v>
      </c>
      <c r="K418" s="8">
        <v>3.4430000000000001</v>
      </c>
      <c r="L418" s="8">
        <v>6.0880000000000001</v>
      </c>
      <c r="M418" s="8">
        <v>4.0759999999999996</v>
      </c>
      <c r="N418" s="8">
        <v>3.5259999999999998</v>
      </c>
      <c r="O418" s="8">
        <v>4.1760000000000002</v>
      </c>
    </row>
    <row r="419" spans="1:15" x14ac:dyDescent="0.25">
      <c r="A419" s="5" t="s">
        <v>431</v>
      </c>
      <c r="B419" s="5">
        <v>20</v>
      </c>
      <c r="C419" s="5" t="s">
        <v>2</v>
      </c>
      <c r="D419" s="7">
        <v>397</v>
      </c>
      <c r="E419" s="8">
        <v>33.887</v>
      </c>
      <c r="F419" s="8">
        <v>7.1920000000000002</v>
      </c>
      <c r="G419" s="8">
        <v>4.7880000000000003</v>
      </c>
      <c r="H419" s="8">
        <v>7.194</v>
      </c>
      <c r="I419" s="8">
        <v>6.6130000000000004</v>
      </c>
      <c r="J419" s="8">
        <v>6.0590000000000002</v>
      </c>
      <c r="K419" s="8">
        <v>3.7610000000000001</v>
      </c>
      <c r="L419" s="8">
        <v>6.1689999999999996</v>
      </c>
      <c r="M419" s="8">
        <v>4.3280000000000003</v>
      </c>
      <c r="N419" s="8">
        <v>3.5529999999999999</v>
      </c>
      <c r="O419" s="8">
        <v>4.4290000000000003</v>
      </c>
    </row>
    <row r="420" spans="1:15" x14ac:dyDescent="0.25">
      <c r="A420" s="5" t="s">
        <v>432</v>
      </c>
      <c r="B420" s="5">
        <v>54</v>
      </c>
      <c r="C420" s="5" t="s">
        <v>2</v>
      </c>
      <c r="D420" s="7">
        <v>266</v>
      </c>
      <c r="E420" s="8">
        <v>31.912000000000003</v>
      </c>
      <c r="F420" s="8">
        <v>5.2169999999999996</v>
      </c>
      <c r="G420" s="8">
        <v>4.4729999999999999</v>
      </c>
      <c r="H420" s="8">
        <v>5.1079999999999997</v>
      </c>
      <c r="I420" s="8">
        <v>6.2640000000000002</v>
      </c>
      <c r="J420" s="8">
        <v>5.4379999999999997</v>
      </c>
      <c r="K420" s="8">
        <v>3.653</v>
      </c>
      <c r="L420" s="8">
        <v>6.0609999999999999</v>
      </c>
      <c r="M420" s="8">
        <v>3.8130000000000002</v>
      </c>
      <c r="N420" s="8">
        <v>3.9260000000000002</v>
      </c>
      <c r="O420" s="8">
        <v>4.3879999999999999</v>
      </c>
    </row>
    <row r="421" spans="1:15" x14ac:dyDescent="0.25">
      <c r="A421" s="5" t="s">
        <v>433</v>
      </c>
      <c r="B421" s="5">
        <v>60</v>
      </c>
      <c r="C421" s="5" t="s">
        <v>2</v>
      </c>
      <c r="D421" s="7">
        <v>360</v>
      </c>
      <c r="E421" s="8">
        <v>33.317000000000007</v>
      </c>
      <c r="F421" s="8">
        <v>6.6219999999999999</v>
      </c>
      <c r="G421" s="8">
        <v>4.2629999999999999</v>
      </c>
      <c r="H421" s="8">
        <v>6.0709999999999997</v>
      </c>
      <c r="I421" s="8">
        <v>6.1479999999999997</v>
      </c>
      <c r="J421" s="8">
        <v>5.4779999999999998</v>
      </c>
      <c r="K421" s="8">
        <v>4.0140000000000002</v>
      </c>
      <c r="L421" s="8">
        <v>5.8220000000000001</v>
      </c>
      <c r="M421" s="8">
        <v>4.1900000000000004</v>
      </c>
      <c r="N421" s="8">
        <v>4.76</v>
      </c>
      <c r="O421" s="8">
        <v>4.37</v>
      </c>
    </row>
    <row r="422" spans="1:15" x14ac:dyDescent="0.25">
      <c r="A422" s="5" t="s">
        <v>434</v>
      </c>
      <c r="B422" s="5">
        <v>57</v>
      </c>
      <c r="C422" s="5" t="s">
        <v>3</v>
      </c>
      <c r="D422" s="7">
        <v>264</v>
      </c>
      <c r="E422" s="8">
        <v>31.888000000000002</v>
      </c>
      <c r="F422" s="8">
        <v>5.1929999999999996</v>
      </c>
      <c r="G422" s="8">
        <v>5.2409999999999997</v>
      </c>
      <c r="H422" s="8">
        <v>4.9820000000000002</v>
      </c>
      <c r="I422" s="8">
        <v>7.0270000000000001</v>
      </c>
      <c r="J422" s="8">
        <v>5.5549999999999997</v>
      </c>
      <c r="K422" s="8">
        <v>4.0149999999999997</v>
      </c>
      <c r="L422" s="8">
        <v>5.6210000000000004</v>
      </c>
      <c r="M422" s="8">
        <v>4.3159999999999998</v>
      </c>
      <c r="N422" s="8">
        <v>4.6950000000000003</v>
      </c>
      <c r="O422" s="8">
        <v>4.5599999999999996</v>
      </c>
    </row>
    <row r="423" spans="1:15" x14ac:dyDescent="0.25">
      <c r="A423" s="5" t="s">
        <v>435</v>
      </c>
      <c r="B423" s="5">
        <v>72</v>
      </c>
      <c r="C423" s="5" t="s">
        <v>2</v>
      </c>
      <c r="D423" s="7">
        <v>291</v>
      </c>
      <c r="E423" s="8">
        <v>32.026000000000003</v>
      </c>
      <c r="F423" s="8">
        <v>5.3310000000000004</v>
      </c>
      <c r="G423" s="8">
        <v>4.8520000000000003</v>
      </c>
      <c r="H423" s="8">
        <v>5.798</v>
      </c>
      <c r="I423" s="8">
        <v>6.1509999999999998</v>
      </c>
      <c r="J423" s="8">
        <v>5.7210000000000001</v>
      </c>
      <c r="K423" s="8">
        <v>4.7949999999999999</v>
      </c>
      <c r="L423" s="8">
        <v>6.1479999999999997</v>
      </c>
      <c r="M423" s="8">
        <v>4.1989999999999998</v>
      </c>
      <c r="N423" s="8">
        <v>3.8130000000000002</v>
      </c>
      <c r="O423" s="8">
        <v>4.32</v>
      </c>
    </row>
    <row r="424" spans="1:15" x14ac:dyDescent="0.25">
      <c r="A424" s="5" t="s">
        <v>436</v>
      </c>
      <c r="B424" s="5">
        <v>56</v>
      </c>
      <c r="C424" s="5" t="s">
        <v>2</v>
      </c>
      <c r="D424" s="7">
        <v>293</v>
      </c>
      <c r="E424" s="8">
        <v>32.114000000000004</v>
      </c>
      <c r="F424" s="8">
        <v>5.4189999999999996</v>
      </c>
      <c r="G424" s="8">
        <v>5.798</v>
      </c>
      <c r="H424" s="8">
        <v>6.2480000000000002</v>
      </c>
      <c r="I424" s="8">
        <v>6.2229999999999999</v>
      </c>
      <c r="J424" s="8">
        <v>5.9359999999999999</v>
      </c>
      <c r="K424" s="8">
        <v>4.6139999999999999</v>
      </c>
      <c r="L424" s="8">
        <v>6.6050000000000004</v>
      </c>
      <c r="M424" s="8">
        <v>4.4130000000000003</v>
      </c>
      <c r="N424" s="8">
        <v>4.1369999999999996</v>
      </c>
      <c r="O424" s="8">
        <v>4.4550000000000001</v>
      </c>
    </row>
    <row r="425" spans="1:15" x14ac:dyDescent="0.25">
      <c r="A425" s="5" t="s">
        <v>437</v>
      </c>
      <c r="B425" s="5">
        <v>32</v>
      </c>
      <c r="C425" s="5" t="s">
        <v>2</v>
      </c>
      <c r="D425" s="7">
        <v>277</v>
      </c>
      <c r="E425" s="8">
        <v>32.157000000000004</v>
      </c>
      <c r="F425" s="8">
        <v>5.4619999999999997</v>
      </c>
      <c r="G425" s="8">
        <v>4.13</v>
      </c>
      <c r="H425" s="8">
        <v>7.4329999999999998</v>
      </c>
      <c r="I425" s="8">
        <v>5.3579999999999997</v>
      </c>
      <c r="J425" s="8">
        <v>4.5369999999999999</v>
      </c>
      <c r="K425" s="8">
        <v>3.93</v>
      </c>
      <c r="L425" s="8">
        <v>5.702</v>
      </c>
      <c r="M425" s="8">
        <v>4.2009999999999996</v>
      </c>
      <c r="N425" s="8">
        <v>4.1269999999999998</v>
      </c>
      <c r="O425" s="8">
        <v>4.0389999999999997</v>
      </c>
    </row>
    <row r="426" spans="1:15" x14ac:dyDescent="0.25">
      <c r="A426" s="5" t="s">
        <v>438</v>
      </c>
      <c r="B426" s="5">
        <v>21</v>
      </c>
      <c r="C426" s="5" t="s">
        <v>3</v>
      </c>
      <c r="D426" s="7">
        <v>415</v>
      </c>
      <c r="E426" s="8">
        <v>34.286000000000001</v>
      </c>
      <c r="F426" s="8">
        <v>7.5910000000000002</v>
      </c>
      <c r="G426" s="8">
        <v>4.5590000000000002</v>
      </c>
      <c r="H426" s="8">
        <v>4.7569999999999997</v>
      </c>
      <c r="I426" s="8">
        <v>6.6130000000000004</v>
      </c>
      <c r="J426" s="8">
        <v>6.0679999999999996</v>
      </c>
      <c r="K426" s="8">
        <v>4.7619999999999996</v>
      </c>
      <c r="L426" s="8">
        <v>5.9260000000000002</v>
      </c>
      <c r="M426" s="8">
        <v>4.3129999999999997</v>
      </c>
      <c r="N426" s="8">
        <v>4.2880000000000003</v>
      </c>
      <c r="O426" s="8">
        <v>4.0839999999999996</v>
      </c>
    </row>
    <row r="427" spans="1:15" x14ac:dyDescent="0.25">
      <c r="A427" s="5" t="s">
        <v>439</v>
      </c>
      <c r="B427" s="5">
        <v>42</v>
      </c>
      <c r="C427" s="5" t="s">
        <v>2</v>
      </c>
      <c r="D427" s="7">
        <v>263</v>
      </c>
      <c r="E427" s="8">
        <v>31.784000000000002</v>
      </c>
      <c r="F427" s="8">
        <v>5.0890000000000004</v>
      </c>
      <c r="G427" s="8">
        <v>4.3339999999999996</v>
      </c>
      <c r="H427" s="8">
        <v>5.29</v>
      </c>
      <c r="I427" s="8">
        <v>4.7629999999999999</v>
      </c>
      <c r="J427" s="8">
        <v>5.1950000000000003</v>
      </c>
      <c r="K427" s="8">
        <v>3.4820000000000002</v>
      </c>
      <c r="L427" s="8">
        <v>6.4180000000000001</v>
      </c>
      <c r="M427" s="8">
        <v>4.4950000000000001</v>
      </c>
      <c r="N427" s="8">
        <v>4.4619999999999997</v>
      </c>
      <c r="O427" s="8">
        <v>4.5910000000000002</v>
      </c>
    </row>
    <row r="428" spans="1:15" x14ac:dyDescent="0.25">
      <c r="A428" s="5" t="s">
        <v>440</v>
      </c>
      <c r="B428" s="5">
        <v>30</v>
      </c>
      <c r="C428" s="5" t="s">
        <v>3</v>
      </c>
      <c r="D428" s="7">
        <v>471</v>
      </c>
      <c r="E428" s="8">
        <v>35.153000000000006</v>
      </c>
      <c r="F428" s="8">
        <v>8.4580000000000002</v>
      </c>
      <c r="G428" s="8">
        <v>4.4690000000000003</v>
      </c>
      <c r="H428" s="8">
        <v>5.3289999999999997</v>
      </c>
      <c r="I428" s="8">
        <v>4.4850000000000003</v>
      </c>
      <c r="J428" s="8">
        <v>5.7720000000000002</v>
      </c>
      <c r="K428" s="8">
        <v>4.1360000000000001</v>
      </c>
      <c r="L428" s="8">
        <v>6.0350000000000001</v>
      </c>
      <c r="M428" s="8">
        <v>3.661</v>
      </c>
      <c r="N428" s="8">
        <v>4.1849999999999996</v>
      </c>
      <c r="O428" s="8">
        <v>4.2190000000000003</v>
      </c>
    </row>
    <row r="429" spans="1:15" x14ac:dyDescent="0.25">
      <c r="A429" s="5" t="s">
        <v>441</v>
      </c>
      <c r="B429" s="5">
        <v>50</v>
      </c>
      <c r="C429" s="5" t="s">
        <v>3</v>
      </c>
      <c r="D429" s="7">
        <v>103</v>
      </c>
      <c r="E429" s="8">
        <v>29.344000000000001</v>
      </c>
      <c r="F429" s="8">
        <v>3.8130000000000002</v>
      </c>
      <c r="G429" s="8">
        <v>6.0179999999999998</v>
      </c>
      <c r="H429" s="8">
        <v>3.9079999999999999</v>
      </c>
      <c r="I429" s="8">
        <v>4.7439999999999998</v>
      </c>
      <c r="J429" s="8">
        <v>5.6820000000000004</v>
      </c>
      <c r="K429" s="8">
        <v>3.9209999999999998</v>
      </c>
      <c r="L429" s="8">
        <v>6.077</v>
      </c>
      <c r="M429" s="8">
        <v>3.8940000000000001</v>
      </c>
      <c r="N429" s="8">
        <v>3.7280000000000002</v>
      </c>
      <c r="O429" s="8">
        <v>4.1909999999999998</v>
      </c>
    </row>
    <row r="430" spans="1:15" x14ac:dyDescent="0.25">
      <c r="A430" s="5" t="s">
        <v>442</v>
      </c>
      <c r="B430" s="5">
        <v>33</v>
      </c>
      <c r="C430" s="5" t="s">
        <v>3</v>
      </c>
      <c r="D430" s="7">
        <v>305</v>
      </c>
      <c r="E430" s="8">
        <v>32.484999999999999</v>
      </c>
      <c r="F430" s="8">
        <v>5.79</v>
      </c>
      <c r="G430" s="8">
        <v>5.0330000000000004</v>
      </c>
      <c r="H430" s="8">
        <v>3.351</v>
      </c>
      <c r="I430" s="8">
        <v>6.1550000000000002</v>
      </c>
      <c r="J430" s="8">
        <v>5.476</v>
      </c>
      <c r="K430" s="8">
        <v>5.1689999999999996</v>
      </c>
      <c r="L430" s="8">
        <v>5.6840000000000002</v>
      </c>
      <c r="M430" s="8">
        <v>4.4089999999999998</v>
      </c>
      <c r="N430" s="8">
        <v>4.3280000000000003</v>
      </c>
      <c r="O430" s="8">
        <v>4.5670000000000002</v>
      </c>
    </row>
    <row r="431" spans="1:15" x14ac:dyDescent="0.25">
      <c r="A431" s="5" t="s">
        <v>443</v>
      </c>
      <c r="B431" s="5">
        <v>59</v>
      </c>
      <c r="C431" s="5" t="s">
        <v>3</v>
      </c>
      <c r="D431" s="7">
        <v>204</v>
      </c>
      <c r="E431" s="8">
        <v>30.726000000000003</v>
      </c>
      <c r="F431" s="8">
        <v>4.0309999999999997</v>
      </c>
      <c r="G431" s="8">
        <v>4.9379999999999997</v>
      </c>
      <c r="H431" s="8">
        <v>5.7389999999999999</v>
      </c>
      <c r="I431" s="8">
        <v>5.5720000000000001</v>
      </c>
      <c r="J431" s="8">
        <v>5.641</v>
      </c>
      <c r="K431" s="8">
        <v>4.9210000000000003</v>
      </c>
      <c r="L431" s="8">
        <v>6.0640000000000001</v>
      </c>
      <c r="M431" s="8">
        <v>3.6080000000000001</v>
      </c>
      <c r="N431" s="8">
        <v>3.6880000000000002</v>
      </c>
      <c r="O431" s="8">
        <v>4.173</v>
      </c>
    </row>
    <row r="432" spans="1:15" x14ac:dyDescent="0.25">
      <c r="A432" s="5" t="s">
        <v>444</v>
      </c>
      <c r="B432" s="5">
        <v>83</v>
      </c>
      <c r="C432" s="5" t="s">
        <v>2</v>
      </c>
      <c r="D432" s="7">
        <v>292</v>
      </c>
      <c r="E432" s="8">
        <v>32.644000000000005</v>
      </c>
      <c r="F432" s="8">
        <v>5.9489999999999998</v>
      </c>
      <c r="G432" s="8">
        <v>5.5739999999999998</v>
      </c>
      <c r="H432" s="8">
        <v>4.92</v>
      </c>
      <c r="I432" s="8">
        <v>5.58</v>
      </c>
      <c r="J432" s="8">
        <v>4.9240000000000004</v>
      </c>
      <c r="K432" s="8">
        <v>3.41</v>
      </c>
      <c r="L432" s="8">
        <v>6.2510000000000003</v>
      </c>
      <c r="M432" s="8">
        <v>3.6970000000000001</v>
      </c>
      <c r="N432" s="8">
        <v>4.4089999999999998</v>
      </c>
      <c r="O432" s="8">
        <v>4.3140000000000001</v>
      </c>
    </row>
    <row r="433" spans="1:15" x14ac:dyDescent="0.25">
      <c r="A433" s="5" t="s">
        <v>445</v>
      </c>
      <c r="B433" s="5">
        <v>72</v>
      </c>
      <c r="C433" s="5" t="s">
        <v>3</v>
      </c>
      <c r="D433" s="7">
        <v>170</v>
      </c>
      <c r="E433" s="8">
        <v>30.499000000000002</v>
      </c>
      <c r="F433" s="8">
        <v>3.8039999999999998</v>
      </c>
      <c r="G433" s="8">
        <v>6.3810000000000002</v>
      </c>
      <c r="H433" s="8">
        <v>5.2759999999999998</v>
      </c>
      <c r="I433" s="8">
        <v>4.5579999999999998</v>
      </c>
      <c r="J433" s="8">
        <v>4.9800000000000004</v>
      </c>
      <c r="K433" s="8">
        <v>3.8969999999999998</v>
      </c>
      <c r="L433" s="8">
        <v>5.4939999999999998</v>
      </c>
      <c r="M433" s="8">
        <v>4.5510000000000002</v>
      </c>
      <c r="N433" s="8">
        <v>4.32</v>
      </c>
      <c r="O433" s="8">
        <v>4.391</v>
      </c>
    </row>
    <row r="434" spans="1:15" x14ac:dyDescent="0.25">
      <c r="A434" s="5" t="s">
        <v>446</v>
      </c>
      <c r="B434" s="5">
        <v>59</v>
      </c>
      <c r="C434" s="5" t="s">
        <v>3</v>
      </c>
      <c r="D434" s="7">
        <v>266</v>
      </c>
      <c r="E434" s="8">
        <v>32.255000000000003</v>
      </c>
      <c r="F434" s="8">
        <v>5.56</v>
      </c>
      <c r="G434" s="8">
        <v>7.2140000000000004</v>
      </c>
      <c r="H434" s="8">
        <v>6.1639999999999997</v>
      </c>
      <c r="I434" s="8">
        <v>5.1360000000000001</v>
      </c>
      <c r="J434" s="8">
        <v>6.0469999999999997</v>
      </c>
      <c r="K434" s="8">
        <v>3.5459999999999998</v>
      </c>
      <c r="L434" s="8">
        <v>7.02</v>
      </c>
      <c r="M434" s="8">
        <v>4.0590000000000002</v>
      </c>
      <c r="N434" s="8">
        <v>3.952</v>
      </c>
      <c r="O434" s="8">
        <v>4.4260000000000002</v>
      </c>
    </row>
    <row r="435" spans="1:15" x14ac:dyDescent="0.25">
      <c r="A435" s="5" t="s">
        <v>447</v>
      </c>
      <c r="B435" s="5">
        <v>51</v>
      </c>
      <c r="C435" s="5" t="s">
        <v>2</v>
      </c>
      <c r="D435" s="7">
        <v>163</v>
      </c>
      <c r="E435" s="8">
        <v>30.241000000000003</v>
      </c>
      <c r="F435" s="8">
        <v>4.3520000000000003</v>
      </c>
      <c r="G435" s="8">
        <v>6.8730000000000002</v>
      </c>
      <c r="H435" s="8">
        <v>5.36</v>
      </c>
      <c r="I435" s="8">
        <v>6.5759999999999996</v>
      </c>
      <c r="J435" s="8">
        <v>6.07</v>
      </c>
      <c r="K435" s="8">
        <v>4.0590000000000002</v>
      </c>
      <c r="L435" s="8">
        <v>5.4720000000000004</v>
      </c>
      <c r="M435" s="8">
        <v>3.9729999999999999</v>
      </c>
      <c r="N435" s="8">
        <v>4.319</v>
      </c>
      <c r="O435" s="8">
        <v>4.5330000000000004</v>
      </c>
    </row>
    <row r="436" spans="1:15" x14ac:dyDescent="0.25">
      <c r="A436" s="5" t="s">
        <v>448</v>
      </c>
      <c r="B436" s="5">
        <v>47</v>
      </c>
      <c r="C436" s="5" t="s">
        <v>2</v>
      </c>
      <c r="D436" s="7">
        <v>407</v>
      </c>
      <c r="E436" s="8">
        <v>34.189000000000007</v>
      </c>
      <c r="F436" s="8">
        <v>7.4939999999999998</v>
      </c>
      <c r="G436" s="8">
        <v>6.6879999999999997</v>
      </c>
      <c r="H436" s="8">
        <v>5.2759999999999998</v>
      </c>
      <c r="I436" s="8">
        <v>5.9809999999999999</v>
      </c>
      <c r="J436" s="8">
        <v>5.46</v>
      </c>
      <c r="K436" s="8">
        <v>4.3250000000000002</v>
      </c>
      <c r="L436" s="8">
        <v>6.29</v>
      </c>
      <c r="M436" s="8">
        <v>4.3849999999999998</v>
      </c>
      <c r="N436" s="8">
        <v>3.9740000000000002</v>
      </c>
      <c r="O436" s="8">
        <v>3.915</v>
      </c>
    </row>
    <row r="437" spans="1:15" x14ac:dyDescent="0.25">
      <c r="A437" s="5" t="s">
        <v>449</v>
      </c>
      <c r="B437" s="5">
        <v>30</v>
      </c>
      <c r="C437" s="5" t="s">
        <v>3</v>
      </c>
      <c r="D437" s="7">
        <v>351</v>
      </c>
      <c r="E437" s="8">
        <v>33.116</v>
      </c>
      <c r="F437" s="8">
        <v>6.4210000000000003</v>
      </c>
      <c r="G437" s="8">
        <v>3.7509999999999999</v>
      </c>
      <c r="H437" s="8">
        <v>5.9779999999999998</v>
      </c>
      <c r="I437" s="8">
        <v>5.0449999999999999</v>
      </c>
      <c r="J437" s="8">
        <v>5.38</v>
      </c>
      <c r="K437" s="8">
        <v>2.8140000000000001</v>
      </c>
      <c r="L437" s="8">
        <v>5.726</v>
      </c>
      <c r="M437" s="8">
        <v>4.617</v>
      </c>
      <c r="N437" s="8">
        <v>4.0289999999999999</v>
      </c>
      <c r="O437" s="8">
        <v>4.1980000000000004</v>
      </c>
    </row>
    <row r="438" spans="1:15" x14ac:dyDescent="0.25">
      <c r="A438" s="5" t="s">
        <v>450</v>
      </c>
      <c r="B438" s="5">
        <v>30</v>
      </c>
      <c r="C438" s="5" t="s">
        <v>2</v>
      </c>
      <c r="D438" s="7">
        <v>379</v>
      </c>
      <c r="E438" s="8">
        <v>33.817999999999998</v>
      </c>
      <c r="F438" s="8">
        <v>7.1230000000000002</v>
      </c>
      <c r="G438" s="8">
        <v>3.8860000000000001</v>
      </c>
      <c r="H438" s="8">
        <v>5.5259999999999998</v>
      </c>
      <c r="I438" s="8">
        <v>6.0279999999999996</v>
      </c>
      <c r="J438" s="8">
        <v>5.0819999999999999</v>
      </c>
      <c r="K438" s="8">
        <v>3.302</v>
      </c>
      <c r="L438" s="8">
        <v>5.6440000000000001</v>
      </c>
      <c r="M438" s="8">
        <v>3.4260000000000002</v>
      </c>
      <c r="N438" s="8">
        <v>4.1029999999999998</v>
      </c>
      <c r="O438" s="8">
        <v>4.1950000000000003</v>
      </c>
    </row>
    <row r="439" spans="1:15" x14ac:dyDescent="0.25">
      <c r="A439" s="5" t="s">
        <v>451</v>
      </c>
      <c r="B439" s="5">
        <v>35</v>
      </c>
      <c r="C439" s="5" t="s">
        <v>3</v>
      </c>
      <c r="D439" s="7">
        <v>268</v>
      </c>
      <c r="E439" s="8">
        <v>31.707000000000004</v>
      </c>
      <c r="F439" s="8">
        <v>5.0119999999999996</v>
      </c>
      <c r="G439" s="8">
        <v>5.3940000000000001</v>
      </c>
      <c r="H439" s="8">
        <v>6.2549999999999999</v>
      </c>
      <c r="I439" s="8">
        <v>7.4619999999999997</v>
      </c>
      <c r="J439" s="8">
        <v>7.5170000000000003</v>
      </c>
      <c r="K439" s="8">
        <v>4.3780000000000001</v>
      </c>
      <c r="L439" s="8">
        <v>5.8079999999999998</v>
      </c>
      <c r="M439" s="8">
        <v>4.2990000000000004</v>
      </c>
      <c r="N439" s="8">
        <v>4.6369999999999996</v>
      </c>
      <c r="O439" s="8">
        <v>4.5590000000000002</v>
      </c>
    </row>
    <row r="440" spans="1:15" x14ac:dyDescent="0.25">
      <c r="A440" s="5" t="s">
        <v>452</v>
      </c>
      <c r="B440" s="5">
        <v>49</v>
      </c>
      <c r="C440" s="5" t="s">
        <v>3</v>
      </c>
      <c r="D440" s="7">
        <v>198</v>
      </c>
      <c r="E440" s="8">
        <v>30.999000000000002</v>
      </c>
      <c r="F440" s="8">
        <v>4.3040000000000003</v>
      </c>
      <c r="G440" s="8">
        <v>4.8070000000000004</v>
      </c>
      <c r="H440" s="8">
        <v>5.74</v>
      </c>
      <c r="I440" s="8">
        <v>7.524</v>
      </c>
      <c r="J440" s="8">
        <v>5.452</v>
      </c>
      <c r="K440" s="8">
        <v>4.7919999999999998</v>
      </c>
      <c r="L440" s="8">
        <v>5.5910000000000002</v>
      </c>
      <c r="M440" s="8">
        <v>4.2859999999999996</v>
      </c>
      <c r="N440" s="8">
        <v>4.6980000000000004</v>
      </c>
      <c r="O440" s="8">
        <v>4.5460000000000003</v>
      </c>
    </row>
    <row r="441" spans="1:15" x14ac:dyDescent="0.25">
      <c r="A441" s="5" t="s">
        <v>453</v>
      </c>
      <c r="B441" s="5">
        <v>56</v>
      </c>
      <c r="C441" s="5" t="s">
        <v>3</v>
      </c>
      <c r="D441" s="7">
        <v>181</v>
      </c>
      <c r="E441" s="8">
        <v>30.776000000000003</v>
      </c>
      <c r="F441" s="8">
        <v>4.0810000000000004</v>
      </c>
      <c r="G441" s="8">
        <v>6.4589999999999996</v>
      </c>
      <c r="H441" s="8">
        <v>5.8129999999999997</v>
      </c>
      <c r="I441" s="8">
        <v>5.8070000000000004</v>
      </c>
      <c r="J441" s="8">
        <v>5.9290000000000003</v>
      </c>
      <c r="K441" s="8">
        <v>4.18</v>
      </c>
      <c r="L441" s="8">
        <v>5.9180000000000001</v>
      </c>
      <c r="M441" s="8">
        <v>4.7160000000000002</v>
      </c>
      <c r="N441" s="8">
        <v>4.3209999999999997</v>
      </c>
      <c r="O441" s="8">
        <v>4.17</v>
      </c>
    </row>
    <row r="442" spans="1:15" x14ac:dyDescent="0.25">
      <c r="A442" s="5" t="s">
        <v>454</v>
      </c>
      <c r="B442" s="5">
        <v>63</v>
      </c>
      <c r="C442" s="5" t="s">
        <v>3</v>
      </c>
      <c r="D442" s="7">
        <v>309</v>
      </c>
      <c r="E442" s="8">
        <v>32.663000000000004</v>
      </c>
      <c r="F442" s="8">
        <v>5.968</v>
      </c>
      <c r="G442" s="8">
        <v>5.4089999999999998</v>
      </c>
      <c r="H442" s="8">
        <v>5.4450000000000003</v>
      </c>
      <c r="I442" s="8">
        <v>5.7649999999999997</v>
      </c>
      <c r="J442" s="8">
        <v>5.9160000000000004</v>
      </c>
      <c r="K442" s="8">
        <v>4.3390000000000004</v>
      </c>
      <c r="L442" s="8">
        <v>5.6509999999999998</v>
      </c>
      <c r="M442" s="8">
        <v>4.0119999999999996</v>
      </c>
      <c r="N442" s="8">
        <v>3.895</v>
      </c>
      <c r="O442" s="8">
        <v>4.1660000000000004</v>
      </c>
    </row>
    <row r="443" spans="1:15" x14ac:dyDescent="0.25">
      <c r="A443" s="5" t="s">
        <v>455</v>
      </c>
      <c r="B443" s="5">
        <v>46</v>
      </c>
      <c r="C443" s="5" t="s">
        <v>2</v>
      </c>
      <c r="D443" s="7">
        <v>365</v>
      </c>
      <c r="E443" s="8">
        <v>33.525000000000006</v>
      </c>
      <c r="F443" s="8">
        <v>6.83</v>
      </c>
      <c r="G443" s="8">
        <v>5.5579999999999998</v>
      </c>
      <c r="H443" s="8">
        <v>5.3380000000000001</v>
      </c>
      <c r="I443" s="8">
        <v>6.5549999999999997</v>
      </c>
      <c r="J443" s="8">
        <v>5.4850000000000003</v>
      </c>
      <c r="K443" s="8">
        <v>3.7759999999999998</v>
      </c>
      <c r="L443" s="8">
        <v>6.4269999999999996</v>
      </c>
      <c r="M443" s="8">
        <v>4.3330000000000002</v>
      </c>
      <c r="N443" s="8">
        <v>4.2629999999999999</v>
      </c>
      <c r="O443" s="8">
        <v>4.2300000000000004</v>
      </c>
    </row>
    <row r="444" spans="1:15" x14ac:dyDescent="0.25">
      <c r="A444" s="5" t="s">
        <v>456</v>
      </c>
      <c r="B444" s="5">
        <v>79</v>
      </c>
      <c r="C444" s="5" t="s">
        <v>3</v>
      </c>
      <c r="D444" s="7">
        <v>365</v>
      </c>
      <c r="E444" s="8">
        <v>33.593000000000004</v>
      </c>
      <c r="F444" s="8">
        <v>7.8049999999999997</v>
      </c>
      <c r="G444" s="8">
        <v>6.25</v>
      </c>
      <c r="H444" s="8">
        <v>5.1959999999999997</v>
      </c>
      <c r="I444" s="8">
        <v>5.226</v>
      </c>
      <c r="J444" s="8">
        <v>5.5389999999999997</v>
      </c>
      <c r="K444" s="8">
        <v>4.6829999999999998</v>
      </c>
      <c r="L444" s="8">
        <v>6.58</v>
      </c>
      <c r="M444" s="8">
        <v>3.585</v>
      </c>
      <c r="N444" s="8">
        <v>4.99</v>
      </c>
      <c r="O444" s="8">
        <v>4.9450000000000003</v>
      </c>
    </row>
    <row r="445" spans="1:15" x14ac:dyDescent="0.25">
      <c r="A445" s="5" t="s">
        <v>457</v>
      </c>
      <c r="B445" s="5">
        <v>79</v>
      </c>
      <c r="C445" s="5" t="s">
        <v>2</v>
      </c>
      <c r="D445" s="7">
        <v>313</v>
      </c>
      <c r="E445" s="8">
        <v>33.046000000000006</v>
      </c>
      <c r="F445" s="8">
        <v>6.351</v>
      </c>
      <c r="G445" s="8">
        <v>5.3769999999999998</v>
      </c>
      <c r="H445" s="8">
        <v>6.4710000000000001</v>
      </c>
      <c r="I445" s="8">
        <v>5.7830000000000004</v>
      </c>
      <c r="J445" s="8">
        <v>7.3049999999999997</v>
      </c>
      <c r="K445" s="8">
        <v>4.415</v>
      </c>
      <c r="L445" s="8">
        <v>6.3529999999999998</v>
      </c>
      <c r="M445" s="8">
        <v>3.1930000000000001</v>
      </c>
      <c r="N445" s="8">
        <v>4.0039999999999996</v>
      </c>
      <c r="O445" s="8">
        <v>4.3639999999999999</v>
      </c>
    </row>
    <row r="446" spans="1:15" x14ac:dyDescent="0.25">
      <c r="A446" s="5" t="s">
        <v>458</v>
      </c>
      <c r="B446" s="5">
        <v>74</v>
      </c>
      <c r="C446" s="5" t="s">
        <v>2</v>
      </c>
      <c r="D446" s="7">
        <v>312</v>
      </c>
      <c r="E446" s="8">
        <v>32.716999999999999</v>
      </c>
      <c r="F446" s="8">
        <v>6.0220000000000002</v>
      </c>
      <c r="G446" s="8">
        <v>5.9880000000000004</v>
      </c>
      <c r="H446" s="8">
        <v>6.6749999999999998</v>
      </c>
      <c r="I446" s="8">
        <v>5.1029999999999998</v>
      </c>
      <c r="J446" s="8">
        <v>5.9809999999999999</v>
      </c>
      <c r="K446" s="8">
        <v>4.1710000000000003</v>
      </c>
      <c r="L446" s="8">
        <v>6.6289999999999996</v>
      </c>
      <c r="M446" s="8">
        <v>4.5359999999999996</v>
      </c>
      <c r="N446" s="8">
        <v>4.3390000000000004</v>
      </c>
      <c r="O446" s="8">
        <v>4.3899999999999997</v>
      </c>
    </row>
    <row r="447" spans="1:15" x14ac:dyDescent="0.25">
      <c r="A447" s="5" t="s">
        <v>459</v>
      </c>
      <c r="B447" s="5">
        <v>33</v>
      </c>
      <c r="C447" s="5" t="s">
        <v>2</v>
      </c>
      <c r="D447" s="7">
        <v>460</v>
      </c>
      <c r="E447" s="8">
        <v>35.396000000000001</v>
      </c>
      <c r="F447" s="8">
        <v>8.7010000000000005</v>
      </c>
      <c r="G447" s="8">
        <v>4.9450000000000003</v>
      </c>
      <c r="H447" s="8">
        <v>7.444</v>
      </c>
      <c r="I447" s="8">
        <v>6.2949999999999999</v>
      </c>
      <c r="J447" s="8">
        <v>6.2640000000000002</v>
      </c>
      <c r="K447" s="8">
        <v>3.5019999999999998</v>
      </c>
      <c r="L447" s="8">
        <v>5.468</v>
      </c>
      <c r="M447" s="8">
        <v>3.2370000000000001</v>
      </c>
      <c r="N447" s="8">
        <v>4.7160000000000002</v>
      </c>
      <c r="O447" s="8">
        <v>4.1689999999999996</v>
      </c>
    </row>
    <row r="448" spans="1:15" x14ac:dyDescent="0.25">
      <c r="A448" s="5" t="s">
        <v>460</v>
      </c>
      <c r="B448" s="5">
        <v>73</v>
      </c>
      <c r="C448" s="5" t="s">
        <v>2</v>
      </c>
      <c r="D448" s="7">
        <v>268</v>
      </c>
      <c r="E448" s="8">
        <v>31.865000000000002</v>
      </c>
      <c r="F448" s="8">
        <v>5.17</v>
      </c>
      <c r="G448" s="8">
        <v>4.8890000000000002</v>
      </c>
      <c r="H448" s="8">
        <v>4.5810000000000004</v>
      </c>
      <c r="I448" s="8">
        <v>5.7779999999999996</v>
      </c>
      <c r="J448" s="8">
        <v>5.8319999999999999</v>
      </c>
      <c r="K448" s="8">
        <v>4.4870000000000001</v>
      </c>
      <c r="L448" s="8">
        <v>5.5389999999999997</v>
      </c>
      <c r="M448" s="8">
        <v>3.9430000000000001</v>
      </c>
      <c r="N448" s="8">
        <v>4.3639999999999999</v>
      </c>
      <c r="O448" s="8">
        <v>4.3319999999999999</v>
      </c>
    </row>
    <row r="449" spans="1:15" x14ac:dyDescent="0.25">
      <c r="A449" s="5" t="s">
        <v>461</v>
      </c>
      <c r="B449" s="5">
        <v>27</v>
      </c>
      <c r="C449" s="5" t="s">
        <v>3</v>
      </c>
      <c r="D449" s="7">
        <v>232</v>
      </c>
      <c r="E449" s="8">
        <v>31.299000000000003</v>
      </c>
      <c r="F449" s="8">
        <v>4.6040000000000001</v>
      </c>
      <c r="G449" s="8">
        <v>4.8220000000000001</v>
      </c>
      <c r="H449" s="8">
        <v>6.6710000000000003</v>
      </c>
      <c r="I449" s="8">
        <v>6.093</v>
      </c>
      <c r="J449" s="8">
        <v>6.0919999999999996</v>
      </c>
      <c r="K449" s="8">
        <v>4.6219999999999999</v>
      </c>
      <c r="L449" s="8">
        <v>5.5609999999999999</v>
      </c>
      <c r="M449" s="8">
        <v>3.431</v>
      </c>
      <c r="N449" s="8">
        <v>3.8540000000000001</v>
      </c>
      <c r="O449" s="8">
        <v>4.1559999999999997</v>
      </c>
    </row>
    <row r="450" spans="1:15" x14ac:dyDescent="0.25">
      <c r="A450" s="5" t="s">
        <v>462</v>
      </c>
      <c r="B450" s="5">
        <v>47</v>
      </c>
      <c r="C450" s="5" t="s">
        <v>2</v>
      </c>
      <c r="D450" s="7">
        <v>214</v>
      </c>
      <c r="E450" s="8">
        <v>31.201000000000004</v>
      </c>
      <c r="F450" s="8">
        <v>4.5060000000000002</v>
      </c>
      <c r="G450" s="8">
        <v>5.556</v>
      </c>
      <c r="H450" s="8">
        <v>6.86</v>
      </c>
      <c r="I450" s="8">
        <v>6.8890000000000002</v>
      </c>
      <c r="J450" s="8">
        <v>6.0119999999999996</v>
      </c>
      <c r="K450" s="8">
        <v>4.4210000000000003</v>
      </c>
      <c r="L450" s="8">
        <v>5.89</v>
      </c>
      <c r="M450" s="8">
        <v>4.133</v>
      </c>
      <c r="N450" s="8">
        <v>3.8940000000000001</v>
      </c>
      <c r="O450" s="8">
        <v>4.5359999999999996</v>
      </c>
    </row>
    <row r="451" spans="1:15" x14ac:dyDescent="0.25">
      <c r="A451" s="5" t="s">
        <v>463</v>
      </c>
      <c r="B451" s="5">
        <v>42</v>
      </c>
      <c r="C451" s="5" t="s">
        <v>3</v>
      </c>
      <c r="D451" s="7">
        <v>166</v>
      </c>
      <c r="E451" s="8">
        <v>30.323000000000004</v>
      </c>
      <c r="F451" s="8">
        <v>3.6280000000000001</v>
      </c>
      <c r="G451" s="8">
        <v>4.67</v>
      </c>
      <c r="H451" s="8">
        <v>5.2610000000000001</v>
      </c>
      <c r="I451" s="8">
        <v>6.3090000000000002</v>
      </c>
      <c r="J451" s="8">
        <v>5.1130000000000004</v>
      </c>
      <c r="K451" s="8">
        <v>4.6779999999999999</v>
      </c>
      <c r="L451" s="8">
        <v>5.6159999999999997</v>
      </c>
      <c r="M451" s="8">
        <v>4.6680000000000001</v>
      </c>
      <c r="N451" s="8">
        <v>4.274</v>
      </c>
      <c r="O451" s="8">
        <v>4.2510000000000003</v>
      </c>
    </row>
    <row r="452" spans="1:15" x14ac:dyDescent="0.25">
      <c r="A452" s="5" t="s">
        <v>464</v>
      </c>
      <c r="B452" s="5">
        <v>22</v>
      </c>
      <c r="C452" s="5" t="s">
        <v>2</v>
      </c>
      <c r="D452" s="7">
        <v>361</v>
      </c>
      <c r="E452" s="8">
        <v>33.692999999999998</v>
      </c>
      <c r="F452" s="8">
        <v>6.9980000000000002</v>
      </c>
      <c r="G452" s="8">
        <v>6.1760000000000002</v>
      </c>
      <c r="H452" s="8">
        <v>4.8890000000000002</v>
      </c>
      <c r="I452" s="8">
        <v>5.806</v>
      </c>
      <c r="J452" s="8">
        <v>5.4279999999999999</v>
      </c>
      <c r="K452" s="8">
        <v>3.734</v>
      </c>
      <c r="L452" s="8">
        <v>6.242</v>
      </c>
      <c r="M452" s="8">
        <v>4.7389999999999999</v>
      </c>
      <c r="N452" s="8">
        <v>4.1630000000000003</v>
      </c>
      <c r="O452" s="8">
        <v>3.8439999999999999</v>
      </c>
    </row>
    <row r="453" spans="1:15" x14ac:dyDescent="0.25">
      <c r="A453" s="5" t="s">
        <v>465</v>
      </c>
      <c r="B453" s="5">
        <v>82</v>
      </c>
      <c r="C453" s="5" t="s">
        <v>2</v>
      </c>
      <c r="D453" s="7">
        <v>184</v>
      </c>
      <c r="E453" s="8">
        <v>30.563000000000002</v>
      </c>
      <c r="F453" s="8">
        <v>3.8679999999999999</v>
      </c>
      <c r="G453" s="8">
        <v>3.2050000000000001</v>
      </c>
      <c r="H453" s="8">
        <v>6.0019999999999998</v>
      </c>
      <c r="I453" s="8">
        <v>5.4390000000000001</v>
      </c>
      <c r="J453" s="8">
        <v>5.7720000000000002</v>
      </c>
      <c r="K453" s="8">
        <v>4.41</v>
      </c>
      <c r="L453" s="8">
        <v>6.9859999999999998</v>
      </c>
      <c r="M453" s="8">
        <v>3.9529999999999998</v>
      </c>
      <c r="N453" s="8">
        <v>4.4050000000000002</v>
      </c>
      <c r="O453" s="8">
        <v>4.4939999999999998</v>
      </c>
    </row>
    <row r="454" spans="1:15" x14ac:dyDescent="0.25">
      <c r="A454" s="5" t="s">
        <v>466</v>
      </c>
      <c r="B454" s="5">
        <v>66</v>
      </c>
      <c r="C454" s="5" t="s">
        <v>3</v>
      </c>
      <c r="D454" s="7">
        <v>240</v>
      </c>
      <c r="E454" s="8">
        <v>31.343000000000004</v>
      </c>
      <c r="F454" s="8">
        <v>4.6479999999999997</v>
      </c>
      <c r="G454" s="8">
        <v>5.0179999999999998</v>
      </c>
      <c r="H454" s="8">
        <v>4.7210000000000001</v>
      </c>
      <c r="I454" s="8">
        <v>6.6509999999999998</v>
      </c>
      <c r="J454" s="8">
        <v>5.6890000000000001</v>
      </c>
      <c r="K454" s="8">
        <v>3.665</v>
      </c>
      <c r="L454" s="8">
        <v>6.1740000000000004</v>
      </c>
      <c r="M454" s="8">
        <v>4.5090000000000003</v>
      </c>
      <c r="N454" s="8">
        <v>4.2859999999999996</v>
      </c>
      <c r="O454" s="8">
        <v>4.2569999999999997</v>
      </c>
    </row>
    <row r="455" spans="1:15" x14ac:dyDescent="0.25">
      <c r="A455" s="5" t="s">
        <v>467</v>
      </c>
      <c r="B455" s="5">
        <v>20</v>
      </c>
      <c r="C455" s="5" t="s">
        <v>3</v>
      </c>
      <c r="D455" s="7">
        <v>337</v>
      </c>
      <c r="E455" s="8">
        <v>33.272000000000006</v>
      </c>
      <c r="F455" s="8">
        <v>6.577</v>
      </c>
      <c r="G455" s="8">
        <v>5.9630000000000001</v>
      </c>
      <c r="H455" s="8">
        <v>5.5839999999999996</v>
      </c>
      <c r="I455" s="8">
        <v>4.569</v>
      </c>
      <c r="J455" s="8">
        <v>5.55</v>
      </c>
      <c r="K455" s="8">
        <v>4.4749999999999996</v>
      </c>
      <c r="L455" s="8">
        <v>5.798</v>
      </c>
      <c r="M455" s="8">
        <v>4.3140000000000001</v>
      </c>
      <c r="N455" s="8">
        <v>4.1260000000000003</v>
      </c>
      <c r="O455" s="8">
        <v>4.4649999999999999</v>
      </c>
    </row>
    <row r="456" spans="1:15" x14ac:dyDescent="0.25">
      <c r="A456" s="5" t="s">
        <v>468</v>
      </c>
      <c r="B456" s="5">
        <v>62</v>
      </c>
      <c r="C456" s="5" t="s">
        <v>3</v>
      </c>
      <c r="D456" s="7">
        <v>260</v>
      </c>
      <c r="E456" s="8">
        <v>31.755000000000003</v>
      </c>
      <c r="F456" s="8">
        <v>5.0599999999999996</v>
      </c>
      <c r="G456" s="8">
        <v>4.9459999999999997</v>
      </c>
      <c r="H456" s="8">
        <v>5.0460000000000003</v>
      </c>
      <c r="I456" s="8">
        <v>6.8239999999999998</v>
      </c>
      <c r="J456" s="8">
        <v>5.0750000000000002</v>
      </c>
      <c r="K456" s="8">
        <v>2.964</v>
      </c>
      <c r="L456" s="8">
        <v>5.15</v>
      </c>
      <c r="M456" s="8">
        <v>4.6970000000000001</v>
      </c>
      <c r="N456" s="8">
        <v>4.3029999999999999</v>
      </c>
      <c r="O456" s="8">
        <v>3.9710000000000001</v>
      </c>
    </row>
    <row r="457" spans="1:15" x14ac:dyDescent="0.25">
      <c r="A457" s="5" t="s">
        <v>469</v>
      </c>
      <c r="B457" s="5">
        <v>31</v>
      </c>
      <c r="C457" s="5" t="s">
        <v>2</v>
      </c>
      <c r="D457" s="7">
        <v>475</v>
      </c>
      <c r="E457" s="8">
        <v>35.523000000000003</v>
      </c>
      <c r="F457" s="8">
        <v>8.8279999999999994</v>
      </c>
      <c r="G457" s="8">
        <v>5.181</v>
      </c>
      <c r="H457" s="8">
        <v>6.5890000000000004</v>
      </c>
      <c r="I457" s="8">
        <v>6.1580000000000004</v>
      </c>
      <c r="J457" s="8">
        <v>6.7610000000000001</v>
      </c>
      <c r="K457" s="8">
        <v>4.359</v>
      </c>
      <c r="L457" s="8">
        <v>5.6150000000000002</v>
      </c>
      <c r="M457" s="8">
        <v>4.0819999999999999</v>
      </c>
      <c r="N457" s="8">
        <v>4.1769999999999996</v>
      </c>
      <c r="O457" s="8">
        <v>4.391</v>
      </c>
    </row>
    <row r="458" spans="1:15" x14ac:dyDescent="0.25">
      <c r="A458" s="5" t="s">
        <v>470</v>
      </c>
      <c r="B458" s="5">
        <v>84</v>
      </c>
      <c r="C458" s="5" t="s">
        <v>3</v>
      </c>
      <c r="D458" s="7">
        <v>281</v>
      </c>
      <c r="E458" s="8">
        <v>32.299000000000007</v>
      </c>
      <c r="F458" s="8">
        <v>5.6040000000000001</v>
      </c>
      <c r="G458" s="8">
        <v>5.5640000000000001</v>
      </c>
      <c r="H458" s="8">
        <v>5.7329999999999997</v>
      </c>
      <c r="I458" s="8">
        <v>6.8869999999999996</v>
      </c>
      <c r="J458" s="8">
        <v>5.65</v>
      </c>
      <c r="K458" s="8">
        <v>4.0049999999999999</v>
      </c>
      <c r="L458" s="8">
        <v>7.2640000000000002</v>
      </c>
      <c r="M458" s="8">
        <v>3.4580000000000002</v>
      </c>
      <c r="N458" s="8">
        <v>4.3890000000000002</v>
      </c>
      <c r="O458" s="8">
        <v>4.3460000000000001</v>
      </c>
    </row>
    <row r="459" spans="1:15" x14ac:dyDescent="0.25">
      <c r="A459" s="5" t="s">
        <v>471</v>
      </c>
      <c r="B459" s="5">
        <v>35</v>
      </c>
      <c r="C459" s="5" t="s">
        <v>3</v>
      </c>
      <c r="D459" s="7">
        <v>235</v>
      </c>
      <c r="E459" s="8">
        <v>31.422000000000004</v>
      </c>
      <c r="F459" s="8">
        <v>4.7270000000000003</v>
      </c>
      <c r="G459" s="8">
        <v>5.5490000000000004</v>
      </c>
      <c r="H459" s="8">
        <v>7.2469999999999999</v>
      </c>
      <c r="I459" s="8">
        <v>6.1369999999999996</v>
      </c>
      <c r="J459" s="8">
        <v>5.3970000000000002</v>
      </c>
      <c r="K459" s="8">
        <v>3.286</v>
      </c>
      <c r="L459" s="8">
        <v>5.7240000000000002</v>
      </c>
      <c r="M459" s="8">
        <v>4.7990000000000004</v>
      </c>
      <c r="N459" s="8">
        <v>3.915</v>
      </c>
      <c r="O459" s="8">
        <v>4.7210000000000001</v>
      </c>
    </row>
    <row r="460" spans="1:15" x14ac:dyDescent="0.25">
      <c r="A460" s="5" t="s">
        <v>472</v>
      </c>
      <c r="B460" s="5">
        <v>79</v>
      </c>
      <c r="C460" s="5" t="s">
        <v>3</v>
      </c>
      <c r="D460" s="7">
        <v>313</v>
      </c>
      <c r="E460" s="8">
        <v>32.872</v>
      </c>
      <c r="F460" s="8">
        <v>6.1769999999999996</v>
      </c>
      <c r="G460" s="8">
        <v>4.43</v>
      </c>
      <c r="H460" s="8">
        <v>6.5</v>
      </c>
      <c r="I460" s="8">
        <v>5.3140000000000001</v>
      </c>
      <c r="J460" s="8">
        <v>5.6669999999999998</v>
      </c>
      <c r="K460" s="8">
        <v>4.5339999999999998</v>
      </c>
      <c r="L460" s="8">
        <v>6.1689999999999996</v>
      </c>
      <c r="M460" s="8">
        <v>4.2789999999999999</v>
      </c>
      <c r="N460" s="8">
        <v>3.915</v>
      </c>
      <c r="O460" s="8">
        <v>3.9369999999999998</v>
      </c>
    </row>
    <row r="461" spans="1:15" x14ac:dyDescent="0.25">
      <c r="A461" s="5" t="s">
        <v>473</v>
      </c>
      <c r="B461" s="5">
        <v>54</v>
      </c>
      <c r="C461" s="5" t="s">
        <v>3</v>
      </c>
      <c r="D461" s="7">
        <v>235</v>
      </c>
      <c r="E461" s="8">
        <v>31.498000000000001</v>
      </c>
      <c r="F461" s="8">
        <v>4.8029999999999999</v>
      </c>
      <c r="G461" s="8">
        <v>5.8810000000000002</v>
      </c>
      <c r="H461" s="8">
        <v>5.7009999999999996</v>
      </c>
      <c r="I461" s="8">
        <v>5.4770000000000003</v>
      </c>
      <c r="J461" s="8">
        <v>6.2329999999999997</v>
      </c>
      <c r="K461" s="8">
        <v>3.74</v>
      </c>
      <c r="L461" s="8">
        <v>6.5919999999999996</v>
      </c>
      <c r="M461" s="8">
        <v>3.9609999999999999</v>
      </c>
      <c r="N461" s="8">
        <v>4.2610000000000001</v>
      </c>
      <c r="O461" s="8">
        <v>4.4169999999999998</v>
      </c>
    </row>
    <row r="462" spans="1:15" x14ac:dyDescent="0.25">
      <c r="A462" s="5" t="s">
        <v>474</v>
      </c>
      <c r="B462" s="5">
        <v>42</v>
      </c>
      <c r="C462" s="5" t="s">
        <v>2</v>
      </c>
      <c r="D462" s="7">
        <v>266</v>
      </c>
      <c r="E462" s="8">
        <v>32.120000000000005</v>
      </c>
      <c r="F462" s="8">
        <v>5.4249999999999998</v>
      </c>
      <c r="G462" s="8">
        <v>7.0709999999999997</v>
      </c>
      <c r="H462" s="8">
        <v>6.681</v>
      </c>
      <c r="I462" s="8">
        <v>5.9829999999999997</v>
      </c>
      <c r="J462" s="8">
        <v>4.88</v>
      </c>
      <c r="K462" s="8">
        <v>5.0830000000000002</v>
      </c>
      <c r="L462" s="8">
        <v>6.1539999999999999</v>
      </c>
      <c r="M462" s="8">
        <v>3.5259999999999998</v>
      </c>
      <c r="N462" s="8">
        <v>4.5019999999999998</v>
      </c>
      <c r="O462" s="8">
        <v>3.84</v>
      </c>
    </row>
    <row r="463" spans="1:15" x14ac:dyDescent="0.25">
      <c r="A463" s="5" t="s">
        <v>475</v>
      </c>
      <c r="B463" s="5">
        <v>65</v>
      </c>
      <c r="C463" s="5" t="s">
        <v>3</v>
      </c>
      <c r="D463" s="7">
        <v>302</v>
      </c>
      <c r="E463" s="8">
        <v>32.221000000000004</v>
      </c>
      <c r="F463" s="8">
        <v>5.5259999999999998</v>
      </c>
      <c r="G463" s="8">
        <v>6.1790000000000003</v>
      </c>
      <c r="H463" s="8">
        <v>5.1950000000000003</v>
      </c>
      <c r="I463" s="8">
        <v>7.6050000000000004</v>
      </c>
      <c r="J463" s="8">
        <v>5.2649999999999997</v>
      </c>
      <c r="K463" s="8">
        <v>3.617</v>
      </c>
      <c r="L463" s="8">
        <v>5.7750000000000004</v>
      </c>
      <c r="M463" s="8">
        <v>3.1850000000000001</v>
      </c>
      <c r="N463" s="8">
        <v>4.4569999999999999</v>
      </c>
      <c r="O463" s="8">
        <v>4.2809999999999997</v>
      </c>
    </row>
    <row r="464" spans="1:15" x14ac:dyDescent="0.25">
      <c r="A464" s="5" t="s">
        <v>476</v>
      </c>
      <c r="B464" s="5">
        <v>82</v>
      </c>
      <c r="C464" s="5" t="s">
        <v>3</v>
      </c>
      <c r="D464" s="7">
        <v>402</v>
      </c>
      <c r="E464" s="8">
        <v>34.201000000000008</v>
      </c>
      <c r="F464" s="8">
        <v>7.5060000000000002</v>
      </c>
      <c r="G464" s="8">
        <v>4.8499999999999996</v>
      </c>
      <c r="H464" s="8">
        <v>5.9290000000000003</v>
      </c>
      <c r="I464" s="8">
        <v>4.8620000000000001</v>
      </c>
      <c r="J464" s="8">
        <v>6.4539999999999997</v>
      </c>
      <c r="K464" s="8">
        <v>4.7119999999999997</v>
      </c>
      <c r="L464" s="8">
        <v>5.67</v>
      </c>
      <c r="M464" s="8">
        <v>4</v>
      </c>
      <c r="N464" s="8">
        <v>3.9780000000000002</v>
      </c>
      <c r="O464" s="8">
        <v>4.6420000000000003</v>
      </c>
    </row>
    <row r="465" spans="1:15" x14ac:dyDescent="0.25">
      <c r="A465" s="5" t="s">
        <v>477</v>
      </c>
      <c r="B465" s="5">
        <v>70</v>
      </c>
      <c r="C465" s="5" t="s">
        <v>3</v>
      </c>
      <c r="D465" s="7">
        <v>208</v>
      </c>
      <c r="E465" s="8">
        <v>31.065000000000001</v>
      </c>
      <c r="F465" s="8">
        <v>4.37</v>
      </c>
      <c r="G465" s="8">
        <v>5.548</v>
      </c>
      <c r="H465" s="8">
        <v>6.4450000000000003</v>
      </c>
      <c r="I465" s="8">
        <v>5.9820000000000002</v>
      </c>
      <c r="J465" s="8">
        <v>6.2770000000000001</v>
      </c>
      <c r="K465" s="8">
        <v>4.6680000000000001</v>
      </c>
      <c r="L465" s="8">
        <v>6.4909999999999997</v>
      </c>
      <c r="M465" s="8">
        <v>3.91</v>
      </c>
      <c r="N465" s="8">
        <v>4.1520000000000001</v>
      </c>
      <c r="O465" s="8">
        <v>4.5629999999999997</v>
      </c>
    </row>
    <row r="466" spans="1:15" x14ac:dyDescent="0.25">
      <c r="A466" s="5" t="s">
        <v>478</v>
      </c>
      <c r="B466" s="5">
        <v>32</v>
      </c>
      <c r="C466" s="5" t="s">
        <v>3</v>
      </c>
      <c r="D466" s="7">
        <v>323</v>
      </c>
      <c r="E466" s="8">
        <v>32.849000000000004</v>
      </c>
      <c r="F466" s="8">
        <v>6.1539999999999999</v>
      </c>
      <c r="G466" s="8">
        <v>4.9790000000000001</v>
      </c>
      <c r="H466" s="8">
        <v>5.468</v>
      </c>
      <c r="I466" s="8">
        <v>5.742</v>
      </c>
      <c r="J466" s="8">
        <v>6.2140000000000004</v>
      </c>
      <c r="K466" s="8">
        <v>3.6190000000000002</v>
      </c>
      <c r="L466" s="8">
        <v>5.6719999999999997</v>
      </c>
      <c r="M466" s="8">
        <v>4.125</v>
      </c>
      <c r="N466" s="8">
        <v>4.1849999999999996</v>
      </c>
      <c r="O466" s="8">
        <v>4.1500000000000004</v>
      </c>
    </row>
    <row r="467" spans="1:15" x14ac:dyDescent="0.25">
      <c r="A467" s="5" t="s">
        <v>479</v>
      </c>
      <c r="B467" s="5">
        <v>66</v>
      </c>
      <c r="C467" s="5" t="s">
        <v>2</v>
      </c>
      <c r="D467" s="7">
        <v>365</v>
      </c>
      <c r="E467" s="8">
        <v>33.614000000000004</v>
      </c>
      <c r="F467" s="8">
        <v>6.9189999999999996</v>
      </c>
      <c r="G467" s="8">
        <v>5.5590000000000002</v>
      </c>
      <c r="H467" s="8">
        <v>3.8420000000000001</v>
      </c>
      <c r="I467" s="8">
        <v>7.226</v>
      </c>
      <c r="J467" s="8">
        <v>6.3929999999999998</v>
      </c>
      <c r="K467" s="8">
        <v>5.5949999999999998</v>
      </c>
      <c r="L467" s="8">
        <v>5.758</v>
      </c>
      <c r="M467" s="8">
        <v>4.3129999999999997</v>
      </c>
      <c r="N467" s="8">
        <v>4.202</v>
      </c>
      <c r="O467" s="8">
        <v>4.4180000000000001</v>
      </c>
    </row>
    <row r="468" spans="1:15" x14ac:dyDescent="0.25">
      <c r="A468" s="5" t="s">
        <v>480</v>
      </c>
      <c r="B468" s="5">
        <v>79</v>
      </c>
      <c r="C468" s="5" t="s">
        <v>3</v>
      </c>
      <c r="D468" s="7">
        <v>231</v>
      </c>
      <c r="E468" s="8">
        <v>31.369000000000003</v>
      </c>
      <c r="F468" s="8">
        <v>4.6740000000000004</v>
      </c>
      <c r="G468" s="8">
        <v>7.2089999999999996</v>
      </c>
      <c r="H468" s="8">
        <v>5.742</v>
      </c>
      <c r="I468" s="8">
        <v>6.7990000000000004</v>
      </c>
      <c r="J468" s="8">
        <v>4.181</v>
      </c>
      <c r="K468" s="8">
        <v>4.9820000000000002</v>
      </c>
      <c r="L468" s="8">
        <v>5.8380000000000001</v>
      </c>
      <c r="M468" s="8">
        <v>4.1260000000000003</v>
      </c>
      <c r="N468" s="8">
        <v>4.53</v>
      </c>
      <c r="O468" s="8">
        <v>3.8959999999999999</v>
      </c>
    </row>
    <row r="469" spans="1:15" x14ac:dyDescent="0.25">
      <c r="A469" s="5" t="s">
        <v>481</v>
      </c>
      <c r="B469" s="5">
        <v>29</v>
      </c>
      <c r="C469" s="5" t="s">
        <v>2</v>
      </c>
      <c r="D469" s="7">
        <v>291</v>
      </c>
      <c r="E469" s="8">
        <v>32.248000000000005</v>
      </c>
      <c r="F469" s="8">
        <v>5.5529999999999999</v>
      </c>
      <c r="G469" s="8">
        <v>4.9649999999999999</v>
      </c>
      <c r="H469" s="8">
        <v>5.7039999999999997</v>
      </c>
      <c r="I469" s="8">
        <v>5.7679999999999998</v>
      </c>
      <c r="J469" s="8">
        <v>6.0860000000000003</v>
      </c>
      <c r="K469" s="8">
        <v>3.931</v>
      </c>
      <c r="L469" s="8">
        <v>6.7229999999999999</v>
      </c>
      <c r="M469" s="8">
        <v>4.04</v>
      </c>
      <c r="N469" s="8">
        <v>4.5990000000000002</v>
      </c>
      <c r="O469" s="8">
        <v>4.3719999999999999</v>
      </c>
    </row>
    <row r="470" spans="1:15" x14ac:dyDescent="0.25">
      <c r="A470" s="5" t="s">
        <v>482</v>
      </c>
      <c r="B470" s="5">
        <v>76</v>
      </c>
      <c r="C470" s="5" t="s">
        <v>3</v>
      </c>
      <c r="D470" s="7">
        <v>238</v>
      </c>
      <c r="E470" s="8">
        <v>31.339000000000002</v>
      </c>
      <c r="F470" s="8">
        <v>4.6440000000000001</v>
      </c>
      <c r="G470" s="8">
        <v>6.2910000000000004</v>
      </c>
      <c r="H470" s="8">
        <v>5.9390000000000001</v>
      </c>
      <c r="I470" s="8">
        <v>5.5330000000000004</v>
      </c>
      <c r="J470" s="8">
        <v>6.7130000000000001</v>
      </c>
      <c r="K470" s="8">
        <v>3.6139999999999999</v>
      </c>
      <c r="L470" s="8">
        <v>6.3659999999999997</v>
      </c>
      <c r="M470" s="8">
        <v>4.4569999999999999</v>
      </c>
      <c r="N470" s="8">
        <v>4.0599999999999996</v>
      </c>
      <c r="O470" s="8">
        <v>3.9630000000000001</v>
      </c>
    </row>
    <row r="471" spans="1:15" x14ac:dyDescent="0.25">
      <c r="A471" s="5" t="s">
        <v>483</v>
      </c>
      <c r="B471" s="5">
        <v>54</v>
      </c>
      <c r="C471" s="5" t="s">
        <v>3</v>
      </c>
      <c r="D471" s="7">
        <v>382</v>
      </c>
      <c r="E471" s="8">
        <v>33.963000000000001</v>
      </c>
      <c r="F471" s="8">
        <v>7.2679999999999998</v>
      </c>
      <c r="G471" s="8">
        <v>4.5049999999999999</v>
      </c>
      <c r="H471" s="8">
        <v>4.6559999999999997</v>
      </c>
      <c r="I471" s="8">
        <v>4.2149999999999999</v>
      </c>
      <c r="J471" s="8">
        <v>5.1059999999999999</v>
      </c>
      <c r="K471" s="8">
        <v>3.32</v>
      </c>
      <c r="L471" s="8">
        <v>5.4980000000000002</v>
      </c>
      <c r="M471" s="8">
        <v>3.8319999999999999</v>
      </c>
      <c r="N471" s="8">
        <v>4.0880000000000001</v>
      </c>
      <c r="O471" s="8">
        <v>4.702</v>
      </c>
    </row>
    <row r="472" spans="1:15" x14ac:dyDescent="0.25">
      <c r="A472" s="5" t="s">
        <v>484</v>
      </c>
      <c r="B472" s="5">
        <v>78</v>
      </c>
      <c r="C472" s="5" t="s">
        <v>2</v>
      </c>
      <c r="D472" s="7">
        <v>225</v>
      </c>
      <c r="E472" s="8">
        <v>31.328000000000003</v>
      </c>
      <c r="F472" s="8">
        <v>5.6829999999999998</v>
      </c>
      <c r="G472" s="8">
        <v>5.7050000000000001</v>
      </c>
      <c r="H472" s="8">
        <v>5.1340000000000003</v>
      </c>
      <c r="I472" s="8">
        <v>5.0830000000000002</v>
      </c>
      <c r="J472" s="8">
        <v>5.5110000000000001</v>
      </c>
      <c r="K472" s="8">
        <v>4.9370000000000003</v>
      </c>
      <c r="L472" s="8">
        <v>5.7130000000000001</v>
      </c>
      <c r="M472" s="8">
        <v>4.5170000000000003</v>
      </c>
      <c r="N472" s="8">
        <v>4.117</v>
      </c>
      <c r="O472" s="8">
        <v>4.4370000000000003</v>
      </c>
    </row>
    <row r="473" spans="1:15" x14ac:dyDescent="0.25">
      <c r="A473" s="5" t="s">
        <v>485</v>
      </c>
      <c r="B473" s="5">
        <v>60</v>
      </c>
      <c r="C473" s="5" t="s">
        <v>3</v>
      </c>
      <c r="D473" s="7">
        <v>305</v>
      </c>
      <c r="E473" s="8">
        <v>32.626000000000005</v>
      </c>
      <c r="F473" s="8">
        <v>5.931</v>
      </c>
      <c r="G473" s="8">
        <v>4.9729999999999999</v>
      </c>
      <c r="H473" s="8">
        <v>4.3719999999999999</v>
      </c>
      <c r="I473" s="8">
        <v>5.61</v>
      </c>
      <c r="J473" s="8">
        <v>5.91</v>
      </c>
      <c r="K473" s="8">
        <v>3.4550000000000001</v>
      </c>
      <c r="L473" s="8">
        <v>6.4370000000000003</v>
      </c>
      <c r="M473" s="8">
        <v>4.8929999999999998</v>
      </c>
      <c r="N473" s="8">
        <v>3.9460000000000002</v>
      </c>
      <c r="O473" s="8">
        <v>4.3739999999999997</v>
      </c>
    </row>
    <row r="474" spans="1:15" x14ac:dyDescent="0.25">
      <c r="A474" s="5" t="s">
        <v>486</v>
      </c>
      <c r="B474" s="5">
        <v>56</v>
      </c>
      <c r="C474" s="5" t="s">
        <v>2</v>
      </c>
      <c r="D474" s="7">
        <v>247</v>
      </c>
      <c r="E474" s="8">
        <v>31.966000000000001</v>
      </c>
      <c r="F474" s="8">
        <v>5.2709999999999999</v>
      </c>
      <c r="G474" s="8">
        <v>5.9480000000000004</v>
      </c>
      <c r="H474" s="8">
        <v>6.2679999999999998</v>
      </c>
      <c r="I474" s="8">
        <v>6.0659999999999998</v>
      </c>
      <c r="J474" s="8">
        <v>5.5170000000000003</v>
      </c>
      <c r="K474" s="8">
        <v>5.3550000000000004</v>
      </c>
      <c r="L474" s="8">
        <v>6.431</v>
      </c>
      <c r="M474" s="8">
        <v>4.2060000000000004</v>
      </c>
      <c r="N474" s="8">
        <v>4.5339999999999998</v>
      </c>
      <c r="O474" s="8">
        <v>4.2469999999999999</v>
      </c>
    </row>
    <row r="475" spans="1:15" x14ac:dyDescent="0.25">
      <c r="A475" s="5" t="s">
        <v>487</v>
      </c>
      <c r="B475" s="5">
        <v>73</v>
      </c>
      <c r="C475" s="5" t="s">
        <v>2</v>
      </c>
      <c r="D475" s="7">
        <v>291</v>
      </c>
      <c r="E475" s="8">
        <v>32.588999999999999</v>
      </c>
      <c r="F475" s="8">
        <v>5.8940000000000001</v>
      </c>
      <c r="G475" s="8">
        <v>6.093</v>
      </c>
      <c r="H475" s="8">
        <v>6.3440000000000003</v>
      </c>
      <c r="I475" s="8">
        <v>6.6580000000000004</v>
      </c>
      <c r="J475" s="8">
        <v>6.1390000000000002</v>
      </c>
      <c r="K475" s="8">
        <v>3.9380000000000002</v>
      </c>
      <c r="L475" s="8">
        <v>4.8899999999999997</v>
      </c>
      <c r="M475" s="8">
        <v>4.5359999999999996</v>
      </c>
      <c r="N475" s="8">
        <v>4.1219999999999999</v>
      </c>
      <c r="O475" s="8">
        <v>4.6079999999999997</v>
      </c>
    </row>
    <row r="476" spans="1:15" x14ac:dyDescent="0.25">
      <c r="A476" s="5" t="s">
        <v>488</v>
      </c>
      <c r="B476" s="5">
        <v>80</v>
      </c>
      <c r="C476" s="5" t="s">
        <v>3</v>
      </c>
      <c r="D476" s="7">
        <v>263</v>
      </c>
      <c r="E476" s="8">
        <v>31.669000000000004</v>
      </c>
      <c r="F476" s="8">
        <v>4.9740000000000002</v>
      </c>
      <c r="G476" s="8">
        <v>5.8769999999999998</v>
      </c>
      <c r="H476" s="8">
        <v>5.0999999999999996</v>
      </c>
      <c r="I476" s="8">
        <v>5.3280000000000003</v>
      </c>
      <c r="J476" s="8">
        <v>4.24</v>
      </c>
      <c r="K476" s="8">
        <v>4.6029999999999998</v>
      </c>
      <c r="L476" s="8">
        <v>6.4969999999999999</v>
      </c>
      <c r="M476" s="8">
        <v>3.903</v>
      </c>
      <c r="N476" s="8">
        <v>4.367</v>
      </c>
      <c r="O476" s="8">
        <v>4.3639999999999999</v>
      </c>
    </row>
    <row r="477" spans="1:15" x14ac:dyDescent="0.25">
      <c r="A477" s="5" t="s">
        <v>489</v>
      </c>
      <c r="B477" s="5">
        <v>63</v>
      </c>
      <c r="C477" s="5" t="s">
        <v>2</v>
      </c>
      <c r="D477" s="7">
        <v>151</v>
      </c>
      <c r="E477" s="8">
        <v>29.748000000000001</v>
      </c>
      <c r="F477" s="8">
        <v>3.0529999999999999</v>
      </c>
      <c r="G477" s="8">
        <v>5.359</v>
      </c>
      <c r="H477" s="8">
        <v>6.2169999999999996</v>
      </c>
      <c r="I477" s="8">
        <v>7.6630000000000003</v>
      </c>
      <c r="J477" s="8">
        <v>4.6890000000000001</v>
      </c>
      <c r="K477" s="8">
        <v>4.8239999999999998</v>
      </c>
      <c r="L477" s="8">
        <v>6.1580000000000004</v>
      </c>
      <c r="M477" s="8">
        <v>4.3179999999999996</v>
      </c>
      <c r="N477" s="8">
        <v>4.5250000000000004</v>
      </c>
      <c r="O477" s="8">
        <v>3.9340000000000002</v>
      </c>
    </row>
    <row r="478" spans="1:15" x14ac:dyDescent="0.25">
      <c r="A478" s="5" t="s">
        <v>490</v>
      </c>
      <c r="B478" s="5">
        <v>28</v>
      </c>
      <c r="C478" s="5" t="s">
        <v>2</v>
      </c>
      <c r="D478" s="7">
        <v>289</v>
      </c>
      <c r="E478" s="8">
        <v>32.35</v>
      </c>
      <c r="F478" s="8">
        <v>5.6550000000000002</v>
      </c>
      <c r="G478" s="8">
        <v>4.4770000000000003</v>
      </c>
      <c r="H478" s="8">
        <v>4.9740000000000002</v>
      </c>
      <c r="I478" s="8">
        <v>6.3620000000000001</v>
      </c>
      <c r="J478" s="8">
        <v>6.13</v>
      </c>
      <c r="K478" s="8">
        <v>3.2730000000000001</v>
      </c>
      <c r="L478" s="8">
        <v>5.9560000000000004</v>
      </c>
      <c r="M478" s="8">
        <v>4.016</v>
      </c>
      <c r="N478" s="8">
        <v>4.226</v>
      </c>
      <c r="O478" s="8">
        <v>4.2450000000000001</v>
      </c>
    </row>
    <row r="479" spans="1:15" x14ac:dyDescent="0.25">
      <c r="A479" s="5" t="s">
        <v>491</v>
      </c>
      <c r="B479" s="5">
        <v>79</v>
      </c>
      <c r="C479" s="5" t="s">
        <v>2</v>
      </c>
      <c r="D479" s="7">
        <v>238</v>
      </c>
      <c r="E479" s="8">
        <v>31.361000000000004</v>
      </c>
      <c r="F479" s="8">
        <v>4.6660000000000004</v>
      </c>
      <c r="G479" s="8">
        <v>3.0910000000000002</v>
      </c>
      <c r="H479" s="8">
        <v>3.698</v>
      </c>
      <c r="I479" s="8">
        <v>7.0250000000000004</v>
      </c>
      <c r="J479" s="8">
        <v>6.74</v>
      </c>
      <c r="K479" s="8">
        <v>4.0679999999999996</v>
      </c>
      <c r="L479" s="8">
        <v>6.407</v>
      </c>
      <c r="M479" s="8">
        <v>4.1440000000000001</v>
      </c>
      <c r="N479" s="8">
        <v>4.5789999999999997</v>
      </c>
      <c r="O479" s="8">
        <v>4.2990000000000004</v>
      </c>
    </row>
    <row r="480" spans="1:15" x14ac:dyDescent="0.25">
      <c r="A480" s="5" t="s">
        <v>492</v>
      </c>
      <c r="B480" s="5">
        <v>42</v>
      </c>
      <c r="C480" s="5" t="s">
        <v>2</v>
      </c>
      <c r="D480" s="7">
        <v>289</v>
      </c>
      <c r="E480" s="8">
        <v>32.273000000000003</v>
      </c>
      <c r="F480" s="8">
        <v>5.5780000000000003</v>
      </c>
      <c r="G480" s="8">
        <v>5.0410000000000004</v>
      </c>
      <c r="H480" s="8">
        <v>4.6580000000000004</v>
      </c>
      <c r="I480" s="8">
        <v>8.234</v>
      </c>
      <c r="J480" s="8">
        <v>6.7969999999999997</v>
      </c>
      <c r="K480" s="8">
        <v>4.2939999999999996</v>
      </c>
      <c r="L480" s="8">
        <v>5.0439999999999996</v>
      </c>
      <c r="M480" s="8">
        <v>3.9849999999999999</v>
      </c>
      <c r="N480" s="8">
        <v>4.1849999999999996</v>
      </c>
      <c r="O480" s="8">
        <v>4.1840000000000002</v>
      </c>
    </row>
    <row r="481" spans="1:15" x14ac:dyDescent="0.25">
      <c r="A481" s="5" t="s">
        <v>493</v>
      </c>
      <c r="B481" s="5">
        <v>69</v>
      </c>
      <c r="C481" s="5" t="s">
        <v>2</v>
      </c>
      <c r="D481" s="7">
        <v>389</v>
      </c>
      <c r="E481" s="8">
        <v>33.508000000000003</v>
      </c>
      <c r="F481" s="8">
        <v>6.8129999999999997</v>
      </c>
      <c r="G481" s="8">
        <v>4.1379999999999999</v>
      </c>
      <c r="H481" s="8">
        <v>6.8540000000000001</v>
      </c>
      <c r="I481" s="8">
        <v>5.7990000000000004</v>
      </c>
      <c r="J481" s="8">
        <v>6.7720000000000002</v>
      </c>
      <c r="K481" s="8">
        <v>3.7709999999999999</v>
      </c>
      <c r="L481" s="8">
        <v>5.7530000000000001</v>
      </c>
      <c r="M481" s="8">
        <v>4.4829999999999997</v>
      </c>
      <c r="N481" s="8">
        <v>4.6609999999999996</v>
      </c>
      <c r="O481" s="8">
        <v>4.2690000000000001</v>
      </c>
    </row>
    <row r="482" spans="1:15" x14ac:dyDescent="0.25">
      <c r="A482" s="5" t="s">
        <v>494</v>
      </c>
      <c r="B482" s="5">
        <v>21</v>
      </c>
      <c r="C482" s="5" t="s">
        <v>2</v>
      </c>
      <c r="D482" s="7">
        <v>284</v>
      </c>
      <c r="E482" s="8">
        <v>32.06</v>
      </c>
      <c r="F482" s="8">
        <v>5.3650000000000002</v>
      </c>
      <c r="G482" s="8">
        <v>6.3019999999999996</v>
      </c>
      <c r="H482" s="8">
        <v>6.5629999999999997</v>
      </c>
      <c r="I482" s="8">
        <v>5.9740000000000002</v>
      </c>
      <c r="J482" s="8">
        <v>5.2290000000000001</v>
      </c>
      <c r="K482" s="8">
        <v>2.7839999999999998</v>
      </c>
      <c r="L482" s="8">
        <v>5.3250000000000002</v>
      </c>
      <c r="M482" s="8">
        <v>4.0389999999999997</v>
      </c>
      <c r="N482" s="8">
        <v>4.5090000000000003</v>
      </c>
      <c r="O482" s="8">
        <v>4.2069999999999999</v>
      </c>
    </row>
    <row r="483" spans="1:15" x14ac:dyDescent="0.25">
      <c r="A483" s="5" t="s">
        <v>495</v>
      </c>
      <c r="B483" s="5">
        <v>76</v>
      </c>
      <c r="C483" s="5" t="s">
        <v>2</v>
      </c>
      <c r="D483" s="7">
        <v>197</v>
      </c>
      <c r="E483" s="8">
        <v>30.785000000000004</v>
      </c>
      <c r="F483" s="8">
        <v>4.09</v>
      </c>
      <c r="G483" s="8">
        <v>5.7930000000000001</v>
      </c>
      <c r="H483" s="8">
        <v>5.2160000000000002</v>
      </c>
      <c r="I483" s="8">
        <v>6.0069999999999997</v>
      </c>
      <c r="J483" s="8">
        <v>4.819</v>
      </c>
      <c r="K483" s="8">
        <v>3.504</v>
      </c>
      <c r="L483" s="8">
        <v>6.1840000000000002</v>
      </c>
      <c r="M483" s="8">
        <v>4.1239999999999997</v>
      </c>
      <c r="N483" s="8">
        <v>4.6040000000000001</v>
      </c>
      <c r="O483" s="8">
        <v>4.5679999999999996</v>
      </c>
    </row>
    <row r="484" spans="1:15" x14ac:dyDescent="0.25">
      <c r="A484" s="5" t="s">
        <v>496</v>
      </c>
      <c r="B484" s="5">
        <v>37</v>
      </c>
      <c r="C484" s="5" t="s">
        <v>2</v>
      </c>
      <c r="D484" s="7">
        <v>263</v>
      </c>
      <c r="E484" s="8">
        <v>32.032000000000004</v>
      </c>
      <c r="F484" s="8">
        <v>5.3369999999999997</v>
      </c>
      <c r="G484" s="8">
        <v>5.2210000000000001</v>
      </c>
      <c r="H484" s="8">
        <v>7.0579999999999998</v>
      </c>
      <c r="I484" s="8">
        <v>5.5890000000000004</v>
      </c>
      <c r="J484" s="8">
        <v>5.0259999999999998</v>
      </c>
      <c r="K484" s="8">
        <v>4.8710000000000004</v>
      </c>
      <c r="L484" s="8">
        <v>5.899</v>
      </c>
      <c r="M484" s="8">
        <v>4.399</v>
      </c>
      <c r="N484" s="8">
        <v>4.1680000000000001</v>
      </c>
      <c r="O484" s="8">
        <v>4.7080000000000002</v>
      </c>
    </row>
    <row r="485" spans="1:15" x14ac:dyDescent="0.25">
      <c r="A485" s="5" t="s">
        <v>497</v>
      </c>
      <c r="B485" s="5">
        <v>80</v>
      </c>
      <c r="C485" s="5" t="s">
        <v>3</v>
      </c>
      <c r="D485" s="7">
        <v>392</v>
      </c>
      <c r="E485" s="8">
        <v>34.305000000000007</v>
      </c>
      <c r="F485" s="8">
        <v>7.61</v>
      </c>
      <c r="G485" s="8">
        <v>5.9029999999999996</v>
      </c>
      <c r="H485" s="8">
        <v>6.5330000000000004</v>
      </c>
      <c r="I485" s="8">
        <v>5.2169999999999996</v>
      </c>
      <c r="J485" s="8">
        <v>5.9290000000000003</v>
      </c>
      <c r="K485" s="8">
        <v>2.8250000000000002</v>
      </c>
      <c r="L485" s="8">
        <v>5.9729999999999999</v>
      </c>
      <c r="M485" s="8">
        <v>3.66</v>
      </c>
      <c r="N485" s="8">
        <v>4.423</v>
      </c>
      <c r="O485" s="8">
        <v>4.734</v>
      </c>
    </row>
    <row r="486" spans="1:15" x14ac:dyDescent="0.25">
      <c r="A486" s="5" t="s">
        <v>498</v>
      </c>
      <c r="B486" s="5">
        <v>71</v>
      </c>
      <c r="C486" s="5" t="s">
        <v>3</v>
      </c>
      <c r="D486" s="7">
        <v>371</v>
      </c>
      <c r="E486" s="8">
        <v>33.658000000000001</v>
      </c>
      <c r="F486" s="8">
        <v>6.9630000000000001</v>
      </c>
      <c r="G486" s="8">
        <v>5.5339999999999998</v>
      </c>
      <c r="H486" s="8">
        <v>5.4669999999999996</v>
      </c>
      <c r="I486" s="8">
        <v>5.6139999999999999</v>
      </c>
      <c r="J486" s="8">
        <v>6.2510000000000003</v>
      </c>
      <c r="K486" s="8">
        <v>3.0009999999999999</v>
      </c>
      <c r="L486" s="8">
        <v>5.5810000000000004</v>
      </c>
      <c r="M486" s="8">
        <v>4.1550000000000002</v>
      </c>
      <c r="N486" s="8">
        <v>4.7240000000000002</v>
      </c>
      <c r="O486" s="8">
        <v>4.194</v>
      </c>
    </row>
    <row r="487" spans="1:15" x14ac:dyDescent="0.25">
      <c r="A487" s="5" t="s">
        <v>499</v>
      </c>
      <c r="B487" s="5">
        <v>74</v>
      </c>
      <c r="C487" s="5" t="s">
        <v>2</v>
      </c>
      <c r="D487" s="7">
        <v>329</v>
      </c>
      <c r="E487" s="8">
        <v>33.109000000000002</v>
      </c>
      <c r="F487" s="8">
        <v>6.4139999999999997</v>
      </c>
      <c r="G487" s="8">
        <v>3.66</v>
      </c>
      <c r="H487" s="8">
        <v>5.6289999999999996</v>
      </c>
      <c r="I487" s="8">
        <v>6.5309999999999997</v>
      </c>
      <c r="J487" s="8">
        <v>5.92</v>
      </c>
      <c r="K487" s="8">
        <v>4.2389999999999999</v>
      </c>
      <c r="L487" s="8">
        <v>6.3860000000000001</v>
      </c>
      <c r="M487" s="8">
        <v>4.74</v>
      </c>
      <c r="N487" s="8">
        <v>4.4329999999999998</v>
      </c>
      <c r="O487" s="8">
        <v>4.577</v>
      </c>
    </row>
    <row r="488" spans="1:15" x14ac:dyDescent="0.25">
      <c r="A488" s="5" t="s">
        <v>500</v>
      </c>
      <c r="B488" s="5">
        <v>58</v>
      </c>
      <c r="C488" s="5" t="s">
        <v>3</v>
      </c>
      <c r="D488" s="7">
        <v>359</v>
      </c>
      <c r="E488" s="8">
        <v>33.707000000000008</v>
      </c>
      <c r="F488" s="8">
        <v>7.0119999999999996</v>
      </c>
      <c r="G488" s="8">
        <v>5.085</v>
      </c>
      <c r="H488" s="8">
        <v>6.09</v>
      </c>
      <c r="I488" s="8">
        <v>6.3609999999999998</v>
      </c>
      <c r="J488" s="8">
        <v>6.44</v>
      </c>
      <c r="K488" s="8">
        <v>4.0449999999999999</v>
      </c>
      <c r="L488" s="8">
        <v>5.3010000000000002</v>
      </c>
      <c r="M488" s="8">
        <v>4.3600000000000003</v>
      </c>
      <c r="N488" s="8">
        <v>4.8760000000000003</v>
      </c>
      <c r="O488" s="8">
        <v>4.46</v>
      </c>
    </row>
    <row r="489" spans="1:15" x14ac:dyDescent="0.25">
      <c r="A489" s="5" t="s">
        <v>501</v>
      </c>
      <c r="B489" s="5">
        <v>20</v>
      </c>
      <c r="C489" s="5" t="s">
        <v>2</v>
      </c>
      <c r="D489" s="7">
        <v>249</v>
      </c>
      <c r="E489" s="8">
        <v>31.741000000000003</v>
      </c>
      <c r="F489" s="8">
        <v>5.0460000000000003</v>
      </c>
      <c r="G489" s="8">
        <v>4.4530000000000003</v>
      </c>
      <c r="H489" s="8">
        <v>4.4649999999999999</v>
      </c>
      <c r="I489" s="8">
        <v>6.5250000000000004</v>
      </c>
      <c r="J489" s="8">
        <v>5.5309999999999997</v>
      </c>
      <c r="K489" s="8">
        <v>4.0170000000000003</v>
      </c>
      <c r="L489" s="8">
        <v>5.6520000000000001</v>
      </c>
      <c r="M489" s="8">
        <v>3.903</v>
      </c>
      <c r="N489" s="8">
        <v>4.4279999999999999</v>
      </c>
      <c r="O489" s="8">
        <v>4.4859999999999998</v>
      </c>
    </row>
    <row r="490" spans="1:15" x14ac:dyDescent="0.25">
      <c r="A490" s="5" t="s">
        <v>502</v>
      </c>
      <c r="B490" s="5">
        <v>23</v>
      </c>
      <c r="C490" s="5" t="s">
        <v>2</v>
      </c>
      <c r="D490" s="7">
        <v>204</v>
      </c>
      <c r="E490" s="8">
        <v>31.056000000000001</v>
      </c>
      <c r="F490" s="8">
        <v>4.3609999999999998</v>
      </c>
      <c r="G490" s="8">
        <v>4.8319999999999999</v>
      </c>
      <c r="H490" s="8">
        <v>5.1520000000000001</v>
      </c>
      <c r="I490" s="8">
        <v>6.0140000000000002</v>
      </c>
      <c r="J490" s="8">
        <v>6.4489999999999998</v>
      </c>
      <c r="K490" s="8">
        <v>3.7690000000000001</v>
      </c>
      <c r="L490" s="8">
        <v>6.1479999999999997</v>
      </c>
      <c r="M490" s="8">
        <v>4.556</v>
      </c>
      <c r="N490" s="8">
        <v>3.9980000000000002</v>
      </c>
      <c r="O490" s="8">
        <v>4.3760000000000003</v>
      </c>
    </row>
    <row r="491" spans="1:15" x14ac:dyDescent="0.25">
      <c r="A491" s="5" t="s">
        <v>503</v>
      </c>
      <c r="B491" s="5">
        <v>22</v>
      </c>
      <c r="C491" s="5" t="s">
        <v>3</v>
      </c>
      <c r="D491" s="7">
        <v>256</v>
      </c>
      <c r="E491" s="8">
        <v>31.490000000000002</v>
      </c>
      <c r="F491" s="8">
        <v>4.7949999999999999</v>
      </c>
      <c r="G491" s="8">
        <v>3.6549999999999998</v>
      </c>
      <c r="H491" s="8">
        <v>4.976</v>
      </c>
      <c r="I491" s="8">
        <v>5.2750000000000004</v>
      </c>
      <c r="J491" s="8">
        <v>4.8449999999999998</v>
      </c>
      <c r="K491" s="8">
        <v>4.1870000000000003</v>
      </c>
      <c r="L491" s="8">
        <v>6.4029999999999996</v>
      </c>
      <c r="M491" s="8">
        <v>4.9569999999999999</v>
      </c>
      <c r="N491" s="8">
        <v>4.2160000000000002</v>
      </c>
      <c r="O491" s="8">
        <v>4.7640000000000002</v>
      </c>
    </row>
    <row r="492" spans="1:15" x14ac:dyDescent="0.25">
      <c r="A492" s="5" t="s">
        <v>504</v>
      </c>
      <c r="B492" s="5">
        <v>22</v>
      </c>
      <c r="C492" s="5" t="s">
        <v>2</v>
      </c>
      <c r="D492" s="7">
        <v>270</v>
      </c>
      <c r="E492" s="8">
        <v>31.864000000000004</v>
      </c>
      <c r="F492" s="8">
        <v>5.1689999999999996</v>
      </c>
      <c r="G492" s="8">
        <v>5.73</v>
      </c>
      <c r="H492" s="8">
        <v>4.9640000000000004</v>
      </c>
      <c r="I492" s="8">
        <v>6.0990000000000002</v>
      </c>
      <c r="J492" s="8">
        <v>4.8890000000000002</v>
      </c>
      <c r="K492" s="8">
        <v>4.5229999999999997</v>
      </c>
      <c r="L492" s="8">
        <v>6.0279999999999996</v>
      </c>
      <c r="M492" s="8">
        <v>4.7770000000000001</v>
      </c>
      <c r="N492" s="8">
        <v>3.754</v>
      </c>
      <c r="O492" s="8">
        <v>4.03</v>
      </c>
    </row>
    <row r="493" spans="1:15" x14ac:dyDescent="0.25">
      <c r="A493" s="5" t="s">
        <v>505</v>
      </c>
      <c r="B493" s="5">
        <v>71</v>
      </c>
      <c r="C493" s="5" t="s">
        <v>2</v>
      </c>
      <c r="D493" s="7">
        <v>191</v>
      </c>
      <c r="E493" s="8">
        <v>30.674000000000003</v>
      </c>
      <c r="F493" s="8">
        <v>3.9790000000000001</v>
      </c>
      <c r="G493" s="8">
        <v>5.4930000000000003</v>
      </c>
      <c r="H493" s="8">
        <v>6.1420000000000003</v>
      </c>
      <c r="I493" s="8">
        <v>5.681</v>
      </c>
      <c r="J493" s="8">
        <v>5.6340000000000003</v>
      </c>
      <c r="K493" s="8">
        <v>3.6509999999999998</v>
      </c>
      <c r="L493" s="8">
        <v>6.2869999999999999</v>
      </c>
      <c r="M493" s="8">
        <v>4.62</v>
      </c>
      <c r="N493" s="8">
        <v>4.5609999999999999</v>
      </c>
      <c r="O493" s="8">
        <v>4.5860000000000003</v>
      </c>
    </row>
    <row r="494" spans="1:15" x14ac:dyDescent="0.25">
      <c r="A494" s="5" t="s">
        <v>506</v>
      </c>
      <c r="B494" s="5">
        <v>64</v>
      </c>
      <c r="C494" s="5" t="s">
        <v>2</v>
      </c>
      <c r="D494" s="7">
        <v>305</v>
      </c>
      <c r="E494" s="8">
        <v>32.36</v>
      </c>
      <c r="F494" s="8">
        <v>5.665</v>
      </c>
      <c r="G494" s="8">
        <v>5.6470000000000002</v>
      </c>
      <c r="H494" s="8">
        <v>5.8360000000000003</v>
      </c>
      <c r="I494" s="8">
        <v>5.524</v>
      </c>
      <c r="J494" s="8">
        <v>5.9470000000000001</v>
      </c>
      <c r="K494" s="8">
        <v>4.8719999999999999</v>
      </c>
      <c r="L494" s="8">
        <v>5.4669999999999996</v>
      </c>
      <c r="M494" s="8">
        <v>3.9380000000000002</v>
      </c>
      <c r="N494" s="8">
        <v>4.0179999999999998</v>
      </c>
      <c r="O494" s="8">
        <v>4.3479999999999999</v>
      </c>
    </row>
    <row r="495" spans="1:15" x14ac:dyDescent="0.25">
      <c r="A495" s="5" t="s">
        <v>507</v>
      </c>
      <c r="B495" s="5">
        <v>66</v>
      </c>
      <c r="C495" s="5" t="s">
        <v>2</v>
      </c>
      <c r="D495" s="7">
        <v>253</v>
      </c>
      <c r="E495" s="8">
        <v>31.707000000000004</v>
      </c>
      <c r="F495" s="8">
        <v>5.0119999999999996</v>
      </c>
      <c r="G495" s="8">
        <v>5.234</v>
      </c>
      <c r="H495" s="8">
        <v>5.391</v>
      </c>
      <c r="I495" s="8">
        <v>6.524</v>
      </c>
      <c r="J495" s="8">
        <v>7.9429999999999996</v>
      </c>
      <c r="K495" s="8">
        <v>3.867</v>
      </c>
      <c r="L495" s="8">
        <v>5.2869999999999999</v>
      </c>
      <c r="M495" s="8">
        <v>4.0069999999999997</v>
      </c>
      <c r="N495" s="8">
        <v>4.4359999999999999</v>
      </c>
      <c r="O495" s="8">
        <v>4.625</v>
      </c>
    </row>
    <row r="496" spans="1:15" x14ac:dyDescent="0.25">
      <c r="A496" s="5" t="s">
        <v>508</v>
      </c>
      <c r="B496" s="5">
        <v>26</v>
      </c>
      <c r="C496" s="5" t="s">
        <v>3</v>
      </c>
      <c r="D496" s="7">
        <v>309</v>
      </c>
      <c r="E496" s="8">
        <v>32.782000000000004</v>
      </c>
      <c r="F496" s="8">
        <v>6.0869999999999997</v>
      </c>
      <c r="G496" s="8">
        <v>6.968</v>
      </c>
      <c r="H496" s="8">
        <v>6.0540000000000003</v>
      </c>
      <c r="I496" s="8">
        <v>5.782</v>
      </c>
      <c r="J496" s="8">
        <v>5.5170000000000003</v>
      </c>
      <c r="K496" s="8">
        <v>4.0229999999999997</v>
      </c>
      <c r="L496" s="8">
        <v>5.4160000000000004</v>
      </c>
      <c r="M496" s="8">
        <v>4.2300000000000004</v>
      </c>
      <c r="N496" s="8">
        <v>4.1219999999999999</v>
      </c>
      <c r="O496" s="8">
        <v>4.1929999999999996</v>
      </c>
    </row>
    <row r="497" spans="1:15" x14ac:dyDescent="0.25">
      <c r="A497" s="5" t="s">
        <v>509</v>
      </c>
      <c r="B497" s="5">
        <v>37</v>
      </c>
      <c r="C497" s="5" t="s">
        <v>2</v>
      </c>
      <c r="D497" s="7">
        <v>242</v>
      </c>
      <c r="E497" s="8">
        <v>31.292000000000002</v>
      </c>
      <c r="F497" s="8">
        <v>4.5970000000000004</v>
      </c>
      <c r="G497" s="8">
        <v>5.2469999999999999</v>
      </c>
      <c r="H497" s="8">
        <v>5</v>
      </c>
      <c r="I497" s="8">
        <v>5.8470000000000004</v>
      </c>
      <c r="J497" s="8">
        <v>5.6040000000000001</v>
      </c>
      <c r="K497" s="8">
        <v>4.2569999999999997</v>
      </c>
      <c r="L497" s="8">
        <v>5.98</v>
      </c>
      <c r="M497" s="8">
        <v>4.0609999999999999</v>
      </c>
      <c r="N497" s="8">
        <v>4.1589999999999998</v>
      </c>
      <c r="O497" s="8">
        <v>4.048</v>
      </c>
    </row>
    <row r="498" spans="1:15" x14ac:dyDescent="0.25">
      <c r="A498" s="5" t="s">
        <v>510</v>
      </c>
      <c r="B498" s="5">
        <v>78</v>
      </c>
      <c r="C498" s="5" t="s">
        <v>2</v>
      </c>
      <c r="D498" s="7">
        <v>309</v>
      </c>
      <c r="E498" s="8">
        <v>32.566000000000003</v>
      </c>
      <c r="F498" s="8">
        <v>5.8710000000000004</v>
      </c>
      <c r="G498" s="8">
        <v>4.2009999999999996</v>
      </c>
      <c r="H498" s="8">
        <v>4.5</v>
      </c>
      <c r="I498" s="8">
        <v>6.7050000000000001</v>
      </c>
      <c r="J498" s="8">
        <v>5.6790000000000003</v>
      </c>
      <c r="K498" s="8">
        <v>3.464</v>
      </c>
      <c r="L498" s="8">
        <v>6.4560000000000004</v>
      </c>
      <c r="M498" s="8">
        <v>4.1059999999999999</v>
      </c>
      <c r="N498" s="8">
        <v>4.3789999999999996</v>
      </c>
      <c r="O498" s="8">
        <v>4.173</v>
      </c>
    </row>
    <row r="499" spans="1:15" x14ac:dyDescent="0.25">
      <c r="A499" s="5" t="s">
        <v>511</v>
      </c>
      <c r="B499" s="5">
        <v>52</v>
      </c>
      <c r="C499" s="5" t="s">
        <v>2</v>
      </c>
      <c r="D499" s="7">
        <v>197</v>
      </c>
      <c r="E499" s="8">
        <v>30.935000000000002</v>
      </c>
      <c r="F499" s="8">
        <v>4.24</v>
      </c>
      <c r="G499" s="8">
        <v>6.23</v>
      </c>
      <c r="H499" s="8">
        <v>5.6520000000000001</v>
      </c>
      <c r="I499" s="8">
        <v>6.4989999999999997</v>
      </c>
      <c r="J499" s="8">
        <v>5.4359999999999999</v>
      </c>
      <c r="K499" s="8">
        <v>4.5469999999999997</v>
      </c>
      <c r="L499" s="8">
        <v>5.7</v>
      </c>
      <c r="M499" s="8">
        <v>4.4260000000000002</v>
      </c>
      <c r="N499" s="8">
        <v>4.53</v>
      </c>
      <c r="O499" s="8">
        <v>4.5410000000000004</v>
      </c>
    </row>
    <row r="500" spans="1:15" x14ac:dyDescent="0.25">
      <c r="A500" s="5" t="s">
        <v>512</v>
      </c>
      <c r="B500" s="5">
        <v>67</v>
      </c>
      <c r="C500" s="5" t="s">
        <v>3</v>
      </c>
      <c r="D500" s="7">
        <v>293</v>
      </c>
      <c r="E500" s="8">
        <v>32.418000000000006</v>
      </c>
      <c r="F500" s="8">
        <v>5.7229999999999999</v>
      </c>
      <c r="G500" s="8">
        <v>6.1079999999999997</v>
      </c>
      <c r="H500" s="8">
        <v>4.79</v>
      </c>
      <c r="I500" s="8">
        <v>5.0720000000000001</v>
      </c>
      <c r="J500" s="8">
        <v>5.0819999999999999</v>
      </c>
      <c r="K500" s="8">
        <v>4.3230000000000004</v>
      </c>
      <c r="L500" s="8">
        <v>5.8520000000000003</v>
      </c>
      <c r="M500" s="8">
        <v>3.7509999999999999</v>
      </c>
      <c r="N500" s="8">
        <v>4.5019999999999998</v>
      </c>
      <c r="O500" s="8">
        <v>4.4139999999999997</v>
      </c>
    </row>
    <row r="501" spans="1:15" x14ac:dyDescent="0.25">
      <c r="A501" s="5" t="s">
        <v>513</v>
      </c>
      <c r="B501" s="5">
        <v>79</v>
      </c>
      <c r="C501" s="5" t="s">
        <v>2</v>
      </c>
      <c r="D501" s="7">
        <v>249</v>
      </c>
      <c r="E501" s="8">
        <v>31.782000000000004</v>
      </c>
      <c r="F501" s="8">
        <v>5.0869999999999997</v>
      </c>
      <c r="G501" s="8">
        <v>6.1</v>
      </c>
      <c r="H501" s="8">
        <v>4.8970000000000002</v>
      </c>
      <c r="I501" s="8">
        <v>5.056</v>
      </c>
      <c r="J501" s="8">
        <v>5.8819999999999997</v>
      </c>
      <c r="K501" s="8">
        <v>4.1459999999999999</v>
      </c>
      <c r="L501" s="8">
        <v>5.5549999999999997</v>
      </c>
      <c r="M501" s="8">
        <v>4.4000000000000004</v>
      </c>
      <c r="N501" s="8">
        <v>4.141</v>
      </c>
      <c r="O501" s="8">
        <v>4.5190000000000001</v>
      </c>
    </row>
    <row r="502" spans="1:15" x14ac:dyDescent="0.25">
      <c r="A502" s="5" t="s">
        <v>514</v>
      </c>
      <c r="B502" s="5">
        <v>34</v>
      </c>
      <c r="C502" s="5" t="s">
        <v>3</v>
      </c>
      <c r="D502" s="7">
        <v>208</v>
      </c>
      <c r="E502" s="8">
        <v>31.178000000000004</v>
      </c>
      <c r="F502" s="8">
        <v>4.4829999999999997</v>
      </c>
      <c r="G502" s="8">
        <v>6.0369999999999999</v>
      </c>
      <c r="H502" s="8">
        <v>6.508</v>
      </c>
      <c r="I502" s="8">
        <v>5.391</v>
      </c>
      <c r="J502" s="8">
        <v>5.52</v>
      </c>
      <c r="K502" s="8">
        <v>3.42</v>
      </c>
      <c r="L502" s="8">
        <v>5.4550000000000001</v>
      </c>
      <c r="M502" s="8">
        <v>4.2960000000000003</v>
      </c>
      <c r="N502" s="8">
        <v>3.9790000000000001</v>
      </c>
      <c r="O502" s="8">
        <v>4.351</v>
      </c>
    </row>
  </sheetData>
  <sheetProtection algorithmName="SHA-512" hashValue="2YcYH8hIOIl6Eey3UzYUzeY/8Mwix2g4OopnqfP8kyaeHiwup2X8AvjmWKtxUGeu+9JEdh1fPxT0XYV7kHDsDg==" saltValue="G9PzSTR+AJmnzngLxMiecw==" spinCount="100000" sheet="1" formatCells="0" formatColumns="0" formatRows="0" insertColumns="0" insertRows="0" insertHyperlinks="0" deleteColumns="0" deleteRows="0" sort="0" autoFilter="0" pivotTables="0"/>
  <mergeCells count="1">
    <mergeCell ref="A1:O1"/>
  </mergeCells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F4FEF-459F-4D87-8F60-A4371B49F403}">
  <dimension ref="A1:M1002"/>
  <sheetViews>
    <sheetView workbookViewId="0">
      <selection sqref="A1:XFD1"/>
    </sheetView>
  </sheetViews>
  <sheetFormatPr defaultRowHeight="13.8" x14ac:dyDescent="0.25"/>
  <cols>
    <col min="1" max="1" width="11.109375" style="1" customWidth="1"/>
    <col min="2" max="2" width="13.77734375" style="1" customWidth="1"/>
    <col min="3" max="3" width="19.88671875" style="1" customWidth="1"/>
    <col min="4" max="4" width="17.33203125" style="1" bestFit="1" customWidth="1"/>
    <col min="5" max="5" width="13.44140625" style="1" customWidth="1"/>
    <col min="6" max="6" width="13.21875" style="1" customWidth="1"/>
    <col min="7" max="7" width="18.6640625" style="1" customWidth="1"/>
    <col min="8" max="8" width="13.77734375" style="10" customWidth="1"/>
    <col min="9" max="9" width="14.88671875" style="10" bestFit="1" customWidth="1"/>
    <col min="10" max="10" width="13.6640625" style="1" bestFit="1" customWidth="1"/>
    <col min="11" max="11" width="13.21875" style="1" bestFit="1" customWidth="1"/>
    <col min="12" max="12" width="15.33203125" style="1" bestFit="1" customWidth="1"/>
    <col min="13" max="13" width="9.21875" style="1" customWidth="1"/>
    <col min="14" max="16384" width="8.88671875" style="1"/>
  </cols>
  <sheetData>
    <row r="1" spans="1:13" ht="17.399999999999999" customHeight="1" x14ac:dyDescent="0.25">
      <c r="A1" s="22" t="s">
        <v>517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4"/>
    </row>
    <row r="2" spans="1:13" ht="34.950000000000003" customHeight="1" x14ac:dyDescent="0.25">
      <c r="A2" s="13" t="s">
        <v>515</v>
      </c>
      <c r="B2" s="13" t="s">
        <v>518</v>
      </c>
      <c r="C2" s="13" t="s">
        <v>519</v>
      </c>
      <c r="D2" s="13" t="s">
        <v>1077</v>
      </c>
      <c r="E2" s="13" t="s">
        <v>520</v>
      </c>
      <c r="F2" s="13" t="s">
        <v>521</v>
      </c>
      <c r="G2" s="13" t="s">
        <v>522</v>
      </c>
      <c r="H2" s="13" t="s">
        <v>523</v>
      </c>
      <c r="I2" s="13" t="s">
        <v>1078</v>
      </c>
      <c r="J2" s="13" t="s">
        <v>1079</v>
      </c>
      <c r="K2" s="13" t="s">
        <v>1080</v>
      </c>
      <c r="L2" s="13" t="s">
        <v>1081</v>
      </c>
      <c r="M2" s="13" t="s">
        <v>524</v>
      </c>
    </row>
    <row r="3" spans="1:13" ht="15" customHeight="1" x14ac:dyDescent="0.25">
      <c r="A3" s="14" t="s">
        <v>525</v>
      </c>
      <c r="B3" s="15" t="s">
        <v>526</v>
      </c>
      <c r="C3" s="16">
        <v>0.22916666666666671</v>
      </c>
      <c r="D3" s="17" t="s">
        <v>527</v>
      </c>
      <c r="E3" s="14">
        <v>20.273</v>
      </c>
      <c r="F3" s="14">
        <v>43</v>
      </c>
      <c r="G3" s="14">
        <v>69.400000000000006</v>
      </c>
      <c r="H3" s="18">
        <v>100</v>
      </c>
      <c r="I3" s="19">
        <v>101.457697</v>
      </c>
      <c r="J3" s="14">
        <f t="shared" ref="J3:J66" si="0">IF(OR(H3="",I3=""),"",ABS(H3-I3))</f>
        <v>1.457696999999996</v>
      </c>
      <c r="K3" s="14">
        <f t="shared" ref="K3:K66" si="1">IF(OR(H3="",I3=""),"",(H3-I3)^2)</f>
        <v>2.1248805438089886</v>
      </c>
      <c r="L3" s="14">
        <f t="shared" ref="L3:L66" si="2">IF(OR(H3="",I3=""),"",IF(H3=0,"",ABS((H3-I3)/H3)*100))</f>
        <v>1.457696999999996</v>
      </c>
      <c r="M3" s="14">
        <f t="shared" ref="M3:M66" si="3">MOD(ROW()-2,5)+1</f>
        <v>2</v>
      </c>
    </row>
    <row r="4" spans="1:13" x14ac:dyDescent="0.25">
      <c r="A4" s="14" t="s">
        <v>528</v>
      </c>
      <c r="B4" s="20"/>
      <c r="C4" s="16">
        <v>0.25</v>
      </c>
      <c r="D4" s="17" t="s">
        <v>527</v>
      </c>
      <c r="E4" s="14">
        <v>23.181999999999999</v>
      </c>
      <c r="F4" s="14">
        <v>81</v>
      </c>
      <c r="G4" s="14">
        <v>64.400000000000006</v>
      </c>
      <c r="H4" s="18">
        <v>114</v>
      </c>
      <c r="I4" s="19">
        <v>115.67979800000001</v>
      </c>
      <c r="J4" s="14">
        <f t="shared" si="0"/>
        <v>1.6797980000000052</v>
      </c>
      <c r="K4" s="14">
        <f t="shared" si="1"/>
        <v>2.8217213208040177</v>
      </c>
      <c r="L4" s="14">
        <f t="shared" si="2"/>
        <v>1.4735070175438643</v>
      </c>
      <c r="M4" s="14">
        <f t="shared" si="3"/>
        <v>3</v>
      </c>
    </row>
    <row r="5" spans="1:13" x14ac:dyDescent="0.25">
      <c r="A5" s="14" t="s">
        <v>529</v>
      </c>
      <c r="B5" s="20"/>
      <c r="C5" s="16">
        <v>0.27083333333333331</v>
      </c>
      <c r="D5" s="17" t="s">
        <v>527</v>
      </c>
      <c r="E5" s="14">
        <v>18.507999999999999</v>
      </c>
      <c r="F5" s="14">
        <v>29</v>
      </c>
      <c r="G5" s="14">
        <v>82.3</v>
      </c>
      <c r="H5" s="18">
        <v>96</v>
      </c>
      <c r="I5" s="19">
        <v>92.828612000000007</v>
      </c>
      <c r="J5" s="14">
        <f t="shared" si="0"/>
        <v>3.1713879999999932</v>
      </c>
      <c r="K5" s="14">
        <f t="shared" si="1"/>
        <v>10.057701846543956</v>
      </c>
      <c r="L5" s="14">
        <f t="shared" si="2"/>
        <v>3.3035291666666597</v>
      </c>
      <c r="M5" s="14">
        <f t="shared" si="3"/>
        <v>4</v>
      </c>
    </row>
    <row r="6" spans="1:13" x14ac:dyDescent="0.25">
      <c r="A6" s="14" t="s">
        <v>530</v>
      </c>
      <c r="B6" s="20"/>
      <c r="C6" s="16">
        <v>0.29166666666666669</v>
      </c>
      <c r="D6" s="17" t="s">
        <v>527</v>
      </c>
      <c r="E6" s="14">
        <v>23.231000000000002</v>
      </c>
      <c r="F6" s="14">
        <v>21</v>
      </c>
      <c r="G6" s="14">
        <v>59.4</v>
      </c>
      <c r="H6" s="18">
        <v>118</v>
      </c>
      <c r="I6" s="19">
        <v>115.919359</v>
      </c>
      <c r="J6" s="14">
        <f t="shared" si="0"/>
        <v>2.080641</v>
      </c>
      <c r="K6" s="14">
        <f t="shared" si="1"/>
        <v>4.3290669708809997</v>
      </c>
      <c r="L6" s="14">
        <f t="shared" si="2"/>
        <v>1.7632550847457624</v>
      </c>
      <c r="M6" s="14">
        <f t="shared" si="3"/>
        <v>5</v>
      </c>
    </row>
    <row r="7" spans="1:13" x14ac:dyDescent="0.25">
      <c r="A7" s="14" t="s">
        <v>531</v>
      </c>
      <c r="B7" s="20"/>
      <c r="C7" s="16">
        <v>0.3125</v>
      </c>
      <c r="D7" s="17" t="s">
        <v>527</v>
      </c>
      <c r="E7" s="14">
        <v>25.331</v>
      </c>
      <c r="F7" s="14">
        <v>23</v>
      </c>
      <c r="G7" s="14">
        <v>85.9</v>
      </c>
      <c r="H7" s="18">
        <v>127</v>
      </c>
      <c r="I7" s="19">
        <v>126.18625900000001</v>
      </c>
      <c r="J7" s="14">
        <f t="shared" si="0"/>
        <v>0.81374099999999316</v>
      </c>
      <c r="K7" s="14">
        <f t="shared" si="1"/>
        <v>0.66217441508098884</v>
      </c>
      <c r="L7" s="14">
        <f t="shared" si="2"/>
        <v>0.64074094488188438</v>
      </c>
      <c r="M7" s="14">
        <f t="shared" si="3"/>
        <v>1</v>
      </c>
    </row>
    <row r="8" spans="1:13" x14ac:dyDescent="0.25">
      <c r="A8" s="14" t="s">
        <v>532</v>
      </c>
      <c r="B8" s="20"/>
      <c r="C8" s="16">
        <v>0.33333333333333331</v>
      </c>
      <c r="D8" s="17" t="s">
        <v>527</v>
      </c>
      <c r="E8" s="14">
        <v>27.314</v>
      </c>
      <c r="F8" s="14">
        <v>23</v>
      </c>
      <c r="G8" s="14">
        <v>70.400000000000006</v>
      </c>
      <c r="H8" s="18">
        <v>135</v>
      </c>
      <c r="I8" s="19">
        <v>135.881146</v>
      </c>
      <c r="J8" s="14">
        <f t="shared" si="0"/>
        <v>0.8811460000000011</v>
      </c>
      <c r="K8" s="14">
        <f t="shared" si="1"/>
        <v>0.77641827331600188</v>
      </c>
      <c r="L8" s="14">
        <f t="shared" si="2"/>
        <v>0.65270074074074158</v>
      </c>
      <c r="M8" s="14">
        <f t="shared" si="3"/>
        <v>2</v>
      </c>
    </row>
    <row r="9" spans="1:13" x14ac:dyDescent="0.25">
      <c r="A9" s="14" t="s">
        <v>533</v>
      </c>
      <c r="B9" s="20"/>
      <c r="C9" s="16">
        <v>0.35416666666666669</v>
      </c>
      <c r="D9" s="17" t="s">
        <v>527</v>
      </c>
      <c r="E9" s="14">
        <v>29.077000000000002</v>
      </c>
      <c r="F9" s="14">
        <v>47</v>
      </c>
      <c r="G9" s="14">
        <v>65.900000000000006</v>
      </c>
      <c r="H9" s="18">
        <v>144</v>
      </c>
      <c r="I9" s="19">
        <v>144.50045299999999</v>
      </c>
      <c r="J9" s="12">
        <f t="shared" si="0"/>
        <v>0.50045299999999315</v>
      </c>
      <c r="K9" s="14">
        <f t="shared" si="1"/>
        <v>0.25045320520899317</v>
      </c>
      <c r="L9" s="14">
        <f t="shared" si="2"/>
        <v>0.34753680555555083</v>
      </c>
      <c r="M9" s="14">
        <f t="shared" si="3"/>
        <v>3</v>
      </c>
    </row>
    <row r="10" spans="1:13" x14ac:dyDescent="0.25">
      <c r="A10" s="14" t="s">
        <v>534</v>
      </c>
      <c r="B10" s="20"/>
      <c r="C10" s="16">
        <v>0.375</v>
      </c>
      <c r="D10" s="17" t="s">
        <v>527</v>
      </c>
      <c r="E10" s="14">
        <v>23.95</v>
      </c>
      <c r="F10" s="14">
        <v>84</v>
      </c>
      <c r="G10" s="14">
        <v>58.3</v>
      </c>
      <c r="H10" s="18">
        <v>119</v>
      </c>
      <c r="I10" s="19">
        <v>119.43455</v>
      </c>
      <c r="J10" s="12">
        <f t="shared" si="0"/>
        <v>0.43455000000000155</v>
      </c>
      <c r="K10" s="14">
        <f t="shared" si="1"/>
        <v>0.18883370250000134</v>
      </c>
      <c r="L10" s="14">
        <f t="shared" si="2"/>
        <v>0.36516806722689205</v>
      </c>
      <c r="M10" s="14">
        <f t="shared" si="3"/>
        <v>4</v>
      </c>
    </row>
    <row r="11" spans="1:13" x14ac:dyDescent="0.25">
      <c r="A11" s="14" t="s">
        <v>535</v>
      </c>
      <c r="B11" s="20"/>
      <c r="C11" s="16">
        <v>0.39583333333333331</v>
      </c>
      <c r="D11" s="17" t="s">
        <v>527</v>
      </c>
      <c r="E11" s="14">
        <v>24.396000000000001</v>
      </c>
      <c r="F11" s="14">
        <v>68</v>
      </c>
      <c r="G11" s="14">
        <v>58.6</v>
      </c>
      <c r="H11" s="18">
        <v>122</v>
      </c>
      <c r="I11" s="19">
        <v>121.615044</v>
      </c>
      <c r="J11" s="12">
        <f t="shared" si="0"/>
        <v>0.38495600000000252</v>
      </c>
      <c r="K11" s="14">
        <f t="shared" si="1"/>
        <v>0.14819112193600195</v>
      </c>
      <c r="L11" s="14">
        <f t="shared" si="2"/>
        <v>0.31553770491803484</v>
      </c>
      <c r="M11" s="14">
        <f t="shared" si="3"/>
        <v>5</v>
      </c>
    </row>
    <row r="12" spans="1:13" x14ac:dyDescent="0.25">
      <c r="A12" s="14" t="s">
        <v>536</v>
      </c>
      <c r="B12" s="21"/>
      <c r="C12" s="16">
        <v>0.40625</v>
      </c>
      <c r="D12" s="17" t="s">
        <v>527</v>
      </c>
      <c r="E12" s="14">
        <v>19.79</v>
      </c>
      <c r="F12" s="14">
        <v>43</v>
      </c>
      <c r="G12" s="14">
        <v>73.7</v>
      </c>
      <c r="H12" s="18">
        <v>98</v>
      </c>
      <c r="I12" s="19">
        <v>99.096310000000003</v>
      </c>
      <c r="J12" s="12">
        <f t="shared" si="0"/>
        <v>1.0963100000000026</v>
      </c>
      <c r="K12" s="14">
        <f t="shared" si="1"/>
        <v>1.2018956161000056</v>
      </c>
      <c r="L12" s="14">
        <f t="shared" si="2"/>
        <v>1.1186836734693903</v>
      </c>
      <c r="M12" s="14">
        <f t="shared" si="3"/>
        <v>1</v>
      </c>
    </row>
    <row r="13" spans="1:13" x14ac:dyDescent="0.25">
      <c r="A13" s="14" t="s">
        <v>537</v>
      </c>
      <c r="B13" s="15" t="s">
        <v>538</v>
      </c>
      <c r="C13" s="16">
        <v>0.22916666666666671</v>
      </c>
      <c r="D13" s="17" t="s">
        <v>527</v>
      </c>
      <c r="E13" s="14">
        <v>20.178000000000001</v>
      </c>
      <c r="F13" s="14">
        <v>76</v>
      </c>
      <c r="G13" s="14">
        <v>62.3</v>
      </c>
      <c r="H13" s="18">
        <v>100</v>
      </c>
      <c r="I13" s="19">
        <v>100.993242</v>
      </c>
      <c r="J13" s="12">
        <f t="shared" si="0"/>
        <v>0.99324199999999507</v>
      </c>
      <c r="K13" s="14">
        <f t="shared" si="1"/>
        <v>0.98652967056399021</v>
      </c>
      <c r="L13" s="14">
        <f t="shared" si="2"/>
        <v>0.99324199999999507</v>
      </c>
      <c r="M13" s="14">
        <f t="shared" si="3"/>
        <v>2</v>
      </c>
    </row>
    <row r="14" spans="1:13" x14ac:dyDescent="0.25">
      <c r="A14" s="14" t="s">
        <v>539</v>
      </c>
      <c r="B14" s="20"/>
      <c r="C14" s="16">
        <v>0.25</v>
      </c>
      <c r="D14" s="17" t="s">
        <v>527</v>
      </c>
      <c r="E14" s="14">
        <v>20.545000000000002</v>
      </c>
      <c r="F14" s="14">
        <v>76</v>
      </c>
      <c r="G14" s="14">
        <v>62.2</v>
      </c>
      <c r="H14" s="18">
        <v>103</v>
      </c>
      <c r="I14" s="19">
        <v>102.787505</v>
      </c>
      <c r="J14" s="12">
        <f t="shared" si="0"/>
        <v>0.2124950000000041</v>
      </c>
      <c r="K14" s="14">
        <f t="shared" si="1"/>
        <v>4.515412502500174E-2</v>
      </c>
      <c r="L14" s="14">
        <f t="shared" si="2"/>
        <v>0.2063058252427224</v>
      </c>
      <c r="M14" s="14">
        <f t="shared" si="3"/>
        <v>3</v>
      </c>
    </row>
    <row r="15" spans="1:13" x14ac:dyDescent="0.25">
      <c r="A15" s="14" t="s">
        <v>540</v>
      </c>
      <c r="B15" s="20"/>
      <c r="C15" s="16">
        <v>0.27083333333333331</v>
      </c>
      <c r="D15" s="17" t="s">
        <v>527</v>
      </c>
      <c r="E15" s="14">
        <v>19.988</v>
      </c>
      <c r="F15" s="14">
        <v>50</v>
      </c>
      <c r="G15" s="14">
        <v>87.8</v>
      </c>
      <c r="H15" s="18">
        <v>102</v>
      </c>
      <c r="I15" s="19">
        <v>100.06433199999999</v>
      </c>
      <c r="J15" s="12">
        <f t="shared" si="0"/>
        <v>1.9356680000000068</v>
      </c>
      <c r="K15" s="14">
        <f t="shared" si="1"/>
        <v>3.7468106062240265</v>
      </c>
      <c r="L15" s="14">
        <f t="shared" si="2"/>
        <v>1.8977137254902028</v>
      </c>
      <c r="M15" s="14">
        <f t="shared" si="3"/>
        <v>4</v>
      </c>
    </row>
    <row r="16" spans="1:13" x14ac:dyDescent="0.25">
      <c r="A16" s="14" t="s">
        <v>541</v>
      </c>
      <c r="B16" s="20"/>
      <c r="C16" s="16">
        <v>0.29166666666666669</v>
      </c>
      <c r="D16" s="17" t="s">
        <v>527</v>
      </c>
      <c r="E16" s="14">
        <v>20.128</v>
      </c>
      <c r="F16" s="14">
        <v>70</v>
      </c>
      <c r="G16" s="14">
        <v>58.9</v>
      </c>
      <c r="H16" s="18">
        <v>101</v>
      </c>
      <c r="I16" s="19">
        <v>100.74879199999999</v>
      </c>
      <c r="J16" s="12">
        <f t="shared" si="0"/>
        <v>0.25120800000000543</v>
      </c>
      <c r="K16" s="14">
        <f t="shared" si="1"/>
        <v>6.3105459264002725E-2</v>
      </c>
      <c r="L16" s="14">
        <f t="shared" si="2"/>
        <v>0.2487207920792133</v>
      </c>
      <c r="M16" s="14">
        <f t="shared" si="3"/>
        <v>5</v>
      </c>
    </row>
    <row r="17" spans="1:13" x14ac:dyDescent="0.25">
      <c r="A17" s="14" t="s">
        <v>542</v>
      </c>
      <c r="B17" s="20"/>
      <c r="C17" s="16">
        <v>0.3125</v>
      </c>
      <c r="D17" s="17" t="s">
        <v>527</v>
      </c>
      <c r="E17" s="14">
        <v>21.349</v>
      </c>
      <c r="F17" s="14">
        <v>39</v>
      </c>
      <c r="G17" s="14">
        <v>80.2</v>
      </c>
      <c r="H17" s="18">
        <v>105</v>
      </c>
      <c r="I17" s="19">
        <v>106.718261</v>
      </c>
      <c r="J17" s="12">
        <f t="shared" si="0"/>
        <v>1.7182609999999983</v>
      </c>
      <c r="K17" s="14">
        <f t="shared" si="1"/>
        <v>2.9524208641209939</v>
      </c>
      <c r="L17" s="14">
        <f t="shared" si="2"/>
        <v>1.6364390476190458</v>
      </c>
      <c r="M17" s="14">
        <f t="shared" si="3"/>
        <v>1</v>
      </c>
    </row>
    <row r="18" spans="1:13" x14ac:dyDescent="0.25">
      <c r="A18" s="14" t="s">
        <v>543</v>
      </c>
      <c r="B18" s="20"/>
      <c r="C18" s="16">
        <v>0.33333333333333331</v>
      </c>
      <c r="D18" s="17" t="s">
        <v>527</v>
      </c>
      <c r="E18" s="14">
        <v>19.509</v>
      </c>
      <c r="F18" s="14">
        <v>38</v>
      </c>
      <c r="G18" s="14">
        <v>89.9</v>
      </c>
      <c r="H18" s="18">
        <v>97</v>
      </c>
      <c r="I18" s="19">
        <v>97.722501000000008</v>
      </c>
      <c r="J18" s="12">
        <f t="shared" si="0"/>
        <v>0.72250100000000828</v>
      </c>
      <c r="K18" s="14">
        <f t="shared" si="1"/>
        <v>0.52200769500101196</v>
      </c>
      <c r="L18" s="14">
        <f t="shared" si="2"/>
        <v>0.74484639175258593</v>
      </c>
      <c r="M18" s="14">
        <f t="shared" si="3"/>
        <v>2</v>
      </c>
    </row>
    <row r="19" spans="1:13" x14ac:dyDescent="0.25">
      <c r="A19" s="14" t="s">
        <v>544</v>
      </c>
      <c r="B19" s="20"/>
      <c r="C19" s="16">
        <v>0.35416666666666669</v>
      </c>
      <c r="D19" s="17" t="s">
        <v>527</v>
      </c>
      <c r="E19" s="14">
        <v>22.408999999999999</v>
      </c>
      <c r="F19" s="14">
        <v>21</v>
      </c>
      <c r="G19" s="14">
        <v>68.099999999999994</v>
      </c>
      <c r="H19" s="18">
        <v>110</v>
      </c>
      <c r="I19" s="19">
        <v>111.90060099999999</v>
      </c>
      <c r="J19" s="12">
        <f t="shared" si="0"/>
        <v>1.9006009999999947</v>
      </c>
      <c r="K19" s="14">
        <f t="shared" si="1"/>
        <v>3.6122841612009795</v>
      </c>
      <c r="L19" s="14">
        <f t="shared" si="2"/>
        <v>1.727819090909086</v>
      </c>
      <c r="M19" s="14">
        <f t="shared" si="3"/>
        <v>3</v>
      </c>
    </row>
    <row r="20" spans="1:13" x14ac:dyDescent="0.25">
      <c r="A20" s="14" t="s">
        <v>545</v>
      </c>
      <c r="B20" s="20"/>
      <c r="C20" s="16">
        <v>0.375</v>
      </c>
      <c r="D20" s="17" t="s">
        <v>527</v>
      </c>
      <c r="E20" s="14">
        <v>21.521999999999998</v>
      </c>
      <c r="F20" s="14">
        <v>79</v>
      </c>
      <c r="G20" s="14">
        <v>71.2</v>
      </c>
      <c r="H20" s="18">
        <v>107</v>
      </c>
      <c r="I20" s="19">
        <v>107.564058</v>
      </c>
      <c r="J20" s="12">
        <f t="shared" si="0"/>
        <v>0.56405800000000283</v>
      </c>
      <c r="K20" s="14">
        <f t="shared" si="1"/>
        <v>0.31816142736400321</v>
      </c>
      <c r="L20" s="14">
        <f t="shared" si="2"/>
        <v>0.52715700934579701</v>
      </c>
      <c r="M20" s="14">
        <f t="shared" si="3"/>
        <v>4</v>
      </c>
    </row>
    <row r="21" spans="1:13" x14ac:dyDescent="0.25">
      <c r="A21" s="14" t="s">
        <v>546</v>
      </c>
      <c r="B21" s="20"/>
      <c r="C21" s="16">
        <v>0.39583333333333331</v>
      </c>
      <c r="D21" s="17" t="s">
        <v>527</v>
      </c>
      <c r="E21" s="14">
        <v>22.738</v>
      </c>
      <c r="F21" s="14">
        <v>79</v>
      </c>
      <c r="G21" s="14">
        <v>83.1</v>
      </c>
      <c r="H21" s="18">
        <v>116</v>
      </c>
      <c r="I21" s="19">
        <v>113.50908200000001</v>
      </c>
      <c r="J21" s="12">
        <f t="shared" si="0"/>
        <v>2.4909179999999935</v>
      </c>
      <c r="K21" s="14">
        <f t="shared" si="1"/>
        <v>6.2046724827239679</v>
      </c>
      <c r="L21" s="14">
        <f t="shared" si="2"/>
        <v>2.1473431034482702</v>
      </c>
      <c r="M21" s="14">
        <f t="shared" si="3"/>
        <v>5</v>
      </c>
    </row>
    <row r="22" spans="1:13" x14ac:dyDescent="0.25">
      <c r="A22" s="14" t="s">
        <v>547</v>
      </c>
      <c r="B22" s="21"/>
      <c r="C22" s="16">
        <v>0.40625</v>
      </c>
      <c r="D22" s="17" t="s">
        <v>527</v>
      </c>
      <c r="E22" s="14">
        <v>16.501999999999999</v>
      </c>
      <c r="F22" s="14">
        <v>41</v>
      </c>
      <c r="G22" s="14">
        <v>94.4</v>
      </c>
      <c r="H22" s="18">
        <v>87</v>
      </c>
      <c r="I22" s="19">
        <v>83.021277999999995</v>
      </c>
      <c r="J22" s="12">
        <f t="shared" si="0"/>
        <v>3.9787220000000048</v>
      </c>
      <c r="K22" s="14">
        <f t="shared" si="1"/>
        <v>15.830228753284038</v>
      </c>
      <c r="L22" s="14">
        <f t="shared" si="2"/>
        <v>4.5732436781609254</v>
      </c>
      <c r="M22" s="14">
        <f t="shared" si="3"/>
        <v>1</v>
      </c>
    </row>
    <row r="23" spans="1:13" x14ac:dyDescent="0.25">
      <c r="A23" s="14" t="s">
        <v>548</v>
      </c>
      <c r="B23" s="15" t="s">
        <v>549</v>
      </c>
      <c r="C23" s="16">
        <v>0.22916666666666671</v>
      </c>
      <c r="D23" s="17" t="s">
        <v>527</v>
      </c>
      <c r="E23" s="14">
        <v>23.853000000000002</v>
      </c>
      <c r="F23" s="14">
        <v>72</v>
      </c>
      <c r="G23" s="14">
        <v>60.5</v>
      </c>
      <c r="H23" s="18">
        <v>119</v>
      </c>
      <c r="I23" s="19">
        <v>118.960317</v>
      </c>
      <c r="J23" s="12">
        <f t="shared" si="0"/>
        <v>3.9682999999996582E-2</v>
      </c>
      <c r="K23" s="14">
        <f t="shared" si="1"/>
        <v>1.5747404889997288E-3</v>
      </c>
      <c r="L23" s="14">
        <f t="shared" si="2"/>
        <v>3.3347058823526537E-2</v>
      </c>
      <c r="M23" s="14">
        <f t="shared" si="3"/>
        <v>2</v>
      </c>
    </row>
    <row r="24" spans="1:13" x14ac:dyDescent="0.25">
      <c r="A24" s="14" t="s">
        <v>550</v>
      </c>
      <c r="B24" s="20"/>
      <c r="C24" s="16">
        <v>0.25</v>
      </c>
      <c r="D24" s="17" t="s">
        <v>527</v>
      </c>
      <c r="E24" s="14">
        <v>21.324000000000002</v>
      </c>
      <c r="F24" s="14">
        <v>26</v>
      </c>
      <c r="G24" s="14">
        <v>87.2</v>
      </c>
      <c r="H24" s="18">
        <v>107</v>
      </c>
      <c r="I24" s="19">
        <v>106.596036</v>
      </c>
      <c r="J24" s="12">
        <f t="shared" si="0"/>
        <v>0.40396400000000199</v>
      </c>
      <c r="K24" s="14">
        <f t="shared" si="1"/>
        <v>0.1631869132960016</v>
      </c>
      <c r="L24" s="14">
        <f t="shared" si="2"/>
        <v>0.37753644859813268</v>
      </c>
      <c r="M24" s="14">
        <f t="shared" si="3"/>
        <v>3</v>
      </c>
    </row>
    <row r="25" spans="1:13" x14ac:dyDescent="0.25">
      <c r="A25" s="14" t="s">
        <v>551</v>
      </c>
      <c r="B25" s="20"/>
      <c r="C25" s="16">
        <v>0.27083333333333331</v>
      </c>
      <c r="D25" s="17" t="s">
        <v>527</v>
      </c>
      <c r="E25" s="14">
        <v>19.052</v>
      </c>
      <c r="F25" s="14">
        <v>20</v>
      </c>
      <c r="G25" s="14">
        <v>67.3</v>
      </c>
      <c r="H25" s="18">
        <v>97</v>
      </c>
      <c r="I25" s="19">
        <v>95.488228000000007</v>
      </c>
      <c r="J25" s="12">
        <f t="shared" si="0"/>
        <v>1.5117719999999935</v>
      </c>
      <c r="K25" s="14">
        <f t="shared" si="1"/>
        <v>2.2854545799839801</v>
      </c>
      <c r="L25" s="14">
        <f t="shared" si="2"/>
        <v>1.5585278350515397</v>
      </c>
      <c r="M25" s="14">
        <f t="shared" si="3"/>
        <v>4</v>
      </c>
    </row>
    <row r="26" spans="1:13" x14ac:dyDescent="0.25">
      <c r="A26" s="14" t="s">
        <v>552</v>
      </c>
      <c r="B26" s="20"/>
      <c r="C26" s="16">
        <v>0.29166666666666669</v>
      </c>
      <c r="D26" s="17" t="s">
        <v>527</v>
      </c>
      <c r="E26" s="14">
        <v>17.594000000000001</v>
      </c>
      <c r="F26" s="14">
        <v>48</v>
      </c>
      <c r="G26" s="14">
        <v>74.599999999999994</v>
      </c>
      <c r="H26" s="18">
        <v>91</v>
      </c>
      <c r="I26" s="19">
        <v>88.360066000000018</v>
      </c>
      <c r="J26" s="12">
        <f t="shared" si="0"/>
        <v>2.6399339999999825</v>
      </c>
      <c r="K26" s="14">
        <f t="shared" si="1"/>
        <v>6.969251524355907</v>
      </c>
      <c r="L26" s="14">
        <f t="shared" si="2"/>
        <v>2.9010263736263546</v>
      </c>
      <c r="M26" s="14">
        <f t="shared" si="3"/>
        <v>5</v>
      </c>
    </row>
    <row r="27" spans="1:13" x14ac:dyDescent="0.25">
      <c r="A27" s="14" t="s">
        <v>553</v>
      </c>
      <c r="B27" s="20"/>
      <c r="C27" s="16">
        <v>0.3125</v>
      </c>
      <c r="D27" s="17" t="s">
        <v>527</v>
      </c>
      <c r="E27" s="14">
        <v>17.138000000000002</v>
      </c>
      <c r="F27" s="14">
        <v>57</v>
      </c>
      <c r="G27" s="14">
        <v>66.5</v>
      </c>
      <c r="H27" s="18">
        <v>87</v>
      </c>
      <c r="I27" s="19">
        <v>86.130682000000022</v>
      </c>
      <c r="J27" s="12">
        <f t="shared" si="0"/>
        <v>0.8693179999999785</v>
      </c>
      <c r="K27" s="14">
        <f t="shared" si="1"/>
        <v>0.75571378512396259</v>
      </c>
      <c r="L27" s="14">
        <f t="shared" si="2"/>
        <v>0.99921609195399819</v>
      </c>
      <c r="M27" s="14">
        <f t="shared" si="3"/>
        <v>1</v>
      </c>
    </row>
    <row r="28" spans="1:13" x14ac:dyDescent="0.25">
      <c r="A28" s="14" t="s">
        <v>554</v>
      </c>
      <c r="B28" s="20"/>
      <c r="C28" s="16">
        <v>0.33333333333333331</v>
      </c>
      <c r="D28" s="17" t="s">
        <v>527</v>
      </c>
      <c r="E28" s="14">
        <v>22.931000000000001</v>
      </c>
      <c r="F28" s="14">
        <v>53</v>
      </c>
      <c r="G28" s="14">
        <v>76.900000000000006</v>
      </c>
      <c r="H28" s="18">
        <v>115</v>
      </c>
      <c r="I28" s="19">
        <v>114.452659</v>
      </c>
      <c r="J28" s="12">
        <f t="shared" si="0"/>
        <v>0.54734100000000296</v>
      </c>
      <c r="K28" s="14">
        <f t="shared" si="1"/>
        <v>0.29958217028100326</v>
      </c>
      <c r="L28" s="14">
        <f t="shared" si="2"/>
        <v>0.47594869565217646</v>
      </c>
      <c r="M28" s="14">
        <f t="shared" si="3"/>
        <v>2</v>
      </c>
    </row>
    <row r="29" spans="1:13" x14ac:dyDescent="0.25">
      <c r="A29" s="14" t="s">
        <v>555</v>
      </c>
      <c r="B29" s="20"/>
      <c r="C29" s="16">
        <v>0.35416666666666669</v>
      </c>
      <c r="D29" s="17" t="s">
        <v>527</v>
      </c>
      <c r="E29" s="14">
        <v>24.437000000000001</v>
      </c>
      <c r="F29" s="14">
        <v>41</v>
      </c>
      <c r="G29" s="14">
        <v>75</v>
      </c>
      <c r="H29" s="18">
        <v>121</v>
      </c>
      <c r="I29" s="19">
        <v>121.815493</v>
      </c>
      <c r="J29" s="12">
        <f t="shared" si="0"/>
        <v>0.81549300000000358</v>
      </c>
      <c r="K29" s="14">
        <f t="shared" si="1"/>
        <v>0.66502883304900584</v>
      </c>
      <c r="L29" s="14">
        <f t="shared" si="2"/>
        <v>0.67396115702479642</v>
      </c>
      <c r="M29" s="14">
        <f t="shared" si="3"/>
        <v>3</v>
      </c>
    </row>
    <row r="30" spans="1:13" x14ac:dyDescent="0.25">
      <c r="A30" s="14" t="s">
        <v>556</v>
      </c>
      <c r="B30" s="20"/>
      <c r="C30" s="16">
        <v>0.375</v>
      </c>
      <c r="D30" s="17" t="s">
        <v>527</v>
      </c>
      <c r="E30" s="14">
        <v>19.067</v>
      </c>
      <c r="F30" s="14">
        <v>23</v>
      </c>
      <c r="G30" s="14">
        <v>69.400000000000006</v>
      </c>
      <c r="H30" s="18">
        <v>95</v>
      </c>
      <c r="I30" s="19">
        <v>95.561563000000007</v>
      </c>
      <c r="J30" s="12">
        <f t="shared" si="0"/>
        <v>0.5615630000000067</v>
      </c>
      <c r="K30" s="14">
        <f t="shared" si="1"/>
        <v>0.31535300296900753</v>
      </c>
      <c r="L30" s="14">
        <f t="shared" si="2"/>
        <v>0.59111894736842807</v>
      </c>
      <c r="M30" s="14">
        <f t="shared" si="3"/>
        <v>4</v>
      </c>
    </row>
    <row r="31" spans="1:13" x14ac:dyDescent="0.25">
      <c r="A31" s="14" t="s">
        <v>557</v>
      </c>
      <c r="B31" s="20"/>
      <c r="C31" s="16">
        <v>0.39583333333333331</v>
      </c>
      <c r="D31" s="17" t="s">
        <v>527</v>
      </c>
      <c r="E31" s="14">
        <v>22.972999999999999</v>
      </c>
      <c r="F31" s="14">
        <v>83</v>
      </c>
      <c r="G31" s="14">
        <v>73.5</v>
      </c>
      <c r="H31" s="18">
        <v>112</v>
      </c>
      <c r="I31" s="19">
        <v>114.65799699999999</v>
      </c>
      <c r="J31" s="12">
        <f t="shared" si="0"/>
        <v>2.6579969999999946</v>
      </c>
      <c r="K31" s="14">
        <f t="shared" si="1"/>
        <v>7.0649480520089716</v>
      </c>
      <c r="L31" s="14">
        <f t="shared" si="2"/>
        <v>2.3732116071428524</v>
      </c>
      <c r="M31" s="14">
        <f t="shared" si="3"/>
        <v>5</v>
      </c>
    </row>
    <row r="32" spans="1:13" x14ac:dyDescent="0.25">
      <c r="A32" s="14" t="s">
        <v>558</v>
      </c>
      <c r="B32" s="21"/>
      <c r="C32" s="16">
        <v>0.40625</v>
      </c>
      <c r="D32" s="17" t="s">
        <v>527</v>
      </c>
      <c r="E32" s="14">
        <v>17.817</v>
      </c>
      <c r="F32" s="14">
        <v>68</v>
      </c>
      <c r="G32" s="14">
        <v>75.099999999999994</v>
      </c>
      <c r="H32" s="18">
        <v>89</v>
      </c>
      <c r="I32" s="19">
        <v>89.450313000000008</v>
      </c>
      <c r="J32" s="12">
        <f t="shared" si="0"/>
        <v>0.4503130000000084</v>
      </c>
      <c r="K32" s="14">
        <f t="shared" si="1"/>
        <v>0.20278179796900755</v>
      </c>
      <c r="L32" s="14">
        <f t="shared" si="2"/>
        <v>0.50596966292135781</v>
      </c>
      <c r="M32" s="14">
        <f t="shared" si="3"/>
        <v>1</v>
      </c>
    </row>
    <row r="33" spans="1:13" x14ac:dyDescent="0.25">
      <c r="A33" s="14" t="s">
        <v>559</v>
      </c>
      <c r="B33" s="15" t="s">
        <v>560</v>
      </c>
      <c r="C33" s="16">
        <v>0.22916666666666671</v>
      </c>
      <c r="D33" s="17" t="s">
        <v>527</v>
      </c>
      <c r="E33" s="14">
        <v>17.847000000000001</v>
      </c>
      <c r="F33" s="14">
        <v>79</v>
      </c>
      <c r="G33" s="14">
        <v>93.3</v>
      </c>
      <c r="H33" s="18">
        <v>88</v>
      </c>
      <c r="I33" s="19">
        <v>89.596983000000009</v>
      </c>
      <c r="J33" s="12">
        <f t="shared" si="0"/>
        <v>1.5969830000000087</v>
      </c>
      <c r="K33" s="14">
        <f t="shared" si="1"/>
        <v>2.5503547022890278</v>
      </c>
      <c r="L33" s="14">
        <f t="shared" si="2"/>
        <v>1.814753409090919</v>
      </c>
      <c r="M33" s="14">
        <f t="shared" si="3"/>
        <v>2</v>
      </c>
    </row>
    <row r="34" spans="1:13" x14ac:dyDescent="0.25">
      <c r="A34" s="14" t="s">
        <v>561</v>
      </c>
      <c r="B34" s="20"/>
      <c r="C34" s="16">
        <v>0.25</v>
      </c>
      <c r="D34" s="17" t="s">
        <v>527</v>
      </c>
      <c r="E34" s="14">
        <v>19.245000000000001</v>
      </c>
      <c r="F34" s="14">
        <v>74</v>
      </c>
      <c r="G34" s="14">
        <v>80.7</v>
      </c>
      <c r="H34" s="18">
        <v>97</v>
      </c>
      <c r="I34" s="19">
        <v>96.431805000000011</v>
      </c>
      <c r="J34" s="12">
        <f t="shared" si="0"/>
        <v>0.56819499999998868</v>
      </c>
      <c r="K34" s="14">
        <f t="shared" si="1"/>
        <v>0.32284555802498716</v>
      </c>
      <c r="L34" s="14">
        <f t="shared" si="2"/>
        <v>0.58576804123710169</v>
      </c>
      <c r="M34" s="14">
        <f t="shared" si="3"/>
        <v>3</v>
      </c>
    </row>
    <row r="35" spans="1:13" x14ac:dyDescent="0.25">
      <c r="A35" s="14" t="s">
        <v>562</v>
      </c>
      <c r="B35" s="20"/>
      <c r="C35" s="16">
        <v>0.27083333333333331</v>
      </c>
      <c r="D35" s="17" t="s">
        <v>527</v>
      </c>
      <c r="E35" s="14">
        <v>23.181999999999999</v>
      </c>
      <c r="F35" s="14">
        <v>83</v>
      </c>
      <c r="G35" s="14">
        <v>57.1</v>
      </c>
      <c r="H35" s="18">
        <v>114</v>
      </c>
      <c r="I35" s="19">
        <v>115.67979800000001</v>
      </c>
      <c r="J35" s="12">
        <f t="shared" si="0"/>
        <v>1.6797980000000052</v>
      </c>
      <c r="K35" s="14">
        <f t="shared" si="1"/>
        <v>2.8217213208040177</v>
      </c>
      <c r="L35" s="14">
        <f t="shared" si="2"/>
        <v>1.4735070175438643</v>
      </c>
      <c r="M35" s="14">
        <f t="shared" si="3"/>
        <v>4</v>
      </c>
    </row>
    <row r="36" spans="1:13" x14ac:dyDescent="0.25">
      <c r="A36" s="14" t="s">
        <v>563</v>
      </c>
      <c r="B36" s="20"/>
      <c r="C36" s="16">
        <v>0.29166666666666669</v>
      </c>
      <c r="D36" s="17" t="s">
        <v>527</v>
      </c>
      <c r="E36" s="14">
        <v>17.704999999999998</v>
      </c>
      <c r="F36" s="14">
        <v>25</v>
      </c>
      <c r="G36" s="14">
        <v>73.2</v>
      </c>
      <c r="H36" s="18">
        <v>88</v>
      </c>
      <c r="I36" s="19">
        <v>88.902744999999996</v>
      </c>
      <c r="J36" s="12">
        <f t="shared" si="0"/>
        <v>0.90274499999999591</v>
      </c>
      <c r="K36" s="14">
        <f t="shared" si="1"/>
        <v>0.81494853502499265</v>
      </c>
      <c r="L36" s="14">
        <f t="shared" si="2"/>
        <v>1.0258465909090864</v>
      </c>
      <c r="M36" s="14">
        <f t="shared" si="3"/>
        <v>5</v>
      </c>
    </row>
    <row r="37" spans="1:13" x14ac:dyDescent="0.25">
      <c r="A37" s="14" t="s">
        <v>564</v>
      </c>
      <c r="B37" s="20"/>
      <c r="C37" s="16">
        <v>0.3125</v>
      </c>
      <c r="D37" s="17" t="s">
        <v>527</v>
      </c>
      <c r="E37" s="14">
        <v>22.158000000000001</v>
      </c>
      <c r="F37" s="14">
        <v>43</v>
      </c>
      <c r="G37" s="14">
        <v>76.7</v>
      </c>
      <c r="H37" s="18">
        <v>112</v>
      </c>
      <c r="I37" s="19">
        <v>110.673462</v>
      </c>
      <c r="J37" s="12">
        <f t="shared" si="0"/>
        <v>1.3265379999999993</v>
      </c>
      <c r="K37" s="14">
        <f t="shared" si="1"/>
        <v>1.7597030654439982</v>
      </c>
      <c r="L37" s="14">
        <f t="shared" si="2"/>
        <v>1.1844089285714279</v>
      </c>
      <c r="M37" s="14">
        <f t="shared" si="3"/>
        <v>1</v>
      </c>
    </row>
    <row r="38" spans="1:13" x14ac:dyDescent="0.25">
      <c r="A38" s="14" t="s">
        <v>565</v>
      </c>
      <c r="B38" s="20"/>
      <c r="C38" s="16">
        <v>0.33333333333333331</v>
      </c>
      <c r="D38" s="17" t="s">
        <v>527</v>
      </c>
      <c r="E38" s="14">
        <v>20.715</v>
      </c>
      <c r="F38" s="14">
        <v>62</v>
      </c>
      <c r="G38" s="14">
        <v>57.4</v>
      </c>
      <c r="H38" s="18">
        <v>104</v>
      </c>
      <c r="I38" s="19">
        <v>103.618635</v>
      </c>
      <c r="J38" s="12">
        <f t="shared" si="0"/>
        <v>0.3813650000000024</v>
      </c>
      <c r="K38" s="14">
        <f t="shared" si="1"/>
        <v>0.14543926322500184</v>
      </c>
      <c r="L38" s="14">
        <f t="shared" si="2"/>
        <v>0.36669711538461769</v>
      </c>
      <c r="M38" s="14">
        <f t="shared" si="3"/>
        <v>2</v>
      </c>
    </row>
    <row r="39" spans="1:13" x14ac:dyDescent="0.25">
      <c r="A39" s="14" t="s">
        <v>566</v>
      </c>
      <c r="B39" s="20"/>
      <c r="C39" s="16">
        <v>0.35416666666666669</v>
      </c>
      <c r="D39" s="17" t="s">
        <v>527</v>
      </c>
      <c r="E39" s="14">
        <v>23.173999999999999</v>
      </c>
      <c r="F39" s="14">
        <v>61</v>
      </c>
      <c r="G39" s="14">
        <v>82.6</v>
      </c>
      <c r="H39" s="18">
        <v>115</v>
      </c>
      <c r="I39" s="19">
        <v>115.640686</v>
      </c>
      <c r="J39" s="12">
        <f t="shared" si="0"/>
        <v>0.64068600000000231</v>
      </c>
      <c r="K39" s="14">
        <f t="shared" si="1"/>
        <v>0.41047855059600297</v>
      </c>
      <c r="L39" s="14">
        <f t="shared" si="2"/>
        <v>0.55711826086956717</v>
      </c>
      <c r="M39" s="14">
        <f t="shared" si="3"/>
        <v>3</v>
      </c>
    </row>
    <row r="40" spans="1:13" x14ac:dyDescent="0.25">
      <c r="A40" s="14" t="s">
        <v>567</v>
      </c>
      <c r="B40" s="20"/>
      <c r="C40" s="16">
        <v>0.375</v>
      </c>
      <c r="D40" s="17" t="s">
        <v>527</v>
      </c>
      <c r="E40" s="14">
        <v>19.98</v>
      </c>
      <c r="F40" s="14">
        <v>22</v>
      </c>
      <c r="G40" s="14">
        <v>92.2</v>
      </c>
      <c r="H40" s="18">
        <v>102</v>
      </c>
      <c r="I40" s="19">
        <v>100.02522</v>
      </c>
      <c r="J40" s="12">
        <f t="shared" si="0"/>
        <v>1.9747799999999955</v>
      </c>
      <c r="K40" s="14">
        <f t="shared" si="1"/>
        <v>3.8997560483999822</v>
      </c>
      <c r="L40" s="14">
        <f t="shared" si="2"/>
        <v>1.9360588235294074</v>
      </c>
      <c r="M40" s="14">
        <f t="shared" si="3"/>
        <v>4</v>
      </c>
    </row>
    <row r="41" spans="1:13" x14ac:dyDescent="0.25">
      <c r="A41" s="14" t="s">
        <v>568</v>
      </c>
      <c r="B41" s="20"/>
      <c r="C41" s="16">
        <v>0.39583333333333331</v>
      </c>
      <c r="D41" s="17" t="s">
        <v>527</v>
      </c>
      <c r="E41" s="14">
        <v>24.19</v>
      </c>
      <c r="F41" s="14">
        <v>43</v>
      </c>
      <c r="G41" s="14">
        <v>78.3</v>
      </c>
      <c r="H41" s="18">
        <v>121</v>
      </c>
      <c r="I41" s="19">
        <v>120.60791</v>
      </c>
      <c r="J41" s="12">
        <f t="shared" si="0"/>
        <v>0.39208999999999605</v>
      </c>
      <c r="K41" s="14">
        <f t="shared" si="1"/>
        <v>0.15373456809999692</v>
      </c>
      <c r="L41" s="14">
        <f t="shared" si="2"/>
        <v>0.32404132231404631</v>
      </c>
      <c r="M41" s="14">
        <f t="shared" si="3"/>
        <v>5</v>
      </c>
    </row>
    <row r="42" spans="1:13" x14ac:dyDescent="0.25">
      <c r="A42" s="14" t="s">
        <v>569</v>
      </c>
      <c r="B42" s="21"/>
      <c r="C42" s="16">
        <v>0.40625</v>
      </c>
      <c r="D42" s="17" t="s">
        <v>527</v>
      </c>
      <c r="E42" s="14">
        <v>23.940999999999999</v>
      </c>
      <c r="F42" s="14">
        <v>84</v>
      </c>
      <c r="G42" s="14">
        <v>78.900000000000006</v>
      </c>
      <c r="H42" s="18">
        <v>119</v>
      </c>
      <c r="I42" s="19">
        <v>119.39054899999999</v>
      </c>
      <c r="J42" s="12">
        <f t="shared" si="0"/>
        <v>0.39054899999999293</v>
      </c>
      <c r="K42" s="14">
        <f t="shared" si="1"/>
        <v>0.15252852140099449</v>
      </c>
      <c r="L42" s="14">
        <f t="shared" si="2"/>
        <v>0.32819243697478401</v>
      </c>
      <c r="M42" s="14">
        <f t="shared" si="3"/>
        <v>1</v>
      </c>
    </row>
    <row r="43" spans="1:13" x14ac:dyDescent="0.25">
      <c r="A43" s="14" t="s">
        <v>570</v>
      </c>
      <c r="B43" s="15" t="s">
        <v>571</v>
      </c>
      <c r="C43" s="16">
        <v>0.22916666666666671</v>
      </c>
      <c r="D43" s="17" t="s">
        <v>527</v>
      </c>
      <c r="E43" s="14">
        <v>20.012</v>
      </c>
      <c r="F43" s="14">
        <v>36</v>
      </c>
      <c r="G43" s="14">
        <v>73.400000000000006</v>
      </c>
      <c r="H43" s="18">
        <v>100</v>
      </c>
      <c r="I43" s="19">
        <v>100.181668</v>
      </c>
      <c r="J43" s="12">
        <f t="shared" si="0"/>
        <v>0.18166800000000194</v>
      </c>
      <c r="K43" s="14">
        <f t="shared" si="1"/>
        <v>3.3003262224000705E-2</v>
      </c>
      <c r="L43" s="14">
        <f t="shared" si="2"/>
        <v>0.18166800000000194</v>
      </c>
      <c r="M43" s="14">
        <f t="shared" si="3"/>
        <v>2</v>
      </c>
    </row>
    <row r="44" spans="1:13" x14ac:dyDescent="0.25">
      <c r="A44" s="14" t="s">
        <v>572</v>
      </c>
      <c r="B44" s="20"/>
      <c r="C44" s="16">
        <v>0.25</v>
      </c>
      <c r="D44" s="17" t="s">
        <v>527</v>
      </c>
      <c r="E44" s="14">
        <v>25.08</v>
      </c>
      <c r="F44" s="14">
        <v>37</v>
      </c>
      <c r="G44" s="14">
        <v>66.3</v>
      </c>
      <c r="H44" s="18">
        <v>123</v>
      </c>
      <c r="I44" s="19">
        <v>124.95912</v>
      </c>
      <c r="J44" s="12">
        <f t="shared" si="0"/>
        <v>1.9591199999999986</v>
      </c>
      <c r="K44" s="14">
        <f t="shared" si="1"/>
        <v>3.8381511743999948</v>
      </c>
      <c r="L44" s="14">
        <f t="shared" si="2"/>
        <v>1.592780487804877</v>
      </c>
      <c r="M44" s="14">
        <f t="shared" si="3"/>
        <v>3</v>
      </c>
    </row>
    <row r="45" spans="1:13" x14ac:dyDescent="0.25">
      <c r="A45" s="14" t="s">
        <v>573</v>
      </c>
      <c r="B45" s="20"/>
      <c r="C45" s="16">
        <v>0.27083333333333331</v>
      </c>
      <c r="D45" s="17" t="s">
        <v>527</v>
      </c>
      <c r="E45" s="14">
        <v>22.876000000000001</v>
      </c>
      <c r="F45" s="14">
        <v>29</v>
      </c>
      <c r="G45" s="14">
        <v>58</v>
      </c>
      <c r="H45" s="18">
        <v>113</v>
      </c>
      <c r="I45" s="19">
        <v>114.183764</v>
      </c>
      <c r="J45" s="12">
        <f t="shared" si="0"/>
        <v>1.1837639999999965</v>
      </c>
      <c r="K45" s="14">
        <f t="shared" si="1"/>
        <v>1.4012972076959918</v>
      </c>
      <c r="L45" s="14">
        <f t="shared" si="2"/>
        <v>1.0475787610619438</v>
      </c>
      <c r="M45" s="14">
        <f t="shared" si="3"/>
        <v>4</v>
      </c>
    </row>
    <row r="46" spans="1:13" x14ac:dyDescent="0.25">
      <c r="A46" s="14" t="s">
        <v>574</v>
      </c>
      <c r="B46" s="20"/>
      <c r="C46" s="16">
        <v>0.29166666666666669</v>
      </c>
      <c r="D46" s="17" t="s">
        <v>527</v>
      </c>
      <c r="E46" s="14">
        <v>20.997</v>
      </c>
      <c r="F46" s="14">
        <v>64</v>
      </c>
      <c r="G46" s="14">
        <v>58.1</v>
      </c>
      <c r="H46" s="18">
        <v>105</v>
      </c>
      <c r="I46" s="19">
        <v>104.997333</v>
      </c>
      <c r="J46" s="12">
        <f t="shared" si="0"/>
        <v>2.6670000000024174E-3</v>
      </c>
      <c r="K46" s="14">
        <f t="shared" si="1"/>
        <v>7.1128890000128944E-6</v>
      </c>
      <c r="L46" s="14">
        <f t="shared" si="2"/>
        <v>2.5400000000023021E-3</v>
      </c>
      <c r="M46" s="14">
        <f t="shared" si="3"/>
        <v>5</v>
      </c>
    </row>
    <row r="47" spans="1:13" x14ac:dyDescent="0.25">
      <c r="A47" s="14" t="s">
        <v>575</v>
      </c>
      <c r="B47" s="20"/>
      <c r="C47" s="16">
        <v>0.3125</v>
      </c>
      <c r="D47" s="17" t="s">
        <v>527</v>
      </c>
      <c r="E47" s="14">
        <v>21.677</v>
      </c>
      <c r="F47" s="14">
        <v>22</v>
      </c>
      <c r="G47" s="14">
        <v>75.2</v>
      </c>
      <c r="H47" s="18">
        <v>108</v>
      </c>
      <c r="I47" s="19">
        <v>108.321853</v>
      </c>
      <c r="J47" s="12">
        <f t="shared" si="0"/>
        <v>0.32185300000000439</v>
      </c>
      <c r="K47" s="14">
        <f t="shared" si="1"/>
        <v>0.10358935360900283</v>
      </c>
      <c r="L47" s="14">
        <f t="shared" si="2"/>
        <v>0.2980120370370411</v>
      </c>
      <c r="M47" s="14">
        <f t="shared" si="3"/>
        <v>1</v>
      </c>
    </row>
    <row r="48" spans="1:13" x14ac:dyDescent="0.25">
      <c r="A48" s="14" t="s">
        <v>576</v>
      </c>
      <c r="B48" s="20"/>
      <c r="C48" s="16">
        <v>0.33333333333333331</v>
      </c>
      <c r="D48" s="17" t="s">
        <v>527</v>
      </c>
      <c r="E48" s="14">
        <v>20.105</v>
      </c>
      <c r="F48" s="14">
        <v>31</v>
      </c>
      <c r="G48" s="14">
        <v>75.8</v>
      </c>
      <c r="H48" s="18">
        <v>100</v>
      </c>
      <c r="I48" s="19">
        <v>100.63634500000001</v>
      </c>
      <c r="J48" s="12">
        <f t="shared" si="0"/>
        <v>0.63634500000000571</v>
      </c>
      <c r="K48" s="14">
        <f t="shared" si="1"/>
        <v>0.40493495902500726</v>
      </c>
      <c r="L48" s="14">
        <f t="shared" si="2"/>
        <v>0.63634500000000571</v>
      </c>
      <c r="M48" s="14">
        <f t="shared" si="3"/>
        <v>2</v>
      </c>
    </row>
    <row r="49" spans="1:13" x14ac:dyDescent="0.25">
      <c r="A49" s="14" t="s">
        <v>577</v>
      </c>
      <c r="B49" s="20"/>
      <c r="C49" s="16">
        <v>0.35416666666666669</v>
      </c>
      <c r="D49" s="17" t="s">
        <v>527</v>
      </c>
      <c r="E49" s="14">
        <v>19.143999999999998</v>
      </c>
      <c r="F49" s="14">
        <v>81</v>
      </c>
      <c r="G49" s="14">
        <v>63.7</v>
      </c>
      <c r="H49" s="18">
        <v>95</v>
      </c>
      <c r="I49" s="19">
        <v>95.938016000000005</v>
      </c>
      <c r="J49" s="12">
        <f t="shared" si="0"/>
        <v>0.93801600000000462</v>
      </c>
      <c r="K49" s="14">
        <f t="shared" si="1"/>
        <v>0.8798740162560087</v>
      </c>
      <c r="L49" s="14">
        <f t="shared" si="2"/>
        <v>0.98738526315789965</v>
      </c>
      <c r="M49" s="14">
        <f t="shared" si="3"/>
        <v>3</v>
      </c>
    </row>
    <row r="50" spans="1:13" x14ac:dyDescent="0.25">
      <c r="A50" s="14" t="s">
        <v>578</v>
      </c>
      <c r="B50" s="20"/>
      <c r="C50" s="16">
        <v>0.375</v>
      </c>
      <c r="D50" s="17" t="s">
        <v>527</v>
      </c>
      <c r="E50" s="14">
        <v>21.35</v>
      </c>
      <c r="F50" s="14">
        <v>55</v>
      </c>
      <c r="G50" s="14">
        <v>83.7</v>
      </c>
      <c r="H50" s="18">
        <v>110</v>
      </c>
      <c r="I50" s="19">
        <v>106.72315</v>
      </c>
      <c r="J50" s="12">
        <f t="shared" si="0"/>
        <v>3.276849999999996</v>
      </c>
      <c r="K50" s="14">
        <f t="shared" si="1"/>
        <v>10.737745922499974</v>
      </c>
      <c r="L50" s="14">
        <f t="shared" si="2"/>
        <v>2.9789545454545419</v>
      </c>
      <c r="M50" s="14">
        <f t="shared" si="3"/>
        <v>4</v>
      </c>
    </row>
    <row r="51" spans="1:13" x14ac:dyDescent="0.25">
      <c r="A51" s="14" t="s">
        <v>579</v>
      </c>
      <c r="B51" s="20"/>
      <c r="C51" s="16">
        <v>0.39583333333333331</v>
      </c>
      <c r="D51" s="17" t="s">
        <v>527</v>
      </c>
      <c r="E51" s="14">
        <v>20.492999999999999</v>
      </c>
      <c r="F51" s="14">
        <v>54</v>
      </c>
      <c r="G51" s="14">
        <v>69.599999999999994</v>
      </c>
      <c r="H51" s="18">
        <v>103</v>
      </c>
      <c r="I51" s="19">
        <v>102.533277</v>
      </c>
      <c r="J51" s="12">
        <f t="shared" si="0"/>
        <v>0.46672300000000178</v>
      </c>
      <c r="K51" s="14">
        <f t="shared" si="1"/>
        <v>0.21783035872900167</v>
      </c>
      <c r="L51" s="14">
        <f t="shared" si="2"/>
        <v>0.45312912621359397</v>
      </c>
      <c r="M51" s="14">
        <f t="shared" si="3"/>
        <v>5</v>
      </c>
    </row>
    <row r="52" spans="1:13" x14ac:dyDescent="0.25">
      <c r="A52" s="14" t="s">
        <v>580</v>
      </c>
      <c r="B52" s="21"/>
      <c r="C52" s="16">
        <v>0.40625</v>
      </c>
      <c r="D52" s="17" t="s">
        <v>527</v>
      </c>
      <c r="E52" s="14">
        <v>21.870999999999999</v>
      </c>
      <c r="F52" s="14">
        <v>28</v>
      </c>
      <c r="G52" s="14">
        <v>85.9</v>
      </c>
      <c r="H52" s="18">
        <v>112</v>
      </c>
      <c r="I52" s="19">
        <v>109.270319</v>
      </c>
      <c r="J52" s="12">
        <f t="shared" si="0"/>
        <v>2.7296809999999994</v>
      </c>
      <c r="K52" s="14">
        <f t="shared" si="1"/>
        <v>7.4511583617609967</v>
      </c>
      <c r="L52" s="14">
        <f t="shared" si="2"/>
        <v>2.437215178571428</v>
      </c>
      <c r="M52" s="14">
        <f t="shared" si="3"/>
        <v>1</v>
      </c>
    </row>
    <row r="53" spans="1:13" x14ac:dyDescent="0.25">
      <c r="A53" s="14" t="s">
        <v>581</v>
      </c>
      <c r="B53" s="15" t="s">
        <v>582</v>
      </c>
      <c r="C53" s="16">
        <v>0.22916666666666671</v>
      </c>
      <c r="D53" s="17" t="s">
        <v>527</v>
      </c>
      <c r="E53" s="14">
        <v>19.055</v>
      </c>
      <c r="F53" s="14">
        <v>20</v>
      </c>
      <c r="G53" s="14">
        <v>55.4</v>
      </c>
      <c r="H53" s="18">
        <v>93</v>
      </c>
      <c r="I53" s="19">
        <v>95.502895000000009</v>
      </c>
      <c r="J53" s="12">
        <f t="shared" si="0"/>
        <v>2.5028950000000094</v>
      </c>
      <c r="K53" s="14">
        <f t="shared" si="1"/>
        <v>6.2644833810250473</v>
      </c>
      <c r="L53" s="14">
        <f t="shared" si="2"/>
        <v>2.6912849462365696</v>
      </c>
      <c r="M53" s="14">
        <f t="shared" si="3"/>
        <v>2</v>
      </c>
    </row>
    <row r="54" spans="1:13" x14ac:dyDescent="0.25">
      <c r="A54" s="14" t="s">
        <v>583</v>
      </c>
      <c r="B54" s="20"/>
      <c r="C54" s="16">
        <v>0.25</v>
      </c>
      <c r="D54" s="17" t="s">
        <v>527</v>
      </c>
      <c r="E54" s="14">
        <v>19.378</v>
      </c>
      <c r="F54" s="14">
        <v>50</v>
      </c>
      <c r="G54" s="14">
        <v>65.099999999999994</v>
      </c>
      <c r="H54" s="18">
        <v>97</v>
      </c>
      <c r="I54" s="19">
        <v>97.082042000000015</v>
      </c>
      <c r="J54" s="12">
        <f t="shared" si="0"/>
        <v>8.2042000000015491E-2</v>
      </c>
      <c r="K54" s="14">
        <f t="shared" si="1"/>
        <v>6.7308897640025421E-3</v>
      </c>
      <c r="L54" s="14">
        <f t="shared" si="2"/>
        <v>8.4579381443314935E-2</v>
      </c>
      <c r="M54" s="14">
        <f t="shared" si="3"/>
        <v>3</v>
      </c>
    </row>
    <row r="55" spans="1:13" x14ac:dyDescent="0.25">
      <c r="A55" s="14" t="s">
        <v>584</v>
      </c>
      <c r="B55" s="20"/>
      <c r="C55" s="16">
        <v>0.27083333333333331</v>
      </c>
      <c r="D55" s="17" t="s">
        <v>527</v>
      </c>
      <c r="E55" s="14">
        <v>17.518999999999998</v>
      </c>
      <c r="F55" s="14">
        <v>67</v>
      </c>
      <c r="G55" s="14">
        <v>59.7</v>
      </c>
      <c r="H55" s="18">
        <v>86</v>
      </c>
      <c r="I55" s="19">
        <v>87.993391000000003</v>
      </c>
      <c r="J55" s="12">
        <f t="shared" si="0"/>
        <v>1.9933910000000026</v>
      </c>
      <c r="K55" s="14">
        <f t="shared" si="1"/>
        <v>3.9736076788810104</v>
      </c>
      <c r="L55" s="14">
        <f t="shared" si="2"/>
        <v>2.31789651162791</v>
      </c>
      <c r="M55" s="14">
        <f t="shared" si="3"/>
        <v>4</v>
      </c>
    </row>
    <row r="56" spans="1:13" x14ac:dyDescent="0.25">
      <c r="A56" s="14" t="s">
        <v>585</v>
      </c>
      <c r="B56" s="20"/>
      <c r="C56" s="16">
        <v>0.29166666666666669</v>
      </c>
      <c r="D56" s="17" t="s">
        <v>527</v>
      </c>
      <c r="E56" s="14">
        <v>18.95</v>
      </c>
      <c r="F56" s="14">
        <v>27</v>
      </c>
      <c r="G56" s="14">
        <v>69.400000000000006</v>
      </c>
      <c r="H56" s="18">
        <v>94</v>
      </c>
      <c r="I56" s="19">
        <v>94.989550000000008</v>
      </c>
      <c r="J56" s="12">
        <f t="shared" si="0"/>
        <v>0.98955000000000837</v>
      </c>
      <c r="K56" s="14">
        <f t="shared" si="1"/>
        <v>0.97920920250001653</v>
      </c>
      <c r="L56" s="14">
        <f t="shared" si="2"/>
        <v>1.0527127659574558</v>
      </c>
      <c r="M56" s="14">
        <f t="shared" si="3"/>
        <v>5</v>
      </c>
    </row>
    <row r="57" spans="1:13" x14ac:dyDescent="0.25">
      <c r="A57" s="14" t="s">
        <v>586</v>
      </c>
      <c r="B57" s="20"/>
      <c r="C57" s="16">
        <v>0.3125</v>
      </c>
      <c r="D57" s="17" t="s">
        <v>527</v>
      </c>
      <c r="E57" s="14">
        <v>20.797999999999998</v>
      </c>
      <c r="F57" s="14">
        <v>22</v>
      </c>
      <c r="G57" s="14">
        <v>79.099999999999994</v>
      </c>
      <c r="H57" s="18">
        <v>106</v>
      </c>
      <c r="I57" s="19">
        <v>104.024422</v>
      </c>
      <c r="J57" s="12">
        <f t="shared" si="0"/>
        <v>1.9755779999999987</v>
      </c>
      <c r="K57" s="14">
        <f t="shared" si="1"/>
        <v>3.902908434083995</v>
      </c>
      <c r="L57" s="14">
        <f t="shared" si="2"/>
        <v>1.8637528301886781</v>
      </c>
      <c r="M57" s="14">
        <f t="shared" si="3"/>
        <v>1</v>
      </c>
    </row>
    <row r="58" spans="1:13" x14ac:dyDescent="0.25">
      <c r="A58" s="14" t="s">
        <v>587</v>
      </c>
      <c r="B58" s="20"/>
      <c r="C58" s="16">
        <v>0.33333333333333331</v>
      </c>
      <c r="D58" s="17" t="s">
        <v>527</v>
      </c>
      <c r="E58" s="14">
        <v>18.574999999999999</v>
      </c>
      <c r="F58" s="14">
        <v>40</v>
      </c>
      <c r="G58" s="14">
        <v>87.4</v>
      </c>
      <c r="H58" s="18">
        <v>93</v>
      </c>
      <c r="I58" s="19">
        <v>93.156175000000005</v>
      </c>
      <c r="J58" s="12">
        <f t="shared" si="0"/>
        <v>0.15617500000000462</v>
      </c>
      <c r="K58" s="14">
        <f t="shared" si="1"/>
        <v>2.4390630625001443E-2</v>
      </c>
      <c r="L58" s="14">
        <f t="shared" si="2"/>
        <v>0.1679301075268867</v>
      </c>
      <c r="M58" s="14">
        <f t="shared" si="3"/>
        <v>2</v>
      </c>
    </row>
    <row r="59" spans="1:13" x14ac:dyDescent="0.25">
      <c r="A59" s="14" t="s">
        <v>588</v>
      </c>
      <c r="B59" s="20"/>
      <c r="C59" s="16">
        <v>0.35416666666666669</v>
      </c>
      <c r="D59" s="17" t="s">
        <v>527</v>
      </c>
      <c r="E59" s="14">
        <v>20.681000000000001</v>
      </c>
      <c r="F59" s="14">
        <v>27</v>
      </c>
      <c r="G59" s="14">
        <v>92.3</v>
      </c>
      <c r="H59" s="18">
        <v>104</v>
      </c>
      <c r="I59" s="19">
        <v>103.452409</v>
      </c>
      <c r="J59" s="12">
        <f t="shared" si="0"/>
        <v>0.54759099999999705</v>
      </c>
      <c r="K59" s="14">
        <f t="shared" si="1"/>
        <v>0.29985590328099676</v>
      </c>
      <c r="L59" s="14">
        <f t="shared" si="2"/>
        <v>0.52652980769230484</v>
      </c>
      <c r="M59" s="14">
        <f t="shared" si="3"/>
        <v>3</v>
      </c>
    </row>
    <row r="60" spans="1:13" x14ac:dyDescent="0.25">
      <c r="A60" s="14" t="s">
        <v>589</v>
      </c>
      <c r="B60" s="20"/>
      <c r="C60" s="16">
        <v>0.375</v>
      </c>
      <c r="D60" s="17" t="s">
        <v>527</v>
      </c>
      <c r="E60" s="14">
        <v>16.178999999999998</v>
      </c>
      <c r="F60" s="14">
        <v>61</v>
      </c>
      <c r="G60" s="14">
        <v>62.8</v>
      </c>
      <c r="H60" s="18">
        <v>84</v>
      </c>
      <c r="I60" s="19">
        <v>81.442131000000003</v>
      </c>
      <c r="J60" s="12">
        <f t="shared" si="0"/>
        <v>2.5578689999999966</v>
      </c>
      <c r="K60" s="14">
        <f t="shared" si="1"/>
        <v>6.5426938211609826</v>
      </c>
      <c r="L60" s="14">
        <f t="shared" si="2"/>
        <v>3.0450821428571389</v>
      </c>
      <c r="M60" s="14">
        <f t="shared" si="3"/>
        <v>4</v>
      </c>
    </row>
    <row r="61" spans="1:13" x14ac:dyDescent="0.25">
      <c r="A61" s="14" t="s">
        <v>590</v>
      </c>
      <c r="B61" s="20"/>
      <c r="C61" s="16">
        <v>0.39583333333333331</v>
      </c>
      <c r="D61" s="17" t="s">
        <v>527</v>
      </c>
      <c r="E61" s="14">
        <v>20.353999999999999</v>
      </c>
      <c r="F61" s="14">
        <v>22</v>
      </c>
      <c r="G61" s="14">
        <v>73</v>
      </c>
      <c r="H61" s="18">
        <v>103</v>
      </c>
      <c r="I61" s="19">
        <v>101.853706</v>
      </c>
      <c r="J61" s="12">
        <f t="shared" si="0"/>
        <v>1.1462939999999975</v>
      </c>
      <c r="K61" s="14">
        <f t="shared" si="1"/>
        <v>1.3139899344359942</v>
      </c>
      <c r="L61" s="14">
        <f t="shared" si="2"/>
        <v>1.1129067961165025</v>
      </c>
      <c r="M61" s="14">
        <f t="shared" si="3"/>
        <v>5</v>
      </c>
    </row>
    <row r="62" spans="1:13" x14ac:dyDescent="0.25">
      <c r="A62" s="14" t="s">
        <v>591</v>
      </c>
      <c r="B62" s="21"/>
      <c r="C62" s="16">
        <v>0.40625</v>
      </c>
      <c r="D62" s="17" t="s">
        <v>527</v>
      </c>
      <c r="E62" s="14">
        <v>20.734999999999999</v>
      </c>
      <c r="F62" s="14">
        <v>30</v>
      </c>
      <c r="G62" s="14">
        <v>60.8</v>
      </c>
      <c r="H62" s="18">
        <v>104</v>
      </c>
      <c r="I62" s="19">
        <v>103.716415</v>
      </c>
      <c r="J62" s="12">
        <f t="shared" si="0"/>
        <v>0.2835850000000022</v>
      </c>
      <c r="K62" s="14">
        <f t="shared" si="1"/>
        <v>8.0420452225001243E-2</v>
      </c>
      <c r="L62" s="14">
        <f t="shared" si="2"/>
        <v>0.27267788461538672</v>
      </c>
      <c r="M62" s="14">
        <f t="shared" si="3"/>
        <v>1</v>
      </c>
    </row>
    <row r="63" spans="1:13" x14ac:dyDescent="0.25">
      <c r="A63" s="14" t="s">
        <v>592</v>
      </c>
      <c r="B63" s="15" t="s">
        <v>593</v>
      </c>
      <c r="C63" s="16">
        <v>0.22916666666666671</v>
      </c>
      <c r="D63" s="17" t="s">
        <v>527</v>
      </c>
      <c r="E63" s="14">
        <v>17.759</v>
      </c>
      <c r="F63" s="14">
        <v>57</v>
      </c>
      <c r="G63" s="14">
        <v>66.2</v>
      </c>
      <c r="H63" s="18">
        <v>89</v>
      </c>
      <c r="I63" s="19">
        <v>89.166751000000005</v>
      </c>
      <c r="J63" s="12">
        <f t="shared" si="0"/>
        <v>0.16675100000000498</v>
      </c>
      <c r="K63" s="14">
        <f t="shared" si="1"/>
        <v>2.7805896001001661E-2</v>
      </c>
      <c r="L63" s="14">
        <f t="shared" si="2"/>
        <v>0.18736067415730898</v>
      </c>
      <c r="M63" s="14">
        <f t="shared" si="3"/>
        <v>2</v>
      </c>
    </row>
    <row r="64" spans="1:13" x14ac:dyDescent="0.25">
      <c r="A64" s="14" t="s">
        <v>594</v>
      </c>
      <c r="B64" s="20"/>
      <c r="C64" s="16">
        <v>0.25</v>
      </c>
      <c r="D64" s="17" t="s">
        <v>527</v>
      </c>
      <c r="E64" s="14">
        <v>18.472000000000001</v>
      </c>
      <c r="F64" s="14">
        <v>24</v>
      </c>
      <c r="G64" s="14">
        <v>86.8</v>
      </c>
      <c r="H64" s="18">
        <v>95</v>
      </c>
      <c r="I64" s="19">
        <v>92.652608000000015</v>
      </c>
      <c r="J64" s="12">
        <f t="shared" si="0"/>
        <v>2.347391999999985</v>
      </c>
      <c r="K64" s="14">
        <f t="shared" si="1"/>
        <v>5.51024920166393</v>
      </c>
      <c r="L64" s="14">
        <f t="shared" si="2"/>
        <v>2.4709389473684054</v>
      </c>
      <c r="M64" s="14">
        <f t="shared" si="3"/>
        <v>3</v>
      </c>
    </row>
    <row r="65" spans="1:13" x14ac:dyDescent="0.25">
      <c r="A65" s="14" t="s">
        <v>595</v>
      </c>
      <c r="B65" s="20"/>
      <c r="C65" s="16">
        <v>0.27083333333333331</v>
      </c>
      <c r="D65" s="17" t="s">
        <v>527</v>
      </c>
      <c r="E65" s="14">
        <v>23.01</v>
      </c>
      <c r="F65" s="14">
        <v>82</v>
      </c>
      <c r="G65" s="14">
        <v>56.8</v>
      </c>
      <c r="H65" s="18">
        <v>113</v>
      </c>
      <c r="I65" s="19">
        <v>114.83889000000001</v>
      </c>
      <c r="J65" s="12">
        <f t="shared" si="0"/>
        <v>1.8388900000000064</v>
      </c>
      <c r="K65" s="14">
        <f t="shared" si="1"/>
        <v>3.3815164321000233</v>
      </c>
      <c r="L65" s="14">
        <f t="shared" si="2"/>
        <v>1.6273362831858464</v>
      </c>
      <c r="M65" s="14">
        <f t="shared" si="3"/>
        <v>4</v>
      </c>
    </row>
    <row r="66" spans="1:13" x14ac:dyDescent="0.25">
      <c r="A66" s="14" t="s">
        <v>596</v>
      </c>
      <c r="B66" s="20"/>
      <c r="C66" s="16">
        <v>0.29166666666666669</v>
      </c>
      <c r="D66" s="17" t="s">
        <v>527</v>
      </c>
      <c r="E66" s="14">
        <v>21.364000000000001</v>
      </c>
      <c r="F66" s="14">
        <v>80</v>
      </c>
      <c r="G66" s="14">
        <v>89</v>
      </c>
      <c r="H66" s="18">
        <v>107</v>
      </c>
      <c r="I66" s="19">
        <v>106.791596</v>
      </c>
      <c r="J66" s="12">
        <f t="shared" si="0"/>
        <v>0.20840400000000159</v>
      </c>
      <c r="K66" s="14">
        <f t="shared" si="1"/>
        <v>4.3432227216000659E-2</v>
      </c>
      <c r="L66" s="14">
        <f t="shared" si="2"/>
        <v>0.19477009345794541</v>
      </c>
      <c r="M66" s="14">
        <f t="shared" si="3"/>
        <v>5</v>
      </c>
    </row>
    <row r="67" spans="1:13" x14ac:dyDescent="0.25">
      <c r="A67" s="14" t="s">
        <v>597</v>
      </c>
      <c r="B67" s="20"/>
      <c r="C67" s="16">
        <v>0.3125</v>
      </c>
      <c r="D67" s="17" t="s">
        <v>527</v>
      </c>
      <c r="E67" s="14">
        <v>16.413</v>
      </c>
      <c r="F67" s="14">
        <v>34</v>
      </c>
      <c r="G67" s="14">
        <v>62.8</v>
      </c>
      <c r="H67" s="18">
        <v>82</v>
      </c>
      <c r="I67" s="19">
        <v>82.586157000000014</v>
      </c>
      <c r="J67" s="12">
        <f t="shared" ref="J67:J130" si="4">IF(OR(H67="",I67=""),"",ABS(H67-I67))</f>
        <v>0.58615700000001425</v>
      </c>
      <c r="K67" s="14">
        <f t="shared" ref="K67:K130" si="5">IF(OR(H67="",I67=""),"",(H67-I67)^2)</f>
        <v>0.34358002864901671</v>
      </c>
      <c r="L67" s="14">
        <f t="shared" ref="L67:L130" si="6">IF(OR(H67="",I67=""),"",IF(H67=0,"",ABS((H67-I67)/H67)*100))</f>
        <v>0.71482560975611498</v>
      </c>
      <c r="M67" s="14">
        <f t="shared" ref="M67:M130" si="7">MOD(ROW()-2,5)+1</f>
        <v>1</v>
      </c>
    </row>
    <row r="68" spans="1:13" x14ac:dyDescent="0.25">
      <c r="A68" s="14" t="s">
        <v>598</v>
      </c>
      <c r="B68" s="20"/>
      <c r="C68" s="16">
        <v>0.33333333333333331</v>
      </c>
      <c r="D68" s="17" t="s">
        <v>527</v>
      </c>
      <c r="E68" s="14">
        <v>21.343</v>
      </c>
      <c r="F68" s="14">
        <v>26</v>
      </c>
      <c r="G68" s="14">
        <v>94.5</v>
      </c>
      <c r="H68" s="18">
        <v>106</v>
      </c>
      <c r="I68" s="19">
        <v>106.68892700000001</v>
      </c>
      <c r="J68" s="12">
        <f t="shared" si="4"/>
        <v>0.68892700000000673</v>
      </c>
      <c r="K68" s="14">
        <f t="shared" si="5"/>
        <v>0.47462041132900928</v>
      </c>
      <c r="L68" s="14">
        <f t="shared" si="6"/>
        <v>0.64993113207547804</v>
      </c>
      <c r="M68" s="14">
        <f t="shared" si="7"/>
        <v>2</v>
      </c>
    </row>
    <row r="69" spans="1:13" x14ac:dyDescent="0.25">
      <c r="A69" s="14" t="s">
        <v>599</v>
      </c>
      <c r="B69" s="20"/>
      <c r="C69" s="16">
        <v>0.35416666666666669</v>
      </c>
      <c r="D69" s="17" t="s">
        <v>527</v>
      </c>
      <c r="E69" s="14">
        <v>22.719000000000001</v>
      </c>
      <c r="F69" s="14">
        <v>32</v>
      </c>
      <c r="G69" s="14">
        <v>68.5</v>
      </c>
      <c r="H69" s="18">
        <v>115</v>
      </c>
      <c r="I69" s="19">
        <v>113.416191</v>
      </c>
      <c r="J69" s="12">
        <f t="shared" si="4"/>
        <v>1.5838090000000022</v>
      </c>
      <c r="K69" s="14">
        <f t="shared" si="5"/>
        <v>2.5084509484810069</v>
      </c>
      <c r="L69" s="14">
        <f t="shared" si="6"/>
        <v>1.3772252173913064</v>
      </c>
      <c r="M69" s="14">
        <f t="shared" si="7"/>
        <v>3</v>
      </c>
    </row>
    <row r="70" spans="1:13" x14ac:dyDescent="0.25">
      <c r="A70" s="14" t="s">
        <v>600</v>
      </c>
      <c r="B70" s="20"/>
      <c r="C70" s="16">
        <v>0.375</v>
      </c>
      <c r="D70" s="17" t="s">
        <v>527</v>
      </c>
      <c r="E70" s="14">
        <v>21.963000000000001</v>
      </c>
      <c r="F70" s="14">
        <v>41</v>
      </c>
      <c r="G70" s="14">
        <v>66.7</v>
      </c>
      <c r="H70" s="18">
        <v>109</v>
      </c>
      <c r="I70" s="19">
        <v>109.720107</v>
      </c>
      <c r="J70" s="12">
        <f t="shared" si="4"/>
        <v>0.72010699999999872</v>
      </c>
      <c r="K70" s="14">
        <f t="shared" si="5"/>
        <v>0.51855409144899811</v>
      </c>
      <c r="L70" s="14">
        <f t="shared" si="6"/>
        <v>0.66064862385320988</v>
      </c>
      <c r="M70" s="14">
        <f t="shared" si="7"/>
        <v>4</v>
      </c>
    </row>
    <row r="71" spans="1:13" x14ac:dyDescent="0.25">
      <c r="A71" s="14" t="s">
        <v>601</v>
      </c>
      <c r="B71" s="20"/>
      <c r="C71" s="16">
        <v>0.39583333333333331</v>
      </c>
      <c r="D71" s="17" t="s">
        <v>527</v>
      </c>
      <c r="E71" s="14">
        <v>22.869</v>
      </c>
      <c r="F71" s="14">
        <v>55</v>
      </c>
      <c r="G71" s="14">
        <v>79.3</v>
      </c>
      <c r="H71" s="18">
        <v>115</v>
      </c>
      <c r="I71" s="19">
        <v>114.149541</v>
      </c>
      <c r="J71" s="12">
        <f t="shared" si="4"/>
        <v>0.85045900000000074</v>
      </c>
      <c r="K71" s="14">
        <f t="shared" si="5"/>
        <v>0.7232805106810013</v>
      </c>
      <c r="L71" s="14">
        <f t="shared" si="6"/>
        <v>0.73952956521739199</v>
      </c>
      <c r="M71" s="14">
        <f t="shared" si="7"/>
        <v>5</v>
      </c>
    </row>
    <row r="72" spans="1:13" x14ac:dyDescent="0.25">
      <c r="A72" s="14" t="s">
        <v>602</v>
      </c>
      <c r="B72" s="21"/>
      <c r="C72" s="16">
        <v>0.40625</v>
      </c>
      <c r="D72" s="17" t="s">
        <v>527</v>
      </c>
      <c r="E72" s="14">
        <v>20.881</v>
      </c>
      <c r="F72" s="14">
        <v>52</v>
      </c>
      <c r="G72" s="14">
        <v>86.4</v>
      </c>
      <c r="H72" s="18">
        <v>106</v>
      </c>
      <c r="I72" s="19">
        <v>104.430209</v>
      </c>
      <c r="J72" s="12">
        <f t="shared" si="4"/>
        <v>1.5697909999999951</v>
      </c>
      <c r="K72" s="14">
        <f t="shared" si="5"/>
        <v>2.4642437836809843</v>
      </c>
      <c r="L72" s="14">
        <f t="shared" si="6"/>
        <v>1.4809349056603727</v>
      </c>
      <c r="M72" s="14">
        <f t="shared" si="7"/>
        <v>1</v>
      </c>
    </row>
    <row r="73" spans="1:13" x14ac:dyDescent="0.25">
      <c r="A73" s="14" t="s">
        <v>603</v>
      </c>
      <c r="B73" s="15" t="s">
        <v>604</v>
      </c>
      <c r="C73" s="16">
        <v>0.22916666666666671</v>
      </c>
      <c r="D73" s="17" t="s">
        <v>527</v>
      </c>
      <c r="E73" s="14">
        <v>24.004000000000001</v>
      </c>
      <c r="F73" s="14">
        <v>66</v>
      </c>
      <c r="G73" s="14">
        <v>87.6</v>
      </c>
      <c r="H73" s="18">
        <v>119</v>
      </c>
      <c r="I73" s="19">
        <v>119.698556</v>
      </c>
      <c r="J73" s="12">
        <f t="shared" si="4"/>
        <v>0.6985559999999964</v>
      </c>
      <c r="K73" s="14">
        <f t="shared" si="5"/>
        <v>0.48798048513599496</v>
      </c>
      <c r="L73" s="14">
        <f t="shared" si="6"/>
        <v>0.5870218487394927</v>
      </c>
      <c r="M73" s="14">
        <f t="shared" si="7"/>
        <v>2</v>
      </c>
    </row>
    <row r="74" spans="1:13" x14ac:dyDescent="0.25">
      <c r="A74" s="14" t="s">
        <v>605</v>
      </c>
      <c r="B74" s="20"/>
      <c r="C74" s="16">
        <v>0.25</v>
      </c>
      <c r="D74" s="17" t="s">
        <v>527</v>
      </c>
      <c r="E74" s="14">
        <v>19.731000000000002</v>
      </c>
      <c r="F74" s="14">
        <v>79</v>
      </c>
      <c r="G74" s="14">
        <v>82.9</v>
      </c>
      <c r="H74" s="18">
        <v>96</v>
      </c>
      <c r="I74" s="19">
        <v>98.807859000000022</v>
      </c>
      <c r="J74" s="12">
        <f t="shared" si="4"/>
        <v>2.8078590000000219</v>
      </c>
      <c r="K74" s="14">
        <f t="shared" si="5"/>
        <v>7.8840721638811226</v>
      </c>
      <c r="L74" s="14">
        <f t="shared" si="6"/>
        <v>2.9248531250000225</v>
      </c>
      <c r="M74" s="14">
        <f t="shared" si="7"/>
        <v>3</v>
      </c>
    </row>
    <row r="75" spans="1:13" x14ac:dyDescent="0.25">
      <c r="A75" s="14" t="s">
        <v>606</v>
      </c>
      <c r="B75" s="20"/>
      <c r="C75" s="16">
        <v>0.27083333333333331</v>
      </c>
      <c r="D75" s="17" t="s">
        <v>527</v>
      </c>
      <c r="E75" s="14">
        <v>18.058</v>
      </c>
      <c r="F75" s="14">
        <v>77</v>
      </c>
      <c r="G75" s="14">
        <v>77.400000000000006</v>
      </c>
      <c r="H75" s="18">
        <v>89</v>
      </c>
      <c r="I75" s="19">
        <v>90.628562000000002</v>
      </c>
      <c r="J75" s="12">
        <f t="shared" si="4"/>
        <v>1.6285620000000023</v>
      </c>
      <c r="K75" s="14">
        <f t="shared" si="5"/>
        <v>2.6522141878440073</v>
      </c>
      <c r="L75" s="14">
        <f t="shared" si="6"/>
        <v>1.8298449438202273</v>
      </c>
      <c r="M75" s="14">
        <f t="shared" si="7"/>
        <v>4</v>
      </c>
    </row>
    <row r="76" spans="1:13" x14ac:dyDescent="0.25">
      <c r="A76" s="14" t="s">
        <v>607</v>
      </c>
      <c r="B76" s="20"/>
      <c r="C76" s="16">
        <v>0.29166666666666669</v>
      </c>
      <c r="D76" s="17" t="s">
        <v>527</v>
      </c>
      <c r="E76" s="14">
        <v>22.129000000000001</v>
      </c>
      <c r="F76" s="14">
        <v>67</v>
      </c>
      <c r="G76" s="14">
        <v>56</v>
      </c>
      <c r="H76" s="18">
        <v>109</v>
      </c>
      <c r="I76" s="19">
        <v>110.53168100000001</v>
      </c>
      <c r="J76" s="12">
        <f t="shared" si="4"/>
        <v>1.5316810000000061</v>
      </c>
      <c r="K76" s="14">
        <f t="shared" si="5"/>
        <v>2.3460466857610185</v>
      </c>
      <c r="L76" s="14">
        <f t="shared" si="6"/>
        <v>1.4052119266055101</v>
      </c>
      <c r="M76" s="14">
        <f t="shared" si="7"/>
        <v>5</v>
      </c>
    </row>
    <row r="77" spans="1:13" x14ac:dyDescent="0.25">
      <c r="A77" s="14" t="s">
        <v>608</v>
      </c>
      <c r="B77" s="20"/>
      <c r="C77" s="16">
        <v>0.3125</v>
      </c>
      <c r="D77" s="17" t="s">
        <v>527</v>
      </c>
      <c r="E77" s="14">
        <v>20.815000000000001</v>
      </c>
      <c r="F77" s="14">
        <v>26</v>
      </c>
      <c r="G77" s="14">
        <v>55.6</v>
      </c>
      <c r="H77" s="18">
        <v>105</v>
      </c>
      <c r="I77" s="19">
        <v>104.107535</v>
      </c>
      <c r="J77" s="12">
        <f t="shared" si="4"/>
        <v>0.8924650000000014</v>
      </c>
      <c r="K77" s="14">
        <f t="shared" si="5"/>
        <v>0.7964937762250025</v>
      </c>
      <c r="L77" s="14">
        <f t="shared" si="6"/>
        <v>0.84996666666666798</v>
      </c>
      <c r="M77" s="14">
        <f t="shared" si="7"/>
        <v>1</v>
      </c>
    </row>
    <row r="78" spans="1:13" x14ac:dyDescent="0.25">
      <c r="A78" s="14" t="s">
        <v>609</v>
      </c>
      <c r="B78" s="20"/>
      <c r="C78" s="16">
        <v>0.33333333333333331</v>
      </c>
      <c r="D78" s="17" t="s">
        <v>527</v>
      </c>
      <c r="E78" s="14">
        <v>19.431000000000001</v>
      </c>
      <c r="F78" s="14">
        <v>51</v>
      </c>
      <c r="G78" s="14">
        <v>77.3</v>
      </c>
      <c r="H78" s="18">
        <v>100</v>
      </c>
      <c r="I78" s="19">
        <v>97.341159000000019</v>
      </c>
      <c r="J78" s="12">
        <f t="shared" si="4"/>
        <v>2.6588409999999811</v>
      </c>
      <c r="K78" s="14">
        <f t="shared" si="5"/>
        <v>7.0694354632808993</v>
      </c>
      <c r="L78" s="14">
        <f t="shared" si="6"/>
        <v>2.6588409999999811</v>
      </c>
      <c r="M78" s="14">
        <f t="shared" si="7"/>
        <v>2</v>
      </c>
    </row>
    <row r="79" spans="1:13" x14ac:dyDescent="0.25">
      <c r="A79" s="14" t="s">
        <v>610</v>
      </c>
      <c r="B79" s="20"/>
      <c r="C79" s="16">
        <v>0.35416666666666669</v>
      </c>
      <c r="D79" s="17" t="s">
        <v>527</v>
      </c>
      <c r="E79" s="14">
        <v>23.331</v>
      </c>
      <c r="F79" s="14">
        <v>52</v>
      </c>
      <c r="G79" s="14">
        <v>94.6</v>
      </c>
      <c r="H79" s="18">
        <v>114</v>
      </c>
      <c r="I79" s="19">
        <v>116.408259</v>
      </c>
      <c r="J79" s="12">
        <f t="shared" si="4"/>
        <v>2.408259000000001</v>
      </c>
      <c r="K79" s="14">
        <f t="shared" si="5"/>
        <v>5.7997114110810051</v>
      </c>
      <c r="L79" s="14">
        <f t="shared" si="6"/>
        <v>2.1125078947368428</v>
      </c>
      <c r="M79" s="14">
        <f t="shared" si="7"/>
        <v>3</v>
      </c>
    </row>
    <row r="80" spans="1:13" x14ac:dyDescent="0.25">
      <c r="A80" s="14" t="s">
        <v>611</v>
      </c>
      <c r="B80" s="20"/>
      <c r="C80" s="16">
        <v>0.375</v>
      </c>
      <c r="D80" s="17" t="s">
        <v>527</v>
      </c>
      <c r="E80" s="14">
        <v>21.332000000000001</v>
      </c>
      <c r="F80" s="14">
        <v>21</v>
      </c>
      <c r="G80" s="14">
        <v>92.8</v>
      </c>
      <c r="H80" s="18">
        <v>103</v>
      </c>
      <c r="I80" s="19">
        <v>106.635148</v>
      </c>
      <c r="J80" s="12">
        <f t="shared" si="4"/>
        <v>3.6351480000000009</v>
      </c>
      <c r="K80" s="14">
        <f t="shared" si="5"/>
        <v>13.214300981904007</v>
      </c>
      <c r="L80" s="14">
        <f t="shared" si="6"/>
        <v>3.5292699029126227</v>
      </c>
      <c r="M80" s="14">
        <f t="shared" si="7"/>
        <v>4</v>
      </c>
    </row>
    <row r="81" spans="1:13" x14ac:dyDescent="0.25">
      <c r="A81" s="14" t="s">
        <v>612</v>
      </c>
      <c r="B81" s="20"/>
      <c r="C81" s="16">
        <v>0.39583333333333331</v>
      </c>
      <c r="D81" s="17" t="s">
        <v>527</v>
      </c>
      <c r="E81" s="14">
        <v>24.15</v>
      </c>
      <c r="F81" s="14">
        <v>57</v>
      </c>
      <c r="G81" s="14">
        <v>63.3</v>
      </c>
      <c r="H81" s="18">
        <v>118</v>
      </c>
      <c r="I81" s="19">
        <v>120.41235</v>
      </c>
      <c r="J81" s="12">
        <f t="shared" si="4"/>
        <v>2.4123500000000035</v>
      </c>
      <c r="K81" s="14">
        <f t="shared" si="5"/>
        <v>5.8194325225000174</v>
      </c>
      <c r="L81" s="14">
        <f t="shared" si="6"/>
        <v>2.044364406779664</v>
      </c>
      <c r="M81" s="14">
        <f t="shared" si="7"/>
        <v>5</v>
      </c>
    </row>
    <row r="82" spans="1:13" x14ac:dyDescent="0.25">
      <c r="A82" s="14" t="s">
        <v>613</v>
      </c>
      <c r="B82" s="21"/>
      <c r="C82" s="16">
        <v>0.40625</v>
      </c>
      <c r="D82" s="17" t="s">
        <v>527</v>
      </c>
      <c r="E82" s="14">
        <v>21.68</v>
      </c>
      <c r="F82" s="14">
        <v>81</v>
      </c>
      <c r="G82" s="14">
        <v>76</v>
      </c>
      <c r="H82" s="18">
        <v>109</v>
      </c>
      <c r="I82" s="19">
        <v>108.33651999999999</v>
      </c>
      <c r="J82" s="12">
        <f t="shared" si="4"/>
        <v>0.66348000000000695</v>
      </c>
      <c r="K82" s="14">
        <f t="shared" si="5"/>
        <v>0.44020571040000922</v>
      </c>
      <c r="L82" s="14">
        <f t="shared" si="6"/>
        <v>0.60869724770642841</v>
      </c>
      <c r="M82" s="14">
        <f t="shared" si="7"/>
        <v>1</v>
      </c>
    </row>
    <row r="83" spans="1:13" x14ac:dyDescent="0.25">
      <c r="A83" s="14" t="s">
        <v>614</v>
      </c>
      <c r="B83" s="15" t="s">
        <v>615</v>
      </c>
      <c r="C83" s="16">
        <v>0.22916666666666671</v>
      </c>
      <c r="D83" s="17" t="s">
        <v>527</v>
      </c>
      <c r="E83" s="14">
        <v>23.588999999999999</v>
      </c>
      <c r="F83" s="14">
        <v>39</v>
      </c>
      <c r="G83" s="14">
        <v>64.8</v>
      </c>
      <c r="H83" s="18">
        <v>120</v>
      </c>
      <c r="I83" s="19">
        <v>117.66962100000001</v>
      </c>
      <c r="J83" s="12">
        <f t="shared" si="4"/>
        <v>2.3303789999999935</v>
      </c>
      <c r="K83" s="14">
        <f t="shared" si="5"/>
        <v>5.4306662836409698</v>
      </c>
      <c r="L83" s="14">
        <f t="shared" si="6"/>
        <v>1.9419824999999946</v>
      </c>
      <c r="M83" s="14">
        <f t="shared" si="7"/>
        <v>2</v>
      </c>
    </row>
    <row r="84" spans="1:13" x14ac:dyDescent="0.25">
      <c r="A84" s="14" t="s">
        <v>616</v>
      </c>
      <c r="B84" s="20"/>
      <c r="C84" s="16">
        <v>0.25</v>
      </c>
      <c r="D84" s="17" t="s">
        <v>527</v>
      </c>
      <c r="E84" s="14">
        <v>22.02</v>
      </c>
      <c r="F84" s="14">
        <v>77</v>
      </c>
      <c r="G84" s="14">
        <v>74.8</v>
      </c>
      <c r="H84" s="18">
        <v>112</v>
      </c>
      <c r="I84" s="19">
        <v>109.99878</v>
      </c>
      <c r="J84" s="12">
        <f t="shared" si="4"/>
        <v>2.0012200000000036</v>
      </c>
      <c r="K84" s="14">
        <f t="shared" si="5"/>
        <v>4.0048814884000139</v>
      </c>
      <c r="L84" s="14">
        <f t="shared" si="6"/>
        <v>1.7868035714285746</v>
      </c>
      <c r="M84" s="14">
        <f t="shared" si="7"/>
        <v>3</v>
      </c>
    </row>
    <row r="85" spans="1:13" x14ac:dyDescent="0.25">
      <c r="A85" s="14" t="s">
        <v>617</v>
      </c>
      <c r="B85" s="20"/>
      <c r="C85" s="16">
        <v>0.27083333333333331</v>
      </c>
      <c r="D85" s="17" t="s">
        <v>527</v>
      </c>
      <c r="E85" s="14">
        <v>22.6</v>
      </c>
      <c r="F85" s="14">
        <v>81</v>
      </c>
      <c r="G85" s="14">
        <v>79.099999999999994</v>
      </c>
      <c r="H85" s="18">
        <v>116</v>
      </c>
      <c r="I85" s="19">
        <v>112.8344</v>
      </c>
      <c r="J85" s="12">
        <f t="shared" si="4"/>
        <v>3.1655999999999977</v>
      </c>
      <c r="K85" s="14">
        <f t="shared" si="5"/>
        <v>10.021023359999985</v>
      </c>
      <c r="L85" s="14">
        <f t="shared" si="6"/>
        <v>2.7289655172413774</v>
      </c>
      <c r="M85" s="14">
        <f t="shared" si="7"/>
        <v>4</v>
      </c>
    </row>
    <row r="86" spans="1:13" x14ac:dyDescent="0.25">
      <c r="A86" s="14" t="s">
        <v>618</v>
      </c>
      <c r="B86" s="20"/>
      <c r="C86" s="16">
        <v>0.29166666666666669</v>
      </c>
      <c r="D86" s="17" t="s">
        <v>527</v>
      </c>
      <c r="E86" s="14">
        <v>21.161999999999999</v>
      </c>
      <c r="F86" s="14">
        <v>28</v>
      </c>
      <c r="G86" s="14">
        <v>70</v>
      </c>
      <c r="H86" s="18">
        <v>106</v>
      </c>
      <c r="I86" s="19">
        <v>105.804018</v>
      </c>
      <c r="J86" s="12">
        <f t="shared" si="4"/>
        <v>0.19598200000000077</v>
      </c>
      <c r="K86" s="14">
        <f t="shared" si="5"/>
        <v>3.8408944324000299E-2</v>
      </c>
      <c r="L86" s="14">
        <f t="shared" si="6"/>
        <v>0.18488867924528374</v>
      </c>
      <c r="M86" s="14">
        <f t="shared" si="7"/>
        <v>5</v>
      </c>
    </row>
    <row r="87" spans="1:13" x14ac:dyDescent="0.25">
      <c r="A87" s="14" t="s">
        <v>619</v>
      </c>
      <c r="B87" s="20"/>
      <c r="C87" s="16">
        <v>0.3125</v>
      </c>
      <c r="D87" s="17" t="s">
        <v>527</v>
      </c>
      <c r="E87" s="14">
        <v>20.771999999999998</v>
      </c>
      <c r="F87" s="14">
        <v>31</v>
      </c>
      <c r="G87" s="14">
        <v>65</v>
      </c>
      <c r="H87" s="18">
        <v>101</v>
      </c>
      <c r="I87" s="19">
        <v>103.897308</v>
      </c>
      <c r="J87" s="12">
        <f t="shared" si="4"/>
        <v>2.8973079999999953</v>
      </c>
      <c r="K87" s="14">
        <f t="shared" si="5"/>
        <v>8.394393646863973</v>
      </c>
      <c r="L87" s="14">
        <f t="shared" si="6"/>
        <v>2.8686217821782134</v>
      </c>
      <c r="M87" s="14">
        <f t="shared" si="7"/>
        <v>1</v>
      </c>
    </row>
    <row r="88" spans="1:13" x14ac:dyDescent="0.25">
      <c r="A88" s="14" t="s">
        <v>620</v>
      </c>
      <c r="B88" s="20"/>
      <c r="C88" s="16">
        <v>0.33333333333333331</v>
      </c>
      <c r="D88" s="17" t="s">
        <v>527</v>
      </c>
      <c r="E88" s="14">
        <v>24.95</v>
      </c>
      <c r="F88" s="14">
        <v>77</v>
      </c>
      <c r="G88" s="14">
        <v>57.3</v>
      </c>
      <c r="H88" s="18">
        <v>125</v>
      </c>
      <c r="I88" s="19">
        <v>124.32355</v>
      </c>
      <c r="J88" s="12">
        <f t="shared" si="4"/>
        <v>0.67645000000000266</v>
      </c>
      <c r="K88" s="14">
        <f t="shared" si="5"/>
        <v>0.4575846025000036</v>
      </c>
      <c r="L88" s="14">
        <f t="shared" si="6"/>
        <v>0.54116000000000219</v>
      </c>
      <c r="M88" s="14">
        <f t="shared" si="7"/>
        <v>2</v>
      </c>
    </row>
    <row r="89" spans="1:13" x14ac:dyDescent="0.25">
      <c r="A89" s="14" t="s">
        <v>621</v>
      </c>
      <c r="B89" s="20"/>
      <c r="C89" s="16">
        <v>0.35416666666666669</v>
      </c>
      <c r="D89" s="17" t="s">
        <v>527</v>
      </c>
      <c r="E89" s="14">
        <v>22.507999999999999</v>
      </c>
      <c r="F89" s="14">
        <v>47</v>
      </c>
      <c r="G89" s="14">
        <v>93.3</v>
      </c>
      <c r="H89" s="18">
        <v>112</v>
      </c>
      <c r="I89" s="19">
        <v>112.384612</v>
      </c>
      <c r="J89" s="12">
        <f t="shared" si="4"/>
        <v>0.38461200000000417</v>
      </c>
      <c r="K89" s="14">
        <f t="shared" si="5"/>
        <v>0.14792639054400322</v>
      </c>
      <c r="L89" s="14">
        <f t="shared" si="6"/>
        <v>0.34340357142857514</v>
      </c>
      <c r="M89" s="14">
        <f t="shared" si="7"/>
        <v>3</v>
      </c>
    </row>
    <row r="90" spans="1:13" x14ac:dyDescent="0.25">
      <c r="A90" s="14" t="s">
        <v>622</v>
      </c>
      <c r="B90" s="20"/>
      <c r="C90" s="16">
        <v>0.375</v>
      </c>
      <c r="D90" s="17" t="s">
        <v>527</v>
      </c>
      <c r="E90" s="14">
        <v>21.09</v>
      </c>
      <c r="F90" s="14">
        <v>52</v>
      </c>
      <c r="G90" s="14">
        <v>94.4</v>
      </c>
      <c r="H90" s="18">
        <v>103</v>
      </c>
      <c r="I90" s="19">
        <v>105.45201</v>
      </c>
      <c r="J90" s="12">
        <f t="shared" si="4"/>
        <v>2.4520100000000014</v>
      </c>
      <c r="K90" s="14">
        <f t="shared" si="5"/>
        <v>6.0123530401000069</v>
      </c>
      <c r="L90" s="14">
        <f t="shared" si="6"/>
        <v>2.3805922330097098</v>
      </c>
      <c r="M90" s="14">
        <f t="shared" si="7"/>
        <v>4</v>
      </c>
    </row>
    <row r="91" spans="1:13" x14ac:dyDescent="0.25">
      <c r="A91" s="14" t="s">
        <v>623</v>
      </c>
      <c r="B91" s="20"/>
      <c r="C91" s="16">
        <v>0.39583333333333331</v>
      </c>
      <c r="D91" s="17" t="s">
        <v>527</v>
      </c>
      <c r="E91" s="14">
        <v>14.856</v>
      </c>
      <c r="F91" s="14">
        <v>54</v>
      </c>
      <c r="G91" s="14">
        <v>64.400000000000006</v>
      </c>
      <c r="H91" s="18">
        <v>75</v>
      </c>
      <c r="I91" s="19">
        <v>74.973984000000002</v>
      </c>
      <c r="J91" s="12">
        <f t="shared" si="4"/>
        <v>2.6015999999998485E-2</v>
      </c>
      <c r="K91" s="14">
        <f t="shared" si="5"/>
        <v>6.7683225599992117E-4</v>
      </c>
      <c r="L91" s="14">
        <f t="shared" si="6"/>
        <v>3.4687999999997984E-2</v>
      </c>
      <c r="M91" s="14">
        <f t="shared" si="7"/>
        <v>5</v>
      </c>
    </row>
    <row r="92" spans="1:13" x14ac:dyDescent="0.25">
      <c r="A92" s="14" t="s">
        <v>624</v>
      </c>
      <c r="B92" s="21"/>
      <c r="C92" s="16">
        <v>0.40625</v>
      </c>
      <c r="D92" s="17" t="s">
        <v>527</v>
      </c>
      <c r="E92" s="14">
        <v>23.324999999999999</v>
      </c>
      <c r="F92" s="14">
        <v>22</v>
      </c>
      <c r="G92" s="14">
        <v>80</v>
      </c>
      <c r="H92" s="18">
        <v>113</v>
      </c>
      <c r="I92" s="19">
        <v>116.378925</v>
      </c>
      <c r="J92" s="12">
        <f t="shared" si="4"/>
        <v>3.3789249999999953</v>
      </c>
      <c r="K92" s="14">
        <f t="shared" si="5"/>
        <v>11.417134155624968</v>
      </c>
      <c r="L92" s="14">
        <f t="shared" si="6"/>
        <v>2.9901991150442435</v>
      </c>
      <c r="M92" s="14">
        <f t="shared" si="7"/>
        <v>1</v>
      </c>
    </row>
    <row r="93" spans="1:13" x14ac:dyDescent="0.25">
      <c r="A93" s="14" t="s">
        <v>625</v>
      </c>
      <c r="B93" s="15" t="s">
        <v>626</v>
      </c>
      <c r="C93" s="16">
        <v>0.22916666666666671</v>
      </c>
      <c r="D93" s="17" t="s">
        <v>527</v>
      </c>
      <c r="E93" s="14">
        <v>21.91</v>
      </c>
      <c r="F93" s="14">
        <v>43</v>
      </c>
      <c r="G93" s="14">
        <v>87.3</v>
      </c>
      <c r="H93" s="18">
        <v>106</v>
      </c>
      <c r="I93" s="19">
        <v>109.46099</v>
      </c>
      <c r="J93" s="12">
        <f t="shared" si="4"/>
        <v>3.4609899999999953</v>
      </c>
      <c r="K93" s="14">
        <f t="shared" si="5"/>
        <v>11.978451780099968</v>
      </c>
      <c r="L93" s="14">
        <f t="shared" si="6"/>
        <v>3.2650849056603732</v>
      </c>
      <c r="M93" s="14">
        <f t="shared" si="7"/>
        <v>2</v>
      </c>
    </row>
    <row r="94" spans="1:13" x14ac:dyDescent="0.25">
      <c r="A94" s="14" t="s">
        <v>627</v>
      </c>
      <c r="B94" s="20"/>
      <c r="C94" s="16">
        <v>0.25</v>
      </c>
      <c r="D94" s="17" t="s">
        <v>527</v>
      </c>
      <c r="E94" s="14">
        <v>23.353000000000002</v>
      </c>
      <c r="F94" s="14">
        <v>79</v>
      </c>
      <c r="G94" s="14">
        <v>87.8</v>
      </c>
      <c r="H94" s="18">
        <v>117</v>
      </c>
      <c r="I94" s="19">
        <v>116.515817</v>
      </c>
      <c r="J94" s="12">
        <f t="shared" si="4"/>
        <v>0.48418300000000158</v>
      </c>
      <c r="K94" s="14">
        <f t="shared" si="5"/>
        <v>0.23443317748900153</v>
      </c>
      <c r="L94" s="14">
        <f t="shared" si="6"/>
        <v>0.41383162393162531</v>
      </c>
      <c r="M94" s="14">
        <f t="shared" si="7"/>
        <v>3</v>
      </c>
    </row>
    <row r="95" spans="1:13" x14ac:dyDescent="0.25">
      <c r="A95" s="14" t="s">
        <v>628</v>
      </c>
      <c r="B95" s="20"/>
      <c r="C95" s="16">
        <v>0.27083333333333331</v>
      </c>
      <c r="D95" s="17" t="s">
        <v>527</v>
      </c>
      <c r="E95" s="14">
        <v>19.393999999999998</v>
      </c>
      <c r="F95" s="14">
        <v>21</v>
      </c>
      <c r="G95" s="14">
        <v>64.3</v>
      </c>
      <c r="H95" s="18">
        <v>98</v>
      </c>
      <c r="I95" s="19">
        <v>97.160265999999993</v>
      </c>
      <c r="J95" s="12">
        <f t="shared" si="4"/>
        <v>0.83973400000000709</v>
      </c>
      <c r="K95" s="14">
        <f t="shared" si="5"/>
        <v>0.70515319075601191</v>
      </c>
      <c r="L95" s="14">
        <f t="shared" si="6"/>
        <v>0.85687142857143583</v>
      </c>
      <c r="M95" s="14">
        <f t="shared" si="7"/>
        <v>4</v>
      </c>
    </row>
    <row r="96" spans="1:13" x14ac:dyDescent="0.25">
      <c r="A96" s="14" t="s">
        <v>629</v>
      </c>
      <c r="B96" s="20"/>
      <c r="C96" s="16">
        <v>0.29166666666666669</v>
      </c>
      <c r="D96" s="17" t="s">
        <v>527</v>
      </c>
      <c r="E96" s="14">
        <v>18.248000000000001</v>
      </c>
      <c r="F96" s="14">
        <v>59</v>
      </c>
      <c r="G96" s="14">
        <v>69.900000000000006</v>
      </c>
      <c r="H96" s="18">
        <v>90</v>
      </c>
      <c r="I96" s="19">
        <v>91.557472000000018</v>
      </c>
      <c r="J96" s="12">
        <f t="shared" si="4"/>
        <v>1.5574720000000184</v>
      </c>
      <c r="K96" s="14">
        <f t="shared" si="5"/>
        <v>2.4257190307840575</v>
      </c>
      <c r="L96" s="14">
        <f t="shared" si="6"/>
        <v>1.730524444444465</v>
      </c>
      <c r="M96" s="14">
        <f t="shared" si="7"/>
        <v>5</v>
      </c>
    </row>
    <row r="97" spans="1:13" x14ac:dyDescent="0.25">
      <c r="A97" s="14" t="s">
        <v>630</v>
      </c>
      <c r="B97" s="20"/>
      <c r="C97" s="16">
        <v>0.3125</v>
      </c>
      <c r="D97" s="17" t="s">
        <v>527</v>
      </c>
      <c r="E97" s="14">
        <v>24.475999999999999</v>
      </c>
      <c r="F97" s="14">
        <v>35</v>
      </c>
      <c r="G97" s="14">
        <v>58.8</v>
      </c>
      <c r="H97" s="18">
        <v>123</v>
      </c>
      <c r="I97" s="19">
        <v>122.006164</v>
      </c>
      <c r="J97" s="12">
        <f t="shared" si="4"/>
        <v>0.99383600000000172</v>
      </c>
      <c r="K97" s="14">
        <f t="shared" si="5"/>
        <v>0.98770999489600342</v>
      </c>
      <c r="L97" s="14">
        <f t="shared" si="6"/>
        <v>0.80799674796748111</v>
      </c>
      <c r="M97" s="14">
        <f t="shared" si="7"/>
        <v>1</v>
      </c>
    </row>
    <row r="98" spans="1:13" x14ac:dyDescent="0.25">
      <c r="A98" s="14" t="s">
        <v>631</v>
      </c>
      <c r="B98" s="20"/>
      <c r="C98" s="16">
        <v>0.33333333333333331</v>
      </c>
      <c r="D98" s="17" t="s">
        <v>527</v>
      </c>
      <c r="E98" s="14">
        <v>21.187999999999999</v>
      </c>
      <c r="F98" s="14">
        <v>57</v>
      </c>
      <c r="G98" s="14">
        <v>76.599999999999994</v>
      </c>
      <c r="H98" s="18">
        <v>108</v>
      </c>
      <c r="I98" s="19">
        <v>105.93113200000001</v>
      </c>
      <c r="J98" s="12">
        <f t="shared" si="4"/>
        <v>2.0688679999999948</v>
      </c>
      <c r="K98" s="14">
        <f t="shared" si="5"/>
        <v>4.2802148014239787</v>
      </c>
      <c r="L98" s="14">
        <f t="shared" si="6"/>
        <v>1.9156185185185137</v>
      </c>
      <c r="M98" s="14">
        <f t="shared" si="7"/>
        <v>2</v>
      </c>
    </row>
    <row r="99" spans="1:13" x14ac:dyDescent="0.25">
      <c r="A99" s="14" t="s">
        <v>632</v>
      </c>
      <c r="B99" s="20"/>
      <c r="C99" s="16">
        <v>0.35416666666666669</v>
      </c>
      <c r="D99" s="17" t="s">
        <v>527</v>
      </c>
      <c r="E99" s="14">
        <v>16.655999999999999</v>
      </c>
      <c r="F99" s="14">
        <v>56</v>
      </c>
      <c r="G99" s="14">
        <v>89.4</v>
      </c>
      <c r="H99" s="18">
        <v>81</v>
      </c>
      <c r="I99" s="19">
        <v>83.774184000000005</v>
      </c>
      <c r="J99" s="12">
        <f t="shared" si="4"/>
        <v>2.7741840000000053</v>
      </c>
      <c r="K99" s="14">
        <f t="shared" si="5"/>
        <v>7.6960968658560294</v>
      </c>
      <c r="L99" s="14">
        <f t="shared" si="6"/>
        <v>3.4249185185185249</v>
      </c>
      <c r="M99" s="14">
        <f t="shared" si="7"/>
        <v>3</v>
      </c>
    </row>
    <row r="100" spans="1:13" x14ac:dyDescent="0.25">
      <c r="A100" s="14" t="s">
        <v>633</v>
      </c>
      <c r="B100" s="20"/>
      <c r="C100" s="16">
        <v>0.375</v>
      </c>
      <c r="D100" s="17" t="s">
        <v>527</v>
      </c>
      <c r="E100" s="14">
        <v>21.832999999999998</v>
      </c>
      <c r="F100" s="14">
        <v>31</v>
      </c>
      <c r="G100" s="14">
        <v>58.7</v>
      </c>
      <c r="H100" s="18">
        <v>107</v>
      </c>
      <c r="I100" s="19">
        <v>109.084537</v>
      </c>
      <c r="J100" s="12">
        <f t="shared" si="4"/>
        <v>2.0845369999999974</v>
      </c>
      <c r="K100" s="14">
        <f t="shared" si="5"/>
        <v>4.3452945043689892</v>
      </c>
      <c r="L100" s="14">
        <f t="shared" si="6"/>
        <v>1.9481654205607453</v>
      </c>
      <c r="M100" s="14">
        <f t="shared" si="7"/>
        <v>4</v>
      </c>
    </row>
    <row r="101" spans="1:13" x14ac:dyDescent="0.25">
      <c r="A101" s="14" t="s">
        <v>634</v>
      </c>
      <c r="B101" s="20"/>
      <c r="C101" s="16">
        <v>0.39583333333333331</v>
      </c>
      <c r="D101" s="17" t="s">
        <v>527</v>
      </c>
      <c r="E101" s="14">
        <v>18.855</v>
      </c>
      <c r="F101" s="14">
        <v>49</v>
      </c>
      <c r="G101" s="14">
        <v>85.7</v>
      </c>
      <c r="H101" s="18">
        <v>94</v>
      </c>
      <c r="I101" s="19">
        <v>94.525095000000007</v>
      </c>
      <c r="J101" s="12">
        <f t="shared" si="4"/>
        <v>0.52509500000000742</v>
      </c>
      <c r="K101" s="14">
        <f t="shared" si="5"/>
        <v>0.27572475902500782</v>
      </c>
      <c r="L101" s="14">
        <f t="shared" si="6"/>
        <v>0.55861170212766742</v>
      </c>
      <c r="M101" s="14">
        <f t="shared" si="7"/>
        <v>5</v>
      </c>
    </row>
    <row r="102" spans="1:13" x14ac:dyDescent="0.25">
      <c r="A102" s="14" t="s">
        <v>635</v>
      </c>
      <c r="B102" s="21"/>
      <c r="C102" s="16">
        <v>0.40625</v>
      </c>
      <c r="D102" s="17" t="s">
        <v>527</v>
      </c>
      <c r="E102" s="14">
        <v>20.350000000000001</v>
      </c>
      <c r="F102" s="14">
        <v>68</v>
      </c>
      <c r="G102" s="14">
        <v>72.099999999999994</v>
      </c>
      <c r="H102" s="18">
        <v>104</v>
      </c>
      <c r="I102" s="19">
        <v>101.83414999999999</v>
      </c>
      <c r="J102" s="12">
        <f t="shared" si="4"/>
        <v>2.165850000000006</v>
      </c>
      <c r="K102" s="14">
        <f t="shared" si="5"/>
        <v>4.6909062225000264</v>
      </c>
      <c r="L102" s="14">
        <f t="shared" si="6"/>
        <v>2.0825480769230831</v>
      </c>
      <c r="M102" s="14">
        <f t="shared" si="7"/>
        <v>1</v>
      </c>
    </row>
    <row r="103" spans="1:13" x14ac:dyDescent="0.25">
      <c r="A103" s="14" t="s">
        <v>636</v>
      </c>
      <c r="B103" s="15" t="s">
        <v>637</v>
      </c>
      <c r="C103" s="16">
        <v>0.22916666666666671</v>
      </c>
      <c r="D103" s="17" t="s">
        <v>527</v>
      </c>
      <c r="E103" s="14">
        <v>22.762</v>
      </c>
      <c r="F103" s="14">
        <v>55</v>
      </c>
      <c r="G103" s="14">
        <v>88.6</v>
      </c>
      <c r="H103" s="18">
        <v>116</v>
      </c>
      <c r="I103" s="19">
        <v>113.626418</v>
      </c>
      <c r="J103" s="12">
        <f t="shared" si="4"/>
        <v>2.373581999999999</v>
      </c>
      <c r="K103" s="14">
        <f t="shared" si="5"/>
        <v>5.6338915107239949</v>
      </c>
      <c r="L103" s="14">
        <f t="shared" si="6"/>
        <v>2.0461913793103439</v>
      </c>
      <c r="M103" s="14">
        <f t="shared" si="7"/>
        <v>2</v>
      </c>
    </row>
    <row r="104" spans="1:13" x14ac:dyDescent="0.25">
      <c r="A104" s="14" t="s">
        <v>638</v>
      </c>
      <c r="B104" s="20"/>
      <c r="C104" s="16">
        <v>0.25</v>
      </c>
      <c r="D104" s="17" t="s">
        <v>527</v>
      </c>
      <c r="E104" s="14">
        <v>22.038</v>
      </c>
      <c r="F104" s="14">
        <v>40</v>
      </c>
      <c r="G104" s="14">
        <v>65.099999999999994</v>
      </c>
      <c r="H104" s="18">
        <v>110</v>
      </c>
      <c r="I104" s="19">
        <v>110.086782</v>
      </c>
      <c r="J104" s="12">
        <f t="shared" si="4"/>
        <v>8.6781999999999471E-2</v>
      </c>
      <c r="K104" s="14">
        <f t="shared" si="5"/>
        <v>7.5311155239999083E-3</v>
      </c>
      <c r="L104" s="14">
        <f t="shared" si="6"/>
        <v>7.8892727272726781E-2</v>
      </c>
      <c r="M104" s="14">
        <f t="shared" si="7"/>
        <v>3</v>
      </c>
    </row>
    <row r="105" spans="1:13" x14ac:dyDescent="0.25">
      <c r="A105" s="14" t="s">
        <v>639</v>
      </c>
      <c r="B105" s="20"/>
      <c r="C105" s="16">
        <v>0.27083333333333331</v>
      </c>
      <c r="D105" s="17" t="s">
        <v>527</v>
      </c>
      <c r="E105" s="14">
        <v>23.222000000000001</v>
      </c>
      <c r="F105" s="14">
        <v>80</v>
      </c>
      <c r="G105" s="14">
        <v>72.3</v>
      </c>
      <c r="H105" s="18">
        <v>117</v>
      </c>
      <c r="I105" s="19">
        <v>115.87535800000001</v>
      </c>
      <c r="J105" s="12">
        <f t="shared" si="4"/>
        <v>1.1246419999999944</v>
      </c>
      <c r="K105" s="14">
        <f t="shared" si="5"/>
        <v>1.2648196281639874</v>
      </c>
      <c r="L105" s="14">
        <f t="shared" si="6"/>
        <v>0.96123247863247385</v>
      </c>
      <c r="M105" s="14">
        <f t="shared" si="7"/>
        <v>4</v>
      </c>
    </row>
    <row r="106" spans="1:13" x14ac:dyDescent="0.25">
      <c r="A106" s="14" t="s">
        <v>640</v>
      </c>
      <c r="B106" s="20"/>
      <c r="C106" s="16">
        <v>0.29166666666666669</v>
      </c>
      <c r="D106" s="17" t="s">
        <v>527</v>
      </c>
      <c r="E106" s="14">
        <v>22.077999999999999</v>
      </c>
      <c r="F106" s="14">
        <v>32</v>
      </c>
      <c r="G106" s="14">
        <v>55.2</v>
      </c>
      <c r="H106" s="18">
        <v>111</v>
      </c>
      <c r="I106" s="19">
        <v>110.282342</v>
      </c>
      <c r="J106" s="12">
        <f t="shared" si="4"/>
        <v>0.71765800000000013</v>
      </c>
      <c r="K106" s="14">
        <f t="shared" si="5"/>
        <v>0.51503300496400017</v>
      </c>
      <c r="L106" s="14">
        <f t="shared" si="6"/>
        <v>0.64653873873873879</v>
      </c>
      <c r="M106" s="14">
        <f t="shared" si="7"/>
        <v>5</v>
      </c>
    </row>
    <row r="107" spans="1:13" x14ac:dyDescent="0.25">
      <c r="A107" s="14" t="s">
        <v>641</v>
      </c>
      <c r="B107" s="20"/>
      <c r="C107" s="16">
        <v>0.3125</v>
      </c>
      <c r="D107" s="17" t="s">
        <v>527</v>
      </c>
      <c r="E107" s="14">
        <v>20.564</v>
      </c>
      <c r="F107" s="14">
        <v>42</v>
      </c>
      <c r="G107" s="14">
        <v>60.1</v>
      </c>
      <c r="H107" s="18">
        <v>101</v>
      </c>
      <c r="I107" s="19">
        <v>102.880396</v>
      </c>
      <c r="J107" s="12">
        <f t="shared" si="4"/>
        <v>1.8803960000000046</v>
      </c>
      <c r="K107" s="14">
        <f t="shared" si="5"/>
        <v>3.5358891168160174</v>
      </c>
      <c r="L107" s="14">
        <f t="shared" si="6"/>
        <v>1.8617782178217868</v>
      </c>
      <c r="M107" s="14">
        <f t="shared" si="7"/>
        <v>1</v>
      </c>
    </row>
    <row r="108" spans="1:13" x14ac:dyDescent="0.25">
      <c r="A108" s="14" t="s">
        <v>642</v>
      </c>
      <c r="B108" s="20"/>
      <c r="C108" s="16">
        <v>0.33333333333333331</v>
      </c>
      <c r="D108" s="17" t="s">
        <v>527</v>
      </c>
      <c r="E108" s="14">
        <v>25.861000000000001</v>
      </c>
      <c r="F108" s="14">
        <v>34</v>
      </c>
      <c r="G108" s="14">
        <v>78.8</v>
      </c>
      <c r="H108" s="18">
        <v>128</v>
      </c>
      <c r="I108" s="19">
        <v>128.77742900000001</v>
      </c>
      <c r="J108" s="12">
        <f t="shared" si="4"/>
        <v>0.77742900000001214</v>
      </c>
      <c r="K108" s="14">
        <f t="shared" si="5"/>
        <v>0.60439585004101892</v>
      </c>
      <c r="L108" s="14">
        <f t="shared" si="6"/>
        <v>0.60736640625000948</v>
      </c>
      <c r="M108" s="14">
        <f t="shared" si="7"/>
        <v>2</v>
      </c>
    </row>
    <row r="109" spans="1:13" x14ac:dyDescent="0.25">
      <c r="A109" s="14" t="s">
        <v>643</v>
      </c>
      <c r="B109" s="20"/>
      <c r="C109" s="16">
        <v>0.35416666666666669</v>
      </c>
      <c r="D109" s="17" t="s">
        <v>527</v>
      </c>
      <c r="E109" s="14">
        <v>22.491</v>
      </c>
      <c r="F109" s="14">
        <v>83</v>
      </c>
      <c r="G109" s="14">
        <v>77.5</v>
      </c>
      <c r="H109" s="18">
        <v>110</v>
      </c>
      <c r="I109" s="19">
        <v>112.30149900000001</v>
      </c>
      <c r="J109" s="12">
        <f t="shared" si="4"/>
        <v>2.3014990000000068</v>
      </c>
      <c r="K109" s="14">
        <f t="shared" si="5"/>
        <v>5.2968976470010318</v>
      </c>
      <c r="L109" s="14">
        <f t="shared" si="6"/>
        <v>2.0922718181818243</v>
      </c>
      <c r="M109" s="14">
        <f t="shared" si="7"/>
        <v>3</v>
      </c>
    </row>
    <row r="110" spans="1:13" x14ac:dyDescent="0.25">
      <c r="A110" s="14" t="s">
        <v>644</v>
      </c>
      <c r="B110" s="20"/>
      <c r="C110" s="16">
        <v>0.375</v>
      </c>
      <c r="D110" s="17" t="s">
        <v>527</v>
      </c>
      <c r="E110" s="14">
        <v>23.047000000000001</v>
      </c>
      <c r="F110" s="14">
        <v>70</v>
      </c>
      <c r="G110" s="14">
        <v>80.099999999999994</v>
      </c>
      <c r="H110" s="18">
        <v>117</v>
      </c>
      <c r="I110" s="19">
        <v>115.019783</v>
      </c>
      <c r="J110" s="12">
        <f t="shared" si="4"/>
        <v>1.9802169999999961</v>
      </c>
      <c r="K110" s="14">
        <f t="shared" si="5"/>
        <v>3.9212593670889846</v>
      </c>
      <c r="L110" s="14">
        <f t="shared" si="6"/>
        <v>1.6924931623931592</v>
      </c>
      <c r="M110" s="14">
        <f t="shared" si="7"/>
        <v>4</v>
      </c>
    </row>
    <row r="111" spans="1:13" x14ac:dyDescent="0.25">
      <c r="A111" s="14" t="s">
        <v>645</v>
      </c>
      <c r="B111" s="20"/>
      <c r="C111" s="16">
        <v>0.39583333333333331</v>
      </c>
      <c r="D111" s="17" t="s">
        <v>527</v>
      </c>
      <c r="E111" s="14">
        <v>17.277999999999999</v>
      </c>
      <c r="F111" s="14">
        <v>68</v>
      </c>
      <c r="G111" s="14">
        <v>87.9</v>
      </c>
      <c r="H111" s="18">
        <v>87</v>
      </c>
      <c r="I111" s="19">
        <v>86.815141999999994</v>
      </c>
      <c r="J111" s="12">
        <f t="shared" si="4"/>
        <v>0.18485800000000552</v>
      </c>
      <c r="K111" s="14">
        <f t="shared" si="5"/>
        <v>3.4172480164002039E-2</v>
      </c>
      <c r="L111" s="14">
        <f t="shared" si="6"/>
        <v>0.21248045977012128</v>
      </c>
      <c r="M111" s="14">
        <f t="shared" si="7"/>
        <v>5</v>
      </c>
    </row>
    <row r="112" spans="1:13" x14ac:dyDescent="0.25">
      <c r="A112" s="14" t="s">
        <v>646</v>
      </c>
      <c r="B112" s="21"/>
      <c r="C112" s="16">
        <v>0.40625</v>
      </c>
      <c r="D112" s="17" t="s">
        <v>527</v>
      </c>
      <c r="E112" s="14">
        <v>23.27</v>
      </c>
      <c r="F112" s="14">
        <v>56</v>
      </c>
      <c r="G112" s="14">
        <v>70.5</v>
      </c>
      <c r="H112" s="18">
        <v>115</v>
      </c>
      <c r="I112" s="19">
        <v>116.11002999999999</v>
      </c>
      <c r="J112" s="12">
        <f t="shared" si="4"/>
        <v>1.1100299999999947</v>
      </c>
      <c r="K112" s="14">
        <f t="shared" si="5"/>
        <v>1.2321666008999883</v>
      </c>
      <c r="L112" s="14">
        <f t="shared" si="6"/>
        <v>0.96524347826086498</v>
      </c>
      <c r="M112" s="14">
        <f t="shared" si="7"/>
        <v>1</v>
      </c>
    </row>
    <row r="113" spans="1:13" x14ac:dyDescent="0.25">
      <c r="A113" s="14" t="s">
        <v>647</v>
      </c>
      <c r="B113" s="15" t="s">
        <v>648</v>
      </c>
      <c r="C113" s="16">
        <v>0.22916666666666671</v>
      </c>
      <c r="D113" s="17" t="s">
        <v>527</v>
      </c>
      <c r="E113" s="14">
        <v>22.56</v>
      </c>
      <c r="F113" s="14">
        <v>68</v>
      </c>
      <c r="G113" s="14">
        <v>93.7</v>
      </c>
      <c r="H113" s="18">
        <v>112</v>
      </c>
      <c r="I113" s="19">
        <v>112.63884</v>
      </c>
      <c r="J113" s="12">
        <f t="shared" si="4"/>
        <v>0.63884000000000185</v>
      </c>
      <c r="K113" s="14">
        <f t="shared" si="5"/>
        <v>0.40811654560000238</v>
      </c>
      <c r="L113" s="14">
        <f t="shared" si="6"/>
        <v>0.57039285714285881</v>
      </c>
      <c r="M113" s="14">
        <f t="shared" si="7"/>
        <v>2</v>
      </c>
    </row>
    <row r="114" spans="1:13" x14ac:dyDescent="0.25">
      <c r="A114" s="14" t="s">
        <v>649</v>
      </c>
      <c r="B114" s="20"/>
      <c r="C114" s="16">
        <v>0.25</v>
      </c>
      <c r="D114" s="17" t="s">
        <v>527</v>
      </c>
      <c r="E114" s="14">
        <v>18.545999999999999</v>
      </c>
      <c r="F114" s="14">
        <v>23</v>
      </c>
      <c r="G114" s="14">
        <v>58.2</v>
      </c>
      <c r="H114" s="18">
        <v>90</v>
      </c>
      <c r="I114" s="19">
        <v>93.01439400000001</v>
      </c>
      <c r="J114" s="12">
        <f t="shared" si="4"/>
        <v>3.01439400000001</v>
      </c>
      <c r="K114" s="14">
        <f t="shared" si="5"/>
        <v>9.0865711872360606</v>
      </c>
      <c r="L114" s="14">
        <f t="shared" si="6"/>
        <v>3.3493266666666779</v>
      </c>
      <c r="M114" s="14">
        <f t="shared" si="7"/>
        <v>3</v>
      </c>
    </row>
    <row r="115" spans="1:13" x14ac:dyDescent="0.25">
      <c r="A115" s="14" t="s">
        <v>650</v>
      </c>
      <c r="B115" s="20"/>
      <c r="C115" s="16">
        <v>0.27083333333333331</v>
      </c>
      <c r="D115" s="17" t="s">
        <v>527</v>
      </c>
      <c r="E115" s="14">
        <v>24.058</v>
      </c>
      <c r="F115" s="14">
        <v>24</v>
      </c>
      <c r="G115" s="14">
        <v>75.2</v>
      </c>
      <c r="H115" s="18">
        <v>117</v>
      </c>
      <c r="I115" s="19">
        <v>119.96256200000001</v>
      </c>
      <c r="J115" s="12">
        <f t="shared" si="4"/>
        <v>2.9625620000000055</v>
      </c>
      <c r="K115" s="14">
        <f t="shared" si="5"/>
        <v>8.7767736038440329</v>
      </c>
      <c r="L115" s="14">
        <f t="shared" si="6"/>
        <v>2.5321042735042782</v>
      </c>
      <c r="M115" s="14">
        <f t="shared" si="7"/>
        <v>4</v>
      </c>
    </row>
    <row r="116" spans="1:13" x14ac:dyDescent="0.25">
      <c r="A116" s="14" t="s">
        <v>651</v>
      </c>
      <c r="B116" s="20"/>
      <c r="C116" s="16">
        <v>0.29166666666666669</v>
      </c>
      <c r="D116" s="17" t="s">
        <v>527</v>
      </c>
      <c r="E116" s="14">
        <v>22.391999999999999</v>
      </c>
      <c r="F116" s="14">
        <v>68</v>
      </c>
      <c r="G116" s="14">
        <v>55.7</v>
      </c>
      <c r="H116" s="18">
        <v>111</v>
      </c>
      <c r="I116" s="19">
        <v>111.817488</v>
      </c>
      <c r="J116" s="12">
        <f t="shared" si="4"/>
        <v>0.81748799999999733</v>
      </c>
      <c r="K116" s="14">
        <f t="shared" si="5"/>
        <v>0.66828663014399559</v>
      </c>
      <c r="L116" s="14">
        <f t="shared" si="6"/>
        <v>0.73647567567567329</v>
      </c>
      <c r="M116" s="14">
        <f t="shared" si="7"/>
        <v>5</v>
      </c>
    </row>
    <row r="117" spans="1:13" x14ac:dyDescent="0.25">
      <c r="A117" s="14" t="s">
        <v>652</v>
      </c>
      <c r="B117" s="20"/>
      <c r="C117" s="16">
        <v>0.3125</v>
      </c>
      <c r="D117" s="17" t="s">
        <v>527</v>
      </c>
      <c r="E117" s="14">
        <v>21.777999999999999</v>
      </c>
      <c r="F117" s="14">
        <v>59</v>
      </c>
      <c r="G117" s="14">
        <v>92.8</v>
      </c>
      <c r="H117" s="18">
        <v>107</v>
      </c>
      <c r="I117" s="19">
        <v>108.815642</v>
      </c>
      <c r="J117" s="12">
        <f t="shared" si="4"/>
        <v>1.8156419999999969</v>
      </c>
      <c r="K117" s="14">
        <f t="shared" si="5"/>
        <v>3.2965558721639887</v>
      </c>
      <c r="L117" s="14">
        <f t="shared" si="6"/>
        <v>1.6968616822429876</v>
      </c>
      <c r="M117" s="14">
        <f t="shared" si="7"/>
        <v>1</v>
      </c>
    </row>
    <row r="118" spans="1:13" x14ac:dyDescent="0.25">
      <c r="A118" s="14" t="s">
        <v>653</v>
      </c>
      <c r="B118" s="20"/>
      <c r="C118" s="16">
        <v>0.33333333333333331</v>
      </c>
      <c r="D118" s="17" t="s">
        <v>527</v>
      </c>
      <c r="E118" s="14">
        <v>17.885000000000002</v>
      </c>
      <c r="F118" s="14">
        <v>81</v>
      </c>
      <c r="G118" s="14">
        <v>58.3</v>
      </c>
      <c r="H118" s="18">
        <v>90</v>
      </c>
      <c r="I118" s="19">
        <v>89.782765000000012</v>
      </c>
      <c r="J118" s="12">
        <f t="shared" si="4"/>
        <v>0.21723499999998808</v>
      </c>
      <c r="K118" s="14">
        <f t="shared" si="5"/>
        <v>4.7191045224994822E-2</v>
      </c>
      <c r="L118" s="14">
        <f t="shared" si="6"/>
        <v>0.24137222222220897</v>
      </c>
      <c r="M118" s="14">
        <f t="shared" si="7"/>
        <v>2</v>
      </c>
    </row>
    <row r="119" spans="1:13" x14ac:dyDescent="0.25">
      <c r="A119" s="14" t="s">
        <v>654</v>
      </c>
      <c r="B119" s="20"/>
      <c r="C119" s="16">
        <v>0.35416666666666669</v>
      </c>
      <c r="D119" s="17" t="s">
        <v>527</v>
      </c>
      <c r="E119" s="14">
        <v>19.204999999999998</v>
      </c>
      <c r="F119" s="14">
        <v>32</v>
      </c>
      <c r="G119" s="14">
        <v>89</v>
      </c>
      <c r="H119" s="18">
        <v>96</v>
      </c>
      <c r="I119" s="19">
        <v>96.236244999999997</v>
      </c>
      <c r="J119" s="12">
        <f t="shared" si="4"/>
        <v>0.23624499999999671</v>
      </c>
      <c r="K119" s="14">
        <f t="shared" si="5"/>
        <v>5.5811700024998447E-2</v>
      </c>
      <c r="L119" s="14">
        <f t="shared" si="6"/>
        <v>0.24608854166666325</v>
      </c>
      <c r="M119" s="14">
        <f t="shared" si="7"/>
        <v>3</v>
      </c>
    </row>
    <row r="120" spans="1:13" x14ac:dyDescent="0.25">
      <c r="A120" s="14" t="s">
        <v>655</v>
      </c>
      <c r="B120" s="20"/>
      <c r="C120" s="16">
        <v>0.375</v>
      </c>
      <c r="D120" s="17" t="s">
        <v>527</v>
      </c>
      <c r="E120" s="14">
        <v>19.125</v>
      </c>
      <c r="F120" s="14">
        <v>46</v>
      </c>
      <c r="G120" s="14">
        <v>78.2</v>
      </c>
      <c r="H120" s="18">
        <v>94</v>
      </c>
      <c r="I120" s="19">
        <v>95.84512500000001</v>
      </c>
      <c r="J120" s="12">
        <f t="shared" si="4"/>
        <v>1.8451250000000101</v>
      </c>
      <c r="K120" s="14">
        <f t="shared" si="5"/>
        <v>3.4044862656250374</v>
      </c>
      <c r="L120" s="14">
        <f t="shared" si="6"/>
        <v>1.9628989361702234</v>
      </c>
      <c r="M120" s="14">
        <f t="shared" si="7"/>
        <v>4</v>
      </c>
    </row>
    <row r="121" spans="1:13" x14ac:dyDescent="0.25">
      <c r="A121" s="14" t="s">
        <v>656</v>
      </c>
      <c r="B121" s="20"/>
      <c r="C121" s="16">
        <v>0.39583333333333331</v>
      </c>
      <c r="D121" s="17" t="s">
        <v>527</v>
      </c>
      <c r="E121" s="14">
        <v>18.375</v>
      </c>
      <c r="F121" s="14">
        <v>50</v>
      </c>
      <c r="G121" s="14">
        <v>74.3</v>
      </c>
      <c r="H121" s="18">
        <v>89</v>
      </c>
      <c r="I121" s="19">
        <v>92.178375000000003</v>
      </c>
      <c r="J121" s="12">
        <f t="shared" si="4"/>
        <v>3.1783750000000026</v>
      </c>
      <c r="K121" s="14">
        <f t="shared" si="5"/>
        <v>10.102067640625016</v>
      </c>
      <c r="L121" s="14">
        <f t="shared" si="6"/>
        <v>3.5712078651685424</v>
      </c>
      <c r="M121" s="14">
        <f t="shared" si="7"/>
        <v>5</v>
      </c>
    </row>
    <row r="122" spans="1:13" x14ac:dyDescent="0.25">
      <c r="A122" s="14" t="s">
        <v>657</v>
      </c>
      <c r="B122" s="21"/>
      <c r="C122" s="16">
        <v>0.40625</v>
      </c>
      <c r="D122" s="17" t="s">
        <v>527</v>
      </c>
      <c r="E122" s="14">
        <v>21.06</v>
      </c>
      <c r="F122" s="14">
        <v>44</v>
      </c>
      <c r="G122" s="14">
        <v>56.1</v>
      </c>
      <c r="H122" s="18">
        <v>104</v>
      </c>
      <c r="I122" s="19">
        <v>105.30534</v>
      </c>
      <c r="J122" s="12">
        <f t="shared" si="4"/>
        <v>1.3053400000000011</v>
      </c>
      <c r="K122" s="14">
        <f t="shared" si="5"/>
        <v>1.7039125156000028</v>
      </c>
      <c r="L122" s="14">
        <f t="shared" si="6"/>
        <v>1.2551346153846166</v>
      </c>
      <c r="M122" s="14">
        <f t="shared" si="7"/>
        <v>1</v>
      </c>
    </row>
    <row r="123" spans="1:13" x14ac:dyDescent="0.25">
      <c r="A123" s="14" t="s">
        <v>658</v>
      </c>
      <c r="B123" s="15" t="s">
        <v>659</v>
      </c>
      <c r="C123" s="16">
        <v>0.22916666666666671</v>
      </c>
      <c r="D123" s="17" t="s">
        <v>527</v>
      </c>
      <c r="E123" s="14">
        <v>22.57</v>
      </c>
      <c r="F123" s="14">
        <v>53</v>
      </c>
      <c r="G123" s="14">
        <v>56.8</v>
      </c>
      <c r="H123" s="18">
        <v>113</v>
      </c>
      <c r="I123" s="19">
        <v>112.68773</v>
      </c>
      <c r="J123" s="12">
        <f t="shared" si="4"/>
        <v>0.31226999999999805</v>
      </c>
      <c r="K123" s="14">
        <f t="shared" si="5"/>
        <v>9.7512552899998786E-2</v>
      </c>
      <c r="L123" s="14">
        <f t="shared" si="6"/>
        <v>0.27634513274336109</v>
      </c>
      <c r="M123" s="14">
        <f t="shared" si="7"/>
        <v>2</v>
      </c>
    </row>
    <row r="124" spans="1:13" x14ac:dyDescent="0.25">
      <c r="A124" s="14" t="s">
        <v>660</v>
      </c>
      <c r="B124" s="20"/>
      <c r="C124" s="16">
        <v>0.25</v>
      </c>
      <c r="D124" s="17" t="s">
        <v>527</v>
      </c>
      <c r="E124" s="14">
        <v>23.091000000000001</v>
      </c>
      <c r="F124" s="14">
        <v>46</v>
      </c>
      <c r="G124" s="14">
        <v>58</v>
      </c>
      <c r="H124" s="18">
        <v>113</v>
      </c>
      <c r="I124" s="19">
        <v>115.234899</v>
      </c>
      <c r="J124" s="12">
        <f t="shared" si="4"/>
        <v>2.2348989999999986</v>
      </c>
      <c r="K124" s="14">
        <f t="shared" si="5"/>
        <v>4.9947735402009936</v>
      </c>
      <c r="L124" s="14">
        <f t="shared" si="6"/>
        <v>1.9777867256637156</v>
      </c>
      <c r="M124" s="14">
        <f t="shared" si="7"/>
        <v>3</v>
      </c>
    </row>
    <row r="125" spans="1:13" x14ac:dyDescent="0.25">
      <c r="A125" s="14" t="s">
        <v>661</v>
      </c>
      <c r="B125" s="20"/>
      <c r="C125" s="16">
        <v>0.27083333333333331</v>
      </c>
      <c r="D125" s="17" t="s">
        <v>527</v>
      </c>
      <c r="E125" s="14">
        <v>20.419</v>
      </c>
      <c r="F125" s="14">
        <v>55</v>
      </c>
      <c r="G125" s="14">
        <v>65.3</v>
      </c>
      <c r="H125" s="18">
        <v>106</v>
      </c>
      <c r="I125" s="19">
        <v>102.171491</v>
      </c>
      <c r="J125" s="12">
        <f t="shared" si="4"/>
        <v>3.8285089999999968</v>
      </c>
      <c r="K125" s="14">
        <f t="shared" si="5"/>
        <v>14.657481163080975</v>
      </c>
      <c r="L125" s="14">
        <f t="shared" si="6"/>
        <v>3.6118009433962235</v>
      </c>
      <c r="M125" s="14">
        <f t="shared" si="7"/>
        <v>4</v>
      </c>
    </row>
    <row r="126" spans="1:13" x14ac:dyDescent="0.25">
      <c r="A126" s="14" t="s">
        <v>662</v>
      </c>
      <c r="B126" s="20"/>
      <c r="C126" s="16">
        <v>0.29166666666666669</v>
      </c>
      <c r="D126" s="17" t="s">
        <v>527</v>
      </c>
      <c r="E126" s="14">
        <v>22.492999999999999</v>
      </c>
      <c r="F126" s="14">
        <v>74</v>
      </c>
      <c r="G126" s="14">
        <v>88</v>
      </c>
      <c r="H126" s="18">
        <v>115</v>
      </c>
      <c r="I126" s="19">
        <v>112.311277</v>
      </c>
      <c r="J126" s="12">
        <f t="shared" si="4"/>
        <v>2.688722999999996</v>
      </c>
      <c r="K126" s="14">
        <f t="shared" si="5"/>
        <v>7.2292313707289786</v>
      </c>
      <c r="L126" s="14">
        <f t="shared" si="6"/>
        <v>2.3380199999999967</v>
      </c>
      <c r="M126" s="14">
        <f t="shared" si="7"/>
        <v>5</v>
      </c>
    </row>
    <row r="127" spans="1:13" x14ac:dyDescent="0.25">
      <c r="A127" s="14" t="s">
        <v>663</v>
      </c>
      <c r="B127" s="20"/>
      <c r="C127" s="16">
        <v>0.3125</v>
      </c>
      <c r="D127" s="17" t="s">
        <v>527</v>
      </c>
      <c r="E127" s="14">
        <v>19.042999999999999</v>
      </c>
      <c r="F127" s="14">
        <v>44</v>
      </c>
      <c r="G127" s="14">
        <v>83</v>
      </c>
      <c r="H127" s="18">
        <v>94</v>
      </c>
      <c r="I127" s="19">
        <v>95.444226999999998</v>
      </c>
      <c r="J127" s="12">
        <f t="shared" si="4"/>
        <v>1.4442269999999979</v>
      </c>
      <c r="K127" s="14">
        <f t="shared" si="5"/>
        <v>2.0857916275289941</v>
      </c>
      <c r="L127" s="14">
        <f t="shared" si="6"/>
        <v>1.5364117021276575</v>
      </c>
      <c r="M127" s="14">
        <f t="shared" si="7"/>
        <v>1</v>
      </c>
    </row>
    <row r="128" spans="1:13" x14ac:dyDescent="0.25">
      <c r="A128" s="14" t="s">
        <v>664</v>
      </c>
      <c r="B128" s="20"/>
      <c r="C128" s="16">
        <v>0.33333333333333331</v>
      </c>
      <c r="D128" s="17" t="s">
        <v>527</v>
      </c>
      <c r="E128" s="14">
        <v>20.805</v>
      </c>
      <c r="F128" s="14">
        <v>72</v>
      </c>
      <c r="G128" s="14">
        <v>94.7</v>
      </c>
      <c r="H128" s="18">
        <v>104</v>
      </c>
      <c r="I128" s="19">
        <v>104.058645</v>
      </c>
      <c r="J128" s="12">
        <f t="shared" si="4"/>
        <v>5.8644999999998504E-2</v>
      </c>
      <c r="K128" s="14">
        <f t="shared" si="5"/>
        <v>3.4392360249998247E-3</v>
      </c>
      <c r="L128" s="14">
        <f t="shared" si="6"/>
        <v>5.6389423076921637E-2</v>
      </c>
      <c r="M128" s="14">
        <f t="shared" si="7"/>
        <v>2</v>
      </c>
    </row>
    <row r="129" spans="1:13" x14ac:dyDescent="0.25">
      <c r="A129" s="14" t="s">
        <v>665</v>
      </c>
      <c r="B129" s="20"/>
      <c r="C129" s="16">
        <v>0.35416666666666669</v>
      </c>
      <c r="D129" s="17" t="s">
        <v>527</v>
      </c>
      <c r="E129" s="14">
        <v>22.416</v>
      </c>
      <c r="F129" s="14">
        <v>50</v>
      </c>
      <c r="G129" s="14">
        <v>57.5</v>
      </c>
      <c r="H129" s="18">
        <v>111</v>
      </c>
      <c r="I129" s="19">
        <v>111.93482400000001</v>
      </c>
      <c r="J129" s="12">
        <f t="shared" si="4"/>
        <v>0.93482400000000609</v>
      </c>
      <c r="K129" s="14">
        <f t="shared" si="5"/>
        <v>0.87389591097601138</v>
      </c>
      <c r="L129" s="14">
        <f t="shared" si="6"/>
        <v>0.84218378378378922</v>
      </c>
      <c r="M129" s="14">
        <f t="shared" si="7"/>
        <v>3</v>
      </c>
    </row>
    <row r="130" spans="1:13" x14ac:dyDescent="0.25">
      <c r="A130" s="14" t="s">
        <v>666</v>
      </c>
      <c r="B130" s="20"/>
      <c r="C130" s="16">
        <v>0.375</v>
      </c>
      <c r="D130" s="17" t="s">
        <v>527</v>
      </c>
      <c r="E130" s="14">
        <v>22.823</v>
      </c>
      <c r="F130" s="14">
        <v>83</v>
      </c>
      <c r="G130" s="14">
        <v>76.599999999999994</v>
      </c>
      <c r="H130" s="18">
        <v>114</v>
      </c>
      <c r="I130" s="19">
        <v>113.92464699999999</v>
      </c>
      <c r="J130" s="12">
        <f t="shared" si="4"/>
        <v>7.5353000000006887E-2</v>
      </c>
      <c r="K130" s="14">
        <f t="shared" si="5"/>
        <v>5.6780746090010379E-3</v>
      </c>
      <c r="L130" s="14">
        <f t="shared" si="6"/>
        <v>6.6099122807023583E-2</v>
      </c>
      <c r="M130" s="14">
        <f t="shared" si="7"/>
        <v>4</v>
      </c>
    </row>
    <row r="131" spans="1:13" x14ac:dyDescent="0.25">
      <c r="A131" s="14" t="s">
        <v>667</v>
      </c>
      <c r="B131" s="20"/>
      <c r="C131" s="16">
        <v>0.39583333333333331</v>
      </c>
      <c r="D131" s="17" t="s">
        <v>527</v>
      </c>
      <c r="E131" s="14">
        <v>22.402999999999999</v>
      </c>
      <c r="F131" s="14">
        <v>83</v>
      </c>
      <c r="G131" s="14">
        <v>73.099999999999994</v>
      </c>
      <c r="H131" s="18">
        <v>111</v>
      </c>
      <c r="I131" s="19">
        <v>111.871267</v>
      </c>
      <c r="J131" s="12">
        <f t="shared" ref="J131:J194" si="8">IF(OR(H131="",I131=""),"",ABS(H131-I131))</f>
        <v>0.87126700000000312</v>
      </c>
      <c r="K131" s="14">
        <f t="shared" ref="K131:K194" si="9">IF(OR(H131="",I131=""),"",(H131-I131)^2)</f>
        <v>0.75910618528900542</v>
      </c>
      <c r="L131" s="14">
        <f t="shared" ref="L131:L194" si="10">IF(OR(H131="",I131=""),"",IF(H131=0,"",ABS((H131-I131)/H131)*100))</f>
        <v>0.78492522522522812</v>
      </c>
      <c r="M131" s="14">
        <f t="shared" ref="M131:M194" si="11">MOD(ROW()-2,5)+1</f>
        <v>5</v>
      </c>
    </row>
    <row r="132" spans="1:13" x14ac:dyDescent="0.25">
      <c r="A132" s="14" t="s">
        <v>668</v>
      </c>
      <c r="B132" s="21"/>
      <c r="C132" s="16">
        <v>0.40625</v>
      </c>
      <c r="D132" s="17" t="s">
        <v>527</v>
      </c>
      <c r="E132" s="14">
        <v>16.309999999999999</v>
      </c>
      <c r="F132" s="14">
        <v>27</v>
      </c>
      <c r="G132" s="14">
        <v>60.9</v>
      </c>
      <c r="H132" s="18">
        <v>83</v>
      </c>
      <c r="I132" s="19">
        <v>82.082589999999996</v>
      </c>
      <c r="J132" s="12">
        <f t="shared" si="8"/>
        <v>0.91741000000000383</v>
      </c>
      <c r="K132" s="14">
        <f t="shared" si="9"/>
        <v>0.84164110810000703</v>
      </c>
      <c r="L132" s="14">
        <f t="shared" si="10"/>
        <v>1.1053132530120529</v>
      </c>
      <c r="M132" s="14">
        <f t="shared" si="11"/>
        <v>1</v>
      </c>
    </row>
    <row r="133" spans="1:13" x14ac:dyDescent="0.25">
      <c r="A133" s="14" t="s">
        <v>669</v>
      </c>
      <c r="B133" s="15" t="s">
        <v>670</v>
      </c>
      <c r="C133" s="16">
        <v>0.22916666666666671</v>
      </c>
      <c r="D133" s="17" t="s">
        <v>527</v>
      </c>
      <c r="E133" s="14">
        <v>22.003</v>
      </c>
      <c r="F133" s="14">
        <v>22</v>
      </c>
      <c r="G133" s="14">
        <v>77.599999999999994</v>
      </c>
      <c r="H133" s="18">
        <v>109</v>
      </c>
      <c r="I133" s="19">
        <v>109.915667</v>
      </c>
      <c r="J133" s="12">
        <f t="shared" si="8"/>
        <v>0.91566699999999912</v>
      </c>
      <c r="K133" s="14">
        <f t="shared" si="9"/>
        <v>0.83844605488899837</v>
      </c>
      <c r="L133" s="14">
        <f t="shared" si="10"/>
        <v>0.84006146788990743</v>
      </c>
      <c r="M133" s="14">
        <f t="shared" si="11"/>
        <v>2</v>
      </c>
    </row>
    <row r="134" spans="1:13" x14ac:dyDescent="0.25">
      <c r="A134" s="14" t="s">
        <v>671</v>
      </c>
      <c r="B134" s="20"/>
      <c r="C134" s="16">
        <v>0.25</v>
      </c>
      <c r="D134" s="17" t="s">
        <v>527</v>
      </c>
      <c r="E134" s="14">
        <v>20.154</v>
      </c>
      <c r="F134" s="14">
        <v>55</v>
      </c>
      <c r="G134" s="14">
        <v>77.099999999999994</v>
      </c>
      <c r="H134" s="18">
        <v>99</v>
      </c>
      <c r="I134" s="19">
        <v>100.875906</v>
      </c>
      <c r="J134" s="12">
        <f t="shared" si="8"/>
        <v>1.8759060000000005</v>
      </c>
      <c r="K134" s="14">
        <f t="shared" si="9"/>
        <v>3.519023320836002</v>
      </c>
      <c r="L134" s="14">
        <f t="shared" si="10"/>
        <v>1.894854545454546</v>
      </c>
      <c r="M134" s="14">
        <f t="shared" si="11"/>
        <v>3</v>
      </c>
    </row>
    <row r="135" spans="1:13" x14ac:dyDescent="0.25">
      <c r="A135" s="14" t="s">
        <v>672</v>
      </c>
      <c r="B135" s="20"/>
      <c r="C135" s="16">
        <v>0.27083333333333331</v>
      </c>
      <c r="D135" s="17" t="s">
        <v>527</v>
      </c>
      <c r="E135" s="14">
        <v>24.434999999999999</v>
      </c>
      <c r="F135" s="14">
        <v>30</v>
      </c>
      <c r="G135" s="14">
        <v>77.5</v>
      </c>
      <c r="H135" s="18">
        <v>120</v>
      </c>
      <c r="I135" s="19">
        <v>121.80571500000001</v>
      </c>
      <c r="J135" s="12">
        <f t="shared" si="8"/>
        <v>1.8057150000000064</v>
      </c>
      <c r="K135" s="14">
        <f t="shared" si="9"/>
        <v>3.2606066612250233</v>
      </c>
      <c r="L135" s="14">
        <f t="shared" si="10"/>
        <v>1.5047625000000053</v>
      </c>
      <c r="M135" s="14">
        <f t="shared" si="11"/>
        <v>4</v>
      </c>
    </row>
    <row r="136" spans="1:13" x14ac:dyDescent="0.25">
      <c r="A136" s="14" t="s">
        <v>673</v>
      </c>
      <c r="B136" s="20"/>
      <c r="C136" s="16">
        <v>0.29166666666666669</v>
      </c>
      <c r="D136" s="17" t="s">
        <v>527</v>
      </c>
      <c r="E136" s="14">
        <v>23.117000000000001</v>
      </c>
      <c r="F136" s="14">
        <v>48</v>
      </c>
      <c r="G136" s="14">
        <v>81.3</v>
      </c>
      <c r="H136" s="18">
        <v>112</v>
      </c>
      <c r="I136" s="19">
        <v>115.362013</v>
      </c>
      <c r="J136" s="12">
        <f t="shared" si="8"/>
        <v>3.3620130000000046</v>
      </c>
      <c r="K136" s="14">
        <f t="shared" si="9"/>
        <v>11.30313141216903</v>
      </c>
      <c r="L136" s="14">
        <f t="shared" si="10"/>
        <v>3.0017973214285756</v>
      </c>
      <c r="M136" s="14">
        <f t="shared" si="11"/>
        <v>5</v>
      </c>
    </row>
    <row r="137" spans="1:13" x14ac:dyDescent="0.25">
      <c r="A137" s="14" t="s">
        <v>674</v>
      </c>
      <c r="B137" s="20"/>
      <c r="C137" s="16">
        <v>0.3125</v>
      </c>
      <c r="D137" s="17" t="s">
        <v>527</v>
      </c>
      <c r="E137" s="14">
        <v>24.087</v>
      </c>
      <c r="F137" s="14">
        <v>64</v>
      </c>
      <c r="G137" s="14">
        <v>79.3</v>
      </c>
      <c r="H137" s="18">
        <v>120</v>
      </c>
      <c r="I137" s="19">
        <v>120.104343</v>
      </c>
      <c r="J137" s="12">
        <f t="shared" si="8"/>
        <v>0.10434300000000007</v>
      </c>
      <c r="K137" s="14">
        <f t="shared" si="9"/>
        <v>1.0887461649000016E-2</v>
      </c>
      <c r="L137" s="14">
        <f t="shared" si="10"/>
        <v>8.6952500000000071E-2</v>
      </c>
      <c r="M137" s="14">
        <f t="shared" si="11"/>
        <v>1</v>
      </c>
    </row>
    <row r="138" spans="1:13" x14ac:dyDescent="0.25">
      <c r="A138" s="14" t="s">
        <v>675</v>
      </c>
      <c r="B138" s="20"/>
      <c r="C138" s="16">
        <v>0.33333333333333331</v>
      </c>
      <c r="D138" s="17" t="s">
        <v>527</v>
      </c>
      <c r="E138" s="14">
        <v>23.698</v>
      </c>
      <c r="F138" s="14">
        <v>69</v>
      </c>
      <c r="G138" s="14">
        <v>90.9</v>
      </c>
      <c r="H138" s="18">
        <v>118</v>
      </c>
      <c r="I138" s="19">
        <v>118.202522</v>
      </c>
      <c r="J138" s="12">
        <f t="shared" si="8"/>
        <v>0.20252200000000187</v>
      </c>
      <c r="K138" s="14">
        <f t="shared" si="9"/>
        <v>4.1015160484000758E-2</v>
      </c>
      <c r="L138" s="14">
        <f t="shared" si="10"/>
        <v>0.17162881355932361</v>
      </c>
      <c r="M138" s="14">
        <f t="shared" si="11"/>
        <v>2</v>
      </c>
    </row>
    <row r="139" spans="1:13" x14ac:dyDescent="0.25">
      <c r="A139" s="14" t="s">
        <v>676</v>
      </c>
      <c r="B139" s="20"/>
      <c r="C139" s="16">
        <v>0.35416666666666669</v>
      </c>
      <c r="D139" s="17" t="s">
        <v>527</v>
      </c>
      <c r="E139" s="14">
        <v>21.056999999999999</v>
      </c>
      <c r="F139" s="14">
        <v>73</v>
      </c>
      <c r="G139" s="14">
        <v>68.3</v>
      </c>
      <c r="H139" s="18">
        <v>108</v>
      </c>
      <c r="I139" s="19">
        <v>105.290673</v>
      </c>
      <c r="J139" s="12">
        <f t="shared" si="8"/>
        <v>2.7093270000000018</v>
      </c>
      <c r="K139" s="14">
        <f t="shared" si="9"/>
        <v>7.3404527929290095</v>
      </c>
      <c r="L139" s="14">
        <f t="shared" si="10"/>
        <v>2.5086361111111128</v>
      </c>
      <c r="M139" s="14">
        <f t="shared" si="11"/>
        <v>3</v>
      </c>
    </row>
    <row r="140" spans="1:13" x14ac:dyDescent="0.25">
      <c r="A140" s="14" t="s">
        <v>677</v>
      </c>
      <c r="B140" s="20"/>
      <c r="C140" s="16">
        <v>0.375</v>
      </c>
      <c r="D140" s="17" t="s">
        <v>527</v>
      </c>
      <c r="E140" s="14">
        <v>20.210999999999999</v>
      </c>
      <c r="F140" s="14">
        <v>32</v>
      </c>
      <c r="G140" s="14">
        <v>60.1</v>
      </c>
      <c r="H140" s="18">
        <v>102</v>
      </c>
      <c r="I140" s="19">
        <v>101.154579</v>
      </c>
      <c r="J140" s="12">
        <f t="shared" si="8"/>
        <v>0.84542100000000175</v>
      </c>
      <c r="K140" s="14">
        <f t="shared" si="9"/>
        <v>0.71473666724100293</v>
      </c>
      <c r="L140" s="14">
        <f t="shared" si="10"/>
        <v>0.82884411764706056</v>
      </c>
      <c r="M140" s="14">
        <f t="shared" si="11"/>
        <v>4</v>
      </c>
    </row>
    <row r="141" spans="1:13" x14ac:dyDescent="0.25">
      <c r="A141" s="14" t="s">
        <v>678</v>
      </c>
      <c r="B141" s="20"/>
      <c r="C141" s="16">
        <v>0.39583333333333331</v>
      </c>
      <c r="D141" s="17" t="s">
        <v>527</v>
      </c>
      <c r="E141" s="14">
        <v>18.530999999999999</v>
      </c>
      <c r="F141" s="14">
        <v>46</v>
      </c>
      <c r="G141" s="14">
        <v>90.2</v>
      </c>
      <c r="H141" s="18">
        <v>93</v>
      </c>
      <c r="I141" s="19">
        <v>92.941058999999996</v>
      </c>
      <c r="J141" s="12">
        <f t="shared" si="8"/>
        <v>5.8941000000004351E-2</v>
      </c>
      <c r="K141" s="14">
        <f t="shared" si="9"/>
        <v>3.4740414810005131E-3</v>
      </c>
      <c r="L141" s="14">
        <f t="shared" si="10"/>
        <v>6.3377419354843395E-2</v>
      </c>
      <c r="M141" s="14">
        <f t="shared" si="11"/>
        <v>5</v>
      </c>
    </row>
    <row r="142" spans="1:13" x14ac:dyDescent="0.25">
      <c r="A142" s="14" t="s">
        <v>679</v>
      </c>
      <c r="B142" s="21"/>
      <c r="C142" s="16">
        <v>0.40625</v>
      </c>
      <c r="D142" s="17" t="s">
        <v>527</v>
      </c>
      <c r="E142" s="14">
        <v>18.974</v>
      </c>
      <c r="F142" s="14">
        <v>25</v>
      </c>
      <c r="G142" s="14">
        <v>85.3</v>
      </c>
      <c r="H142" s="18">
        <v>93</v>
      </c>
      <c r="I142" s="19">
        <v>95.106886000000003</v>
      </c>
      <c r="J142" s="12">
        <f t="shared" si="8"/>
        <v>2.1068860000000029</v>
      </c>
      <c r="K142" s="14">
        <f t="shared" si="9"/>
        <v>4.4389686169960125</v>
      </c>
      <c r="L142" s="14">
        <f t="shared" si="10"/>
        <v>2.265468817204304</v>
      </c>
      <c r="M142" s="14">
        <f t="shared" si="11"/>
        <v>1</v>
      </c>
    </row>
    <row r="143" spans="1:13" x14ac:dyDescent="0.25">
      <c r="A143" s="14" t="s">
        <v>680</v>
      </c>
      <c r="B143" s="15" t="s">
        <v>681</v>
      </c>
      <c r="C143" s="16">
        <v>0.22916666666666671</v>
      </c>
      <c r="D143" s="17" t="s">
        <v>527</v>
      </c>
      <c r="E143" s="14">
        <v>13.981999999999999</v>
      </c>
      <c r="F143" s="14">
        <v>22</v>
      </c>
      <c r="G143" s="14">
        <v>86.6</v>
      </c>
      <c r="H143" s="18">
        <v>71</v>
      </c>
      <c r="I143" s="19">
        <v>70.700997999999998</v>
      </c>
      <c r="J143" s="12">
        <f t="shared" si="8"/>
        <v>0.29900200000000154</v>
      </c>
      <c r="K143" s="14">
        <f t="shared" si="9"/>
        <v>8.9402196004000928E-2</v>
      </c>
      <c r="L143" s="14">
        <f t="shared" si="10"/>
        <v>0.42112957746479096</v>
      </c>
      <c r="M143" s="14">
        <f t="shared" si="11"/>
        <v>2</v>
      </c>
    </row>
    <row r="144" spans="1:13" x14ac:dyDescent="0.25">
      <c r="A144" s="14" t="s">
        <v>682</v>
      </c>
      <c r="B144" s="20"/>
      <c r="C144" s="16">
        <v>0.25</v>
      </c>
      <c r="D144" s="17" t="s">
        <v>527</v>
      </c>
      <c r="E144" s="14">
        <v>20.684000000000001</v>
      </c>
      <c r="F144" s="14">
        <v>46</v>
      </c>
      <c r="G144" s="14">
        <v>66.5</v>
      </c>
      <c r="H144" s="18">
        <v>102</v>
      </c>
      <c r="I144" s="19">
        <v>103.46707600000001</v>
      </c>
      <c r="J144" s="12">
        <f t="shared" si="8"/>
        <v>1.4670760000000058</v>
      </c>
      <c r="K144" s="14">
        <f t="shared" si="9"/>
        <v>2.1523119897760172</v>
      </c>
      <c r="L144" s="14">
        <f t="shared" si="10"/>
        <v>1.4383098039215745</v>
      </c>
      <c r="M144" s="14">
        <f t="shared" si="11"/>
        <v>3</v>
      </c>
    </row>
    <row r="145" spans="1:13" x14ac:dyDescent="0.25">
      <c r="A145" s="14" t="s">
        <v>683</v>
      </c>
      <c r="B145" s="20"/>
      <c r="C145" s="16">
        <v>0.27083333333333331</v>
      </c>
      <c r="D145" s="17" t="s">
        <v>527</v>
      </c>
      <c r="E145" s="14">
        <v>19.798999999999999</v>
      </c>
      <c r="F145" s="14">
        <v>64</v>
      </c>
      <c r="G145" s="14">
        <v>82.6</v>
      </c>
      <c r="H145" s="18">
        <v>99</v>
      </c>
      <c r="I145" s="19">
        <v>99.140311000000011</v>
      </c>
      <c r="J145" s="12">
        <f t="shared" si="8"/>
        <v>0.14031100000001118</v>
      </c>
      <c r="K145" s="14">
        <f t="shared" si="9"/>
        <v>1.9687176721003136E-2</v>
      </c>
      <c r="L145" s="14">
        <f t="shared" si="10"/>
        <v>0.14172828282829411</v>
      </c>
      <c r="M145" s="14">
        <f t="shared" si="11"/>
        <v>4</v>
      </c>
    </row>
    <row r="146" spans="1:13" x14ac:dyDescent="0.25">
      <c r="A146" s="14" t="s">
        <v>684</v>
      </c>
      <c r="B146" s="20"/>
      <c r="C146" s="16">
        <v>0.29166666666666669</v>
      </c>
      <c r="D146" s="17" t="s">
        <v>527</v>
      </c>
      <c r="E146" s="14">
        <v>23.536999999999999</v>
      </c>
      <c r="F146" s="14">
        <v>82</v>
      </c>
      <c r="G146" s="14">
        <v>69.099999999999994</v>
      </c>
      <c r="H146" s="18">
        <v>118</v>
      </c>
      <c r="I146" s="19">
        <v>117.41539299999999</v>
      </c>
      <c r="J146" s="12">
        <f t="shared" si="8"/>
        <v>0.58460700000000543</v>
      </c>
      <c r="K146" s="14">
        <f t="shared" si="9"/>
        <v>0.34176534444900636</v>
      </c>
      <c r="L146" s="14">
        <f t="shared" si="10"/>
        <v>0.49542966101695379</v>
      </c>
      <c r="M146" s="14">
        <f t="shared" si="11"/>
        <v>5</v>
      </c>
    </row>
    <row r="147" spans="1:13" x14ac:dyDescent="0.25">
      <c r="A147" s="14" t="s">
        <v>685</v>
      </c>
      <c r="B147" s="20"/>
      <c r="C147" s="16">
        <v>0.3125</v>
      </c>
      <c r="D147" s="17" t="s">
        <v>527</v>
      </c>
      <c r="E147" s="14">
        <v>21.088999999999999</v>
      </c>
      <c r="F147" s="14">
        <v>62</v>
      </c>
      <c r="G147" s="14">
        <v>56.5</v>
      </c>
      <c r="H147" s="18">
        <v>105</v>
      </c>
      <c r="I147" s="19">
        <v>105.447121</v>
      </c>
      <c r="J147" s="12">
        <f t="shared" si="8"/>
        <v>0.44712099999999566</v>
      </c>
      <c r="K147" s="14">
        <f t="shared" si="9"/>
        <v>0.19991718864099611</v>
      </c>
      <c r="L147" s="14">
        <f t="shared" si="10"/>
        <v>0.42582952380951966</v>
      </c>
      <c r="M147" s="14">
        <f t="shared" si="11"/>
        <v>1</v>
      </c>
    </row>
    <row r="148" spans="1:13" x14ac:dyDescent="0.25">
      <c r="A148" s="14" t="s">
        <v>686</v>
      </c>
      <c r="B148" s="20"/>
      <c r="C148" s="16">
        <v>0.33333333333333331</v>
      </c>
      <c r="D148" s="17" t="s">
        <v>527</v>
      </c>
      <c r="E148" s="14">
        <v>20.061</v>
      </c>
      <c r="F148" s="14">
        <v>25</v>
      </c>
      <c r="G148" s="14">
        <v>69.7</v>
      </c>
      <c r="H148" s="18">
        <v>101</v>
      </c>
      <c r="I148" s="19">
        <v>100.421229</v>
      </c>
      <c r="J148" s="12">
        <f t="shared" si="8"/>
        <v>0.57877100000000326</v>
      </c>
      <c r="K148" s="14">
        <f t="shared" si="9"/>
        <v>0.33497587044100374</v>
      </c>
      <c r="L148" s="14">
        <f t="shared" si="10"/>
        <v>0.5730405940594091</v>
      </c>
      <c r="M148" s="14">
        <f t="shared" si="11"/>
        <v>2</v>
      </c>
    </row>
    <row r="149" spans="1:13" x14ac:dyDescent="0.25">
      <c r="A149" s="14" t="s">
        <v>687</v>
      </c>
      <c r="B149" s="20"/>
      <c r="C149" s="16">
        <v>0.35416666666666669</v>
      </c>
      <c r="D149" s="17" t="s">
        <v>527</v>
      </c>
      <c r="E149" s="14">
        <v>18.446999999999999</v>
      </c>
      <c r="F149" s="14">
        <v>44</v>
      </c>
      <c r="G149" s="14">
        <v>76.900000000000006</v>
      </c>
      <c r="H149" s="18">
        <v>93</v>
      </c>
      <c r="I149" s="19">
        <v>92.530383</v>
      </c>
      <c r="J149" s="12">
        <f t="shared" si="8"/>
        <v>0.46961699999999951</v>
      </c>
      <c r="K149" s="14">
        <f t="shared" si="9"/>
        <v>0.22054012668899953</v>
      </c>
      <c r="L149" s="14">
        <f t="shared" si="10"/>
        <v>0.5049645161290317</v>
      </c>
      <c r="M149" s="14">
        <f t="shared" si="11"/>
        <v>3</v>
      </c>
    </row>
    <row r="150" spans="1:13" x14ac:dyDescent="0.25">
      <c r="A150" s="14" t="s">
        <v>688</v>
      </c>
      <c r="B150" s="20"/>
      <c r="C150" s="16">
        <v>0.375</v>
      </c>
      <c r="D150" s="17" t="s">
        <v>527</v>
      </c>
      <c r="E150" s="14">
        <v>22.992999999999999</v>
      </c>
      <c r="F150" s="14">
        <v>53</v>
      </c>
      <c r="G150" s="14">
        <v>75.8</v>
      </c>
      <c r="H150" s="18">
        <v>118</v>
      </c>
      <c r="I150" s="19">
        <v>114.75577699999999</v>
      </c>
      <c r="J150" s="12">
        <f t="shared" si="8"/>
        <v>3.2442230000000052</v>
      </c>
      <c r="K150" s="14">
        <f t="shared" si="9"/>
        <v>10.524982873729034</v>
      </c>
      <c r="L150" s="14">
        <f t="shared" si="10"/>
        <v>2.7493415254237332</v>
      </c>
      <c r="M150" s="14">
        <f t="shared" si="11"/>
        <v>4</v>
      </c>
    </row>
    <row r="151" spans="1:13" x14ac:dyDescent="0.25">
      <c r="A151" s="14" t="s">
        <v>689</v>
      </c>
      <c r="B151" s="20"/>
      <c r="C151" s="16">
        <v>0.39583333333333331</v>
      </c>
      <c r="D151" s="17" t="s">
        <v>527</v>
      </c>
      <c r="E151" s="14">
        <v>21.312000000000001</v>
      </c>
      <c r="F151" s="14">
        <v>53</v>
      </c>
      <c r="G151" s="14">
        <v>81.2</v>
      </c>
      <c r="H151" s="18">
        <v>107</v>
      </c>
      <c r="I151" s="19">
        <v>106.537368</v>
      </c>
      <c r="J151" s="12">
        <f t="shared" si="8"/>
        <v>0.46263199999999927</v>
      </c>
      <c r="K151" s="14">
        <f t="shared" si="9"/>
        <v>0.21402836742399933</v>
      </c>
      <c r="L151" s="14">
        <f t="shared" si="10"/>
        <v>0.43236635514018629</v>
      </c>
      <c r="M151" s="14">
        <f t="shared" si="11"/>
        <v>5</v>
      </c>
    </row>
    <row r="152" spans="1:13" x14ac:dyDescent="0.25">
      <c r="A152" s="14" t="s">
        <v>690</v>
      </c>
      <c r="B152" s="21"/>
      <c r="C152" s="16">
        <v>0.40625</v>
      </c>
      <c r="D152" s="17" t="s">
        <v>527</v>
      </c>
      <c r="E152" s="14">
        <v>19.228999999999999</v>
      </c>
      <c r="F152" s="14">
        <v>43</v>
      </c>
      <c r="G152" s="14">
        <v>83.8</v>
      </c>
      <c r="H152" s="18">
        <v>97</v>
      </c>
      <c r="I152" s="19">
        <v>96.353581000000005</v>
      </c>
      <c r="J152" s="12">
        <f t="shared" si="8"/>
        <v>0.64641899999999453</v>
      </c>
      <c r="K152" s="14">
        <f t="shared" si="9"/>
        <v>0.41785752356099293</v>
      </c>
      <c r="L152" s="14">
        <f t="shared" si="10"/>
        <v>0.66641134020617987</v>
      </c>
      <c r="M152" s="14">
        <f t="shared" si="11"/>
        <v>1</v>
      </c>
    </row>
    <row r="153" spans="1:13" x14ac:dyDescent="0.25">
      <c r="A153" s="14" t="s">
        <v>691</v>
      </c>
      <c r="B153" s="15" t="s">
        <v>692</v>
      </c>
      <c r="C153" s="16">
        <v>0.22916666666666671</v>
      </c>
      <c r="D153" s="17" t="s">
        <v>527</v>
      </c>
      <c r="E153" s="14">
        <v>20.815999999999999</v>
      </c>
      <c r="F153" s="14">
        <v>60</v>
      </c>
      <c r="G153" s="14">
        <v>92.7</v>
      </c>
      <c r="H153" s="18">
        <v>105</v>
      </c>
      <c r="I153" s="19">
        <v>104.112424</v>
      </c>
      <c r="J153" s="12">
        <f t="shared" si="8"/>
        <v>0.8875759999999957</v>
      </c>
      <c r="K153" s="14">
        <f t="shared" si="9"/>
        <v>0.78779115577599235</v>
      </c>
      <c r="L153" s="14">
        <f t="shared" si="10"/>
        <v>0.84531047619047206</v>
      </c>
      <c r="M153" s="14">
        <f t="shared" si="11"/>
        <v>2</v>
      </c>
    </row>
    <row r="154" spans="1:13" x14ac:dyDescent="0.25">
      <c r="A154" s="14" t="s">
        <v>693</v>
      </c>
      <c r="B154" s="20"/>
      <c r="C154" s="16">
        <v>0.25</v>
      </c>
      <c r="D154" s="17" t="s">
        <v>527</v>
      </c>
      <c r="E154" s="14">
        <v>20.949000000000002</v>
      </c>
      <c r="F154" s="14">
        <v>44</v>
      </c>
      <c r="G154" s="14">
        <v>89.1</v>
      </c>
      <c r="H154" s="18">
        <v>104</v>
      </c>
      <c r="I154" s="19">
        <v>104.76266099999999</v>
      </c>
      <c r="J154" s="12">
        <f t="shared" si="8"/>
        <v>0.76266099999999426</v>
      </c>
      <c r="K154" s="14">
        <f t="shared" si="9"/>
        <v>0.58165180092099122</v>
      </c>
      <c r="L154" s="14">
        <f t="shared" si="10"/>
        <v>0.73332788461537901</v>
      </c>
      <c r="M154" s="14">
        <f t="shared" si="11"/>
        <v>3</v>
      </c>
    </row>
    <row r="155" spans="1:13" x14ac:dyDescent="0.25">
      <c r="A155" s="14" t="s">
        <v>694</v>
      </c>
      <c r="B155" s="20"/>
      <c r="C155" s="16">
        <v>0.27083333333333331</v>
      </c>
      <c r="D155" s="17" t="s">
        <v>527</v>
      </c>
      <c r="E155" s="14">
        <v>15.835000000000001</v>
      </c>
      <c r="F155" s="14">
        <v>37</v>
      </c>
      <c r="G155" s="14">
        <v>84.9</v>
      </c>
      <c r="H155" s="18">
        <v>78</v>
      </c>
      <c r="I155" s="19">
        <v>79.760315000000006</v>
      </c>
      <c r="J155" s="12">
        <f t="shared" si="8"/>
        <v>1.7603150000000056</v>
      </c>
      <c r="K155" s="14">
        <f t="shared" si="9"/>
        <v>3.09870889922502</v>
      </c>
      <c r="L155" s="14">
        <f t="shared" si="10"/>
        <v>2.2568141025641095</v>
      </c>
      <c r="M155" s="14">
        <f t="shared" si="11"/>
        <v>4</v>
      </c>
    </row>
    <row r="156" spans="1:13" x14ac:dyDescent="0.25">
      <c r="A156" s="14" t="s">
        <v>695</v>
      </c>
      <c r="B156" s="20"/>
      <c r="C156" s="16">
        <v>0.29166666666666669</v>
      </c>
      <c r="D156" s="17" t="s">
        <v>527</v>
      </c>
      <c r="E156" s="14">
        <v>22.283000000000001</v>
      </c>
      <c r="F156" s="14">
        <v>28</v>
      </c>
      <c r="G156" s="14">
        <v>82.8</v>
      </c>
      <c r="H156" s="18">
        <v>111</v>
      </c>
      <c r="I156" s="19">
        <v>111.284587</v>
      </c>
      <c r="J156" s="12">
        <f t="shared" si="8"/>
        <v>0.28458700000000192</v>
      </c>
      <c r="K156" s="14">
        <f t="shared" si="9"/>
        <v>8.098976056900109E-2</v>
      </c>
      <c r="L156" s="14">
        <f t="shared" si="10"/>
        <v>0.25638468468468639</v>
      </c>
      <c r="M156" s="14">
        <f t="shared" si="11"/>
        <v>5</v>
      </c>
    </row>
    <row r="157" spans="1:13" x14ac:dyDescent="0.25">
      <c r="A157" s="14" t="s">
        <v>696</v>
      </c>
      <c r="B157" s="20"/>
      <c r="C157" s="16">
        <v>0.3125</v>
      </c>
      <c r="D157" s="17" t="s">
        <v>527</v>
      </c>
      <c r="E157" s="14">
        <v>20.555</v>
      </c>
      <c r="F157" s="14">
        <v>55</v>
      </c>
      <c r="G157" s="14">
        <v>86.3</v>
      </c>
      <c r="H157" s="18">
        <v>101</v>
      </c>
      <c r="I157" s="19">
        <v>102.836395</v>
      </c>
      <c r="J157" s="12">
        <f t="shared" si="8"/>
        <v>1.836394999999996</v>
      </c>
      <c r="K157" s="14">
        <f t="shared" si="9"/>
        <v>3.3723465960249852</v>
      </c>
      <c r="L157" s="14">
        <f t="shared" si="10"/>
        <v>1.8182128712871246</v>
      </c>
      <c r="M157" s="14">
        <f t="shared" si="11"/>
        <v>1</v>
      </c>
    </row>
    <row r="158" spans="1:13" x14ac:dyDescent="0.25">
      <c r="A158" s="14" t="s">
        <v>697</v>
      </c>
      <c r="B158" s="20"/>
      <c r="C158" s="16">
        <v>0.33333333333333331</v>
      </c>
      <c r="D158" s="17" t="s">
        <v>527</v>
      </c>
      <c r="E158" s="14">
        <v>26.204999999999998</v>
      </c>
      <c r="F158" s="14">
        <v>23</v>
      </c>
      <c r="G158" s="14">
        <v>64.400000000000006</v>
      </c>
      <c r="H158" s="18">
        <v>130</v>
      </c>
      <c r="I158" s="19">
        <v>130.45924500000001</v>
      </c>
      <c r="J158" s="12">
        <f t="shared" si="8"/>
        <v>0.4592450000000099</v>
      </c>
      <c r="K158" s="14">
        <f t="shared" si="9"/>
        <v>0.21090597002500908</v>
      </c>
      <c r="L158" s="14">
        <f t="shared" si="10"/>
        <v>0.35326538461539225</v>
      </c>
      <c r="M158" s="14">
        <f t="shared" si="11"/>
        <v>2</v>
      </c>
    </row>
    <row r="159" spans="1:13" x14ac:dyDescent="0.25">
      <c r="A159" s="14" t="s">
        <v>698</v>
      </c>
      <c r="B159" s="20"/>
      <c r="C159" s="16">
        <v>0.35416666666666669</v>
      </c>
      <c r="D159" s="17" t="s">
        <v>527</v>
      </c>
      <c r="E159" s="14">
        <v>18.094999999999999</v>
      </c>
      <c r="F159" s="14">
        <v>40</v>
      </c>
      <c r="G159" s="14">
        <v>89.8</v>
      </c>
      <c r="H159" s="18">
        <v>91</v>
      </c>
      <c r="I159" s="19">
        <v>90.809455</v>
      </c>
      <c r="J159" s="12">
        <f t="shared" si="8"/>
        <v>0.19054500000000019</v>
      </c>
      <c r="K159" s="14">
        <f t="shared" si="9"/>
        <v>3.630739702500007E-2</v>
      </c>
      <c r="L159" s="14">
        <f t="shared" si="10"/>
        <v>0.20939010989011009</v>
      </c>
      <c r="M159" s="14">
        <f t="shared" si="11"/>
        <v>3</v>
      </c>
    </row>
    <row r="160" spans="1:13" x14ac:dyDescent="0.25">
      <c r="A160" s="14" t="s">
        <v>699</v>
      </c>
      <c r="B160" s="20"/>
      <c r="C160" s="16">
        <v>0.375</v>
      </c>
      <c r="D160" s="17" t="s">
        <v>527</v>
      </c>
      <c r="E160" s="14">
        <v>20.035</v>
      </c>
      <c r="F160" s="14">
        <v>64</v>
      </c>
      <c r="G160" s="14">
        <v>66.099999999999994</v>
      </c>
      <c r="H160" s="18">
        <v>101</v>
      </c>
      <c r="I160" s="19">
        <v>100.29411500000001</v>
      </c>
      <c r="J160" s="12">
        <f t="shared" si="8"/>
        <v>0.70588499999999499</v>
      </c>
      <c r="K160" s="14">
        <f t="shared" si="9"/>
        <v>0.49827363322499291</v>
      </c>
      <c r="L160" s="14">
        <f t="shared" si="10"/>
        <v>0.69889603960395541</v>
      </c>
      <c r="M160" s="14">
        <f t="shared" si="11"/>
        <v>4</v>
      </c>
    </row>
    <row r="161" spans="1:13" x14ac:dyDescent="0.25">
      <c r="A161" s="14" t="s">
        <v>700</v>
      </c>
      <c r="B161" s="20"/>
      <c r="C161" s="16">
        <v>0.39583333333333331</v>
      </c>
      <c r="D161" s="17" t="s">
        <v>527</v>
      </c>
      <c r="E161" s="14">
        <v>21.710999999999999</v>
      </c>
      <c r="F161" s="14">
        <v>63</v>
      </c>
      <c r="G161" s="14">
        <v>57.6</v>
      </c>
      <c r="H161" s="18">
        <v>108</v>
      </c>
      <c r="I161" s="19">
        <v>108.488079</v>
      </c>
      <c r="J161" s="12">
        <f t="shared" si="8"/>
        <v>0.48807899999999904</v>
      </c>
      <c r="K161" s="14">
        <f t="shared" si="9"/>
        <v>0.23822111024099907</v>
      </c>
      <c r="L161" s="14">
        <f t="shared" si="10"/>
        <v>0.45192499999999913</v>
      </c>
      <c r="M161" s="14">
        <f t="shared" si="11"/>
        <v>5</v>
      </c>
    </row>
    <row r="162" spans="1:13" x14ac:dyDescent="0.25">
      <c r="A162" s="14" t="s">
        <v>701</v>
      </c>
      <c r="B162" s="21"/>
      <c r="C162" s="16">
        <v>0.40625</v>
      </c>
      <c r="D162" s="17" t="s">
        <v>527</v>
      </c>
      <c r="E162" s="14">
        <v>24.004000000000001</v>
      </c>
      <c r="F162" s="14">
        <v>29</v>
      </c>
      <c r="G162" s="14">
        <v>57</v>
      </c>
      <c r="H162" s="18">
        <v>119</v>
      </c>
      <c r="I162" s="19">
        <v>119.698556</v>
      </c>
      <c r="J162" s="12">
        <f t="shared" si="8"/>
        <v>0.6985559999999964</v>
      </c>
      <c r="K162" s="14">
        <f t="shared" si="9"/>
        <v>0.48798048513599496</v>
      </c>
      <c r="L162" s="14">
        <f t="shared" si="10"/>
        <v>0.5870218487394927</v>
      </c>
      <c r="M162" s="14">
        <f t="shared" si="11"/>
        <v>1</v>
      </c>
    </row>
    <row r="163" spans="1:13" x14ac:dyDescent="0.25">
      <c r="A163" s="14" t="s">
        <v>702</v>
      </c>
      <c r="B163" s="15" t="s">
        <v>703</v>
      </c>
      <c r="C163" s="16">
        <v>0.22916666666666671</v>
      </c>
      <c r="D163" s="17" t="s">
        <v>527</v>
      </c>
      <c r="E163" s="14">
        <v>17.297999999999998</v>
      </c>
      <c r="F163" s="14">
        <v>30</v>
      </c>
      <c r="G163" s="14">
        <v>75.099999999999994</v>
      </c>
      <c r="H163" s="18">
        <v>84</v>
      </c>
      <c r="I163" s="19">
        <v>86.912921999999995</v>
      </c>
      <c r="J163" s="12">
        <f t="shared" si="8"/>
        <v>2.9129219999999947</v>
      </c>
      <c r="K163" s="14">
        <f t="shared" si="9"/>
        <v>8.4851145780839694</v>
      </c>
      <c r="L163" s="14">
        <f t="shared" si="10"/>
        <v>3.4677642857142796</v>
      </c>
      <c r="M163" s="14">
        <f t="shared" si="11"/>
        <v>2</v>
      </c>
    </row>
    <row r="164" spans="1:13" x14ac:dyDescent="0.25">
      <c r="A164" s="14" t="s">
        <v>704</v>
      </c>
      <c r="B164" s="20"/>
      <c r="C164" s="16">
        <v>0.25</v>
      </c>
      <c r="D164" s="17" t="s">
        <v>527</v>
      </c>
      <c r="E164" s="14">
        <v>14.824</v>
      </c>
      <c r="F164" s="14">
        <v>79</v>
      </c>
      <c r="G164" s="14">
        <v>86.5</v>
      </c>
      <c r="H164" s="18">
        <v>72</v>
      </c>
      <c r="I164" s="19">
        <v>74.817536000000004</v>
      </c>
      <c r="J164" s="12">
        <f t="shared" si="8"/>
        <v>2.817536000000004</v>
      </c>
      <c r="K164" s="14">
        <f t="shared" si="9"/>
        <v>7.9385091112960229</v>
      </c>
      <c r="L164" s="14">
        <f t="shared" si="10"/>
        <v>3.9132444444444499</v>
      </c>
      <c r="M164" s="14">
        <f t="shared" si="11"/>
        <v>3</v>
      </c>
    </row>
    <row r="165" spans="1:13" x14ac:dyDescent="0.25">
      <c r="A165" s="14" t="s">
        <v>705</v>
      </c>
      <c r="B165" s="20"/>
      <c r="C165" s="16">
        <v>0.27083333333333331</v>
      </c>
      <c r="D165" s="17" t="s">
        <v>527</v>
      </c>
      <c r="E165" s="14">
        <v>20.207000000000001</v>
      </c>
      <c r="F165" s="14">
        <v>77</v>
      </c>
      <c r="G165" s="14">
        <v>82.7</v>
      </c>
      <c r="H165" s="18">
        <v>102</v>
      </c>
      <c r="I165" s="19">
        <v>101.135023</v>
      </c>
      <c r="J165" s="12">
        <f t="shared" si="8"/>
        <v>0.86497699999999611</v>
      </c>
      <c r="K165" s="14">
        <f t="shared" si="9"/>
        <v>0.74818521052899323</v>
      </c>
      <c r="L165" s="14">
        <f t="shared" si="10"/>
        <v>0.84801666666666287</v>
      </c>
      <c r="M165" s="14">
        <f t="shared" si="11"/>
        <v>4</v>
      </c>
    </row>
    <row r="166" spans="1:13" x14ac:dyDescent="0.25">
      <c r="A166" s="14" t="s">
        <v>706</v>
      </c>
      <c r="B166" s="20"/>
      <c r="C166" s="16">
        <v>0.29166666666666669</v>
      </c>
      <c r="D166" s="17" t="s">
        <v>527</v>
      </c>
      <c r="E166" s="14">
        <v>19.963999999999999</v>
      </c>
      <c r="F166" s="14">
        <v>60</v>
      </c>
      <c r="G166" s="14">
        <v>88.3</v>
      </c>
      <c r="H166" s="18">
        <v>100</v>
      </c>
      <c r="I166" s="19">
        <v>99.946995999999999</v>
      </c>
      <c r="J166" s="12">
        <f t="shared" si="8"/>
        <v>5.3004000000001383E-2</v>
      </c>
      <c r="K166" s="14">
        <f t="shared" si="9"/>
        <v>2.8094240160001466E-3</v>
      </c>
      <c r="L166" s="14">
        <f t="shared" si="10"/>
        <v>5.3004000000001383E-2</v>
      </c>
      <c r="M166" s="14">
        <f t="shared" si="11"/>
        <v>5</v>
      </c>
    </row>
    <row r="167" spans="1:13" x14ac:dyDescent="0.25">
      <c r="A167" s="14" t="s">
        <v>707</v>
      </c>
      <c r="B167" s="20"/>
      <c r="C167" s="16">
        <v>0.3125</v>
      </c>
      <c r="D167" s="17" t="s">
        <v>527</v>
      </c>
      <c r="E167" s="14">
        <v>21.439</v>
      </c>
      <c r="F167" s="14">
        <v>82</v>
      </c>
      <c r="G167" s="14">
        <v>92.4</v>
      </c>
      <c r="H167" s="18">
        <v>106</v>
      </c>
      <c r="I167" s="19">
        <v>107.158271</v>
      </c>
      <c r="J167" s="12">
        <f t="shared" si="8"/>
        <v>1.1582709999999992</v>
      </c>
      <c r="K167" s="14">
        <f t="shared" si="9"/>
        <v>1.3415917094409981</v>
      </c>
      <c r="L167" s="14">
        <f t="shared" si="10"/>
        <v>1.0927084905660369</v>
      </c>
      <c r="M167" s="14">
        <f t="shared" si="11"/>
        <v>1</v>
      </c>
    </row>
    <row r="168" spans="1:13" x14ac:dyDescent="0.25">
      <c r="A168" s="14" t="s">
        <v>708</v>
      </c>
      <c r="B168" s="20"/>
      <c r="C168" s="16">
        <v>0.33333333333333331</v>
      </c>
      <c r="D168" s="17" t="s">
        <v>527</v>
      </c>
      <c r="E168" s="14">
        <v>21.38</v>
      </c>
      <c r="F168" s="14">
        <v>22</v>
      </c>
      <c r="G168" s="14">
        <v>88.6</v>
      </c>
      <c r="H168" s="18">
        <v>105</v>
      </c>
      <c r="I168" s="19">
        <v>106.86982</v>
      </c>
      <c r="J168" s="12">
        <f t="shared" si="8"/>
        <v>1.8698200000000043</v>
      </c>
      <c r="K168" s="14">
        <f t="shared" si="9"/>
        <v>3.4962268324000161</v>
      </c>
      <c r="L168" s="14">
        <f t="shared" si="10"/>
        <v>1.7807809523809566</v>
      </c>
      <c r="M168" s="14">
        <f t="shared" si="11"/>
        <v>2</v>
      </c>
    </row>
    <row r="169" spans="1:13" x14ac:dyDescent="0.25">
      <c r="A169" s="14" t="s">
        <v>709</v>
      </c>
      <c r="B169" s="20"/>
      <c r="C169" s="16">
        <v>0.35416666666666669</v>
      </c>
      <c r="D169" s="17" t="s">
        <v>527</v>
      </c>
      <c r="E169" s="14">
        <v>20.734000000000002</v>
      </c>
      <c r="F169" s="14">
        <v>54</v>
      </c>
      <c r="G169" s="14">
        <v>61.7</v>
      </c>
      <c r="H169" s="18">
        <v>102</v>
      </c>
      <c r="I169" s="19">
        <v>103.71152600000001</v>
      </c>
      <c r="J169" s="12">
        <f t="shared" si="8"/>
        <v>1.7115260000000063</v>
      </c>
      <c r="K169" s="14">
        <f t="shared" si="9"/>
        <v>2.9293212486760218</v>
      </c>
      <c r="L169" s="14">
        <f t="shared" si="10"/>
        <v>1.6779666666666728</v>
      </c>
      <c r="M169" s="14">
        <f t="shared" si="11"/>
        <v>3</v>
      </c>
    </row>
    <row r="170" spans="1:13" x14ac:dyDescent="0.25">
      <c r="A170" s="14" t="s">
        <v>710</v>
      </c>
      <c r="B170" s="20"/>
      <c r="C170" s="16">
        <v>0.375</v>
      </c>
      <c r="D170" s="17" t="s">
        <v>527</v>
      </c>
      <c r="E170" s="14">
        <v>21.177</v>
      </c>
      <c r="F170" s="14">
        <v>48</v>
      </c>
      <c r="G170" s="14">
        <v>71.8</v>
      </c>
      <c r="H170" s="18">
        <v>106</v>
      </c>
      <c r="I170" s="19">
        <v>105.877353</v>
      </c>
      <c r="J170" s="12">
        <f t="shared" si="8"/>
        <v>0.12264700000000062</v>
      </c>
      <c r="K170" s="14">
        <f t="shared" si="9"/>
        <v>1.5042286609000151E-2</v>
      </c>
      <c r="L170" s="14">
        <f t="shared" si="10"/>
        <v>0.11570471698113265</v>
      </c>
      <c r="M170" s="14">
        <f t="shared" si="11"/>
        <v>4</v>
      </c>
    </row>
    <row r="171" spans="1:13" x14ac:dyDescent="0.25">
      <c r="A171" s="14" t="s">
        <v>711</v>
      </c>
      <c r="B171" s="20"/>
      <c r="C171" s="16">
        <v>0.39583333333333331</v>
      </c>
      <c r="D171" s="17" t="s">
        <v>527</v>
      </c>
      <c r="E171" s="14">
        <v>21.952999999999999</v>
      </c>
      <c r="F171" s="14">
        <v>26</v>
      </c>
      <c r="G171" s="14">
        <v>58</v>
      </c>
      <c r="H171" s="18">
        <v>112</v>
      </c>
      <c r="I171" s="19">
        <v>109.671217</v>
      </c>
      <c r="J171" s="12">
        <f t="shared" si="8"/>
        <v>2.3287830000000014</v>
      </c>
      <c r="K171" s="14">
        <f t="shared" si="9"/>
        <v>5.4232302610890066</v>
      </c>
      <c r="L171" s="14">
        <f t="shared" si="10"/>
        <v>2.0792705357142869</v>
      </c>
      <c r="M171" s="14">
        <f t="shared" si="11"/>
        <v>5</v>
      </c>
    </row>
    <row r="172" spans="1:13" x14ac:dyDescent="0.25">
      <c r="A172" s="14" t="s">
        <v>712</v>
      </c>
      <c r="B172" s="21"/>
      <c r="C172" s="16">
        <v>0.40625</v>
      </c>
      <c r="D172" s="17" t="s">
        <v>527</v>
      </c>
      <c r="E172" s="14">
        <v>19.643999999999998</v>
      </c>
      <c r="F172" s="14">
        <v>68</v>
      </c>
      <c r="G172" s="14">
        <v>94.4</v>
      </c>
      <c r="H172" s="18">
        <v>100</v>
      </c>
      <c r="I172" s="19">
        <v>98.382515999999995</v>
      </c>
      <c r="J172" s="12">
        <f t="shared" si="8"/>
        <v>1.6174840000000046</v>
      </c>
      <c r="K172" s="14">
        <f t="shared" si="9"/>
        <v>2.616254490256015</v>
      </c>
      <c r="L172" s="14">
        <f t="shared" si="10"/>
        <v>1.6174840000000044</v>
      </c>
      <c r="M172" s="14">
        <f t="shared" si="11"/>
        <v>1</v>
      </c>
    </row>
    <row r="173" spans="1:13" x14ac:dyDescent="0.25">
      <c r="A173" s="14" t="s">
        <v>713</v>
      </c>
      <c r="B173" s="15" t="s">
        <v>714</v>
      </c>
      <c r="C173" s="16">
        <v>0.22916666666666671</v>
      </c>
      <c r="D173" s="17" t="s">
        <v>527</v>
      </c>
      <c r="E173" s="14">
        <v>19.497</v>
      </c>
      <c r="F173" s="14">
        <v>46</v>
      </c>
      <c r="G173" s="14">
        <v>78.5</v>
      </c>
      <c r="H173" s="18">
        <v>97</v>
      </c>
      <c r="I173" s="19">
        <v>97.663833000000011</v>
      </c>
      <c r="J173" s="12">
        <f t="shared" si="8"/>
        <v>0.663833000000011</v>
      </c>
      <c r="K173" s="14">
        <f t="shared" si="9"/>
        <v>0.4406742518890146</v>
      </c>
      <c r="L173" s="14">
        <f t="shared" si="10"/>
        <v>0.68436391752578452</v>
      </c>
      <c r="M173" s="14">
        <f t="shared" si="11"/>
        <v>2</v>
      </c>
    </row>
    <row r="174" spans="1:13" x14ac:dyDescent="0.25">
      <c r="A174" s="14" t="s">
        <v>715</v>
      </c>
      <c r="B174" s="20"/>
      <c r="C174" s="16">
        <v>0.25</v>
      </c>
      <c r="D174" s="17" t="s">
        <v>527</v>
      </c>
      <c r="E174" s="14">
        <v>22.521999999999998</v>
      </c>
      <c r="F174" s="14">
        <v>57</v>
      </c>
      <c r="G174" s="14">
        <v>85.8</v>
      </c>
      <c r="H174" s="18">
        <v>112</v>
      </c>
      <c r="I174" s="19">
        <v>112.453058</v>
      </c>
      <c r="J174" s="12">
        <f t="shared" si="8"/>
        <v>0.45305799999999863</v>
      </c>
      <c r="K174" s="14">
        <f t="shared" si="9"/>
        <v>0.20526155136399876</v>
      </c>
      <c r="L174" s="14">
        <f t="shared" si="10"/>
        <v>0.40451607142857016</v>
      </c>
      <c r="M174" s="14">
        <f t="shared" si="11"/>
        <v>3</v>
      </c>
    </row>
    <row r="175" spans="1:13" x14ac:dyDescent="0.25">
      <c r="A175" s="14" t="s">
        <v>716</v>
      </c>
      <c r="B175" s="20"/>
      <c r="C175" s="16">
        <v>0.27083333333333331</v>
      </c>
      <c r="D175" s="17" t="s">
        <v>527</v>
      </c>
      <c r="E175" s="14">
        <v>21.609000000000002</v>
      </c>
      <c r="F175" s="14">
        <v>58</v>
      </c>
      <c r="G175" s="14">
        <v>85.2</v>
      </c>
      <c r="H175" s="18">
        <v>110</v>
      </c>
      <c r="I175" s="19">
        <v>107.989401</v>
      </c>
      <c r="J175" s="12">
        <f t="shared" si="8"/>
        <v>2.0105989999999991</v>
      </c>
      <c r="K175" s="14">
        <f t="shared" si="9"/>
        <v>4.0425083388009968</v>
      </c>
      <c r="L175" s="14">
        <f t="shared" si="10"/>
        <v>1.8278172727272719</v>
      </c>
      <c r="M175" s="14">
        <f t="shared" si="11"/>
        <v>4</v>
      </c>
    </row>
    <row r="176" spans="1:13" x14ac:dyDescent="0.25">
      <c r="A176" s="14" t="s">
        <v>717</v>
      </c>
      <c r="B176" s="20"/>
      <c r="C176" s="16">
        <v>0.29166666666666669</v>
      </c>
      <c r="D176" s="17" t="s">
        <v>527</v>
      </c>
      <c r="E176" s="14">
        <v>20.216000000000001</v>
      </c>
      <c r="F176" s="14">
        <v>28</v>
      </c>
      <c r="G176" s="14">
        <v>55.8</v>
      </c>
      <c r="H176" s="18">
        <v>101</v>
      </c>
      <c r="I176" s="19">
        <v>101.179024</v>
      </c>
      <c r="J176" s="12">
        <f t="shared" si="8"/>
        <v>0.1790239999999983</v>
      </c>
      <c r="K176" s="14">
        <f t="shared" si="9"/>
        <v>3.2049592575999389E-2</v>
      </c>
      <c r="L176" s="14">
        <f t="shared" si="10"/>
        <v>0.17725148514851319</v>
      </c>
      <c r="M176" s="14">
        <f t="shared" si="11"/>
        <v>5</v>
      </c>
    </row>
    <row r="177" spans="1:13" x14ac:dyDescent="0.25">
      <c r="A177" s="14" t="s">
        <v>718</v>
      </c>
      <c r="B177" s="20"/>
      <c r="C177" s="16">
        <v>0.3125</v>
      </c>
      <c r="D177" s="17" t="s">
        <v>527</v>
      </c>
      <c r="E177" s="14">
        <v>20.225000000000001</v>
      </c>
      <c r="F177" s="14">
        <v>40</v>
      </c>
      <c r="G177" s="14">
        <v>94.5</v>
      </c>
      <c r="H177" s="18">
        <v>100</v>
      </c>
      <c r="I177" s="19">
        <v>101.22302500000001</v>
      </c>
      <c r="J177" s="12">
        <f t="shared" si="8"/>
        <v>1.2230250000000069</v>
      </c>
      <c r="K177" s="14">
        <f t="shared" si="9"/>
        <v>1.4957901506250169</v>
      </c>
      <c r="L177" s="14">
        <f t="shared" si="10"/>
        <v>1.2230250000000069</v>
      </c>
      <c r="M177" s="14">
        <f t="shared" si="11"/>
        <v>1</v>
      </c>
    </row>
    <row r="178" spans="1:13" x14ac:dyDescent="0.25">
      <c r="A178" s="14" t="s">
        <v>719</v>
      </c>
      <c r="B178" s="20"/>
      <c r="C178" s="16">
        <v>0.33333333333333331</v>
      </c>
      <c r="D178" s="17" t="s">
        <v>527</v>
      </c>
      <c r="E178" s="14">
        <v>19.989999999999998</v>
      </c>
      <c r="F178" s="14">
        <v>24</v>
      </c>
      <c r="G178" s="14">
        <v>88</v>
      </c>
      <c r="H178" s="18">
        <v>102</v>
      </c>
      <c r="I178" s="19">
        <v>100.07411</v>
      </c>
      <c r="J178" s="12">
        <f t="shared" si="8"/>
        <v>1.9258899999999954</v>
      </c>
      <c r="K178" s="14">
        <f t="shared" si="9"/>
        <v>3.7090522920999822</v>
      </c>
      <c r="L178" s="14">
        <f t="shared" si="10"/>
        <v>1.8881274509803876</v>
      </c>
      <c r="M178" s="14">
        <f t="shared" si="11"/>
        <v>2</v>
      </c>
    </row>
    <row r="179" spans="1:13" x14ac:dyDescent="0.25">
      <c r="A179" s="14" t="s">
        <v>720</v>
      </c>
      <c r="B179" s="20"/>
      <c r="C179" s="16">
        <v>0.35416666666666669</v>
      </c>
      <c r="D179" s="17" t="s">
        <v>527</v>
      </c>
      <c r="E179" s="14">
        <v>20.393999999999998</v>
      </c>
      <c r="F179" s="14">
        <v>63</v>
      </c>
      <c r="G179" s="14">
        <v>92.4</v>
      </c>
      <c r="H179" s="18">
        <v>100</v>
      </c>
      <c r="I179" s="19">
        <v>102.049266</v>
      </c>
      <c r="J179" s="12">
        <f t="shared" si="8"/>
        <v>2.0492660000000029</v>
      </c>
      <c r="K179" s="14">
        <f t="shared" si="9"/>
        <v>4.1994911387560121</v>
      </c>
      <c r="L179" s="14">
        <f t="shared" si="10"/>
        <v>2.0492660000000029</v>
      </c>
      <c r="M179" s="14">
        <f t="shared" si="11"/>
        <v>3</v>
      </c>
    </row>
    <row r="180" spans="1:13" x14ac:dyDescent="0.25">
      <c r="A180" s="14" t="s">
        <v>721</v>
      </c>
      <c r="B180" s="20"/>
      <c r="C180" s="16">
        <v>0.375</v>
      </c>
      <c r="D180" s="17" t="s">
        <v>527</v>
      </c>
      <c r="E180" s="14">
        <v>21.265999999999998</v>
      </c>
      <c r="F180" s="14">
        <v>38</v>
      </c>
      <c r="G180" s="14">
        <v>72.900000000000006</v>
      </c>
      <c r="H180" s="18">
        <v>107</v>
      </c>
      <c r="I180" s="19">
        <v>106.31247399999999</v>
      </c>
      <c r="J180" s="12">
        <f t="shared" si="8"/>
        <v>0.68752600000000541</v>
      </c>
      <c r="K180" s="14">
        <f t="shared" si="9"/>
        <v>0.47269200067600742</v>
      </c>
      <c r="L180" s="14">
        <f t="shared" si="10"/>
        <v>0.64254766355140691</v>
      </c>
      <c r="M180" s="14">
        <f t="shared" si="11"/>
        <v>4</v>
      </c>
    </row>
    <row r="181" spans="1:13" x14ac:dyDescent="0.25">
      <c r="A181" s="14" t="s">
        <v>722</v>
      </c>
      <c r="B181" s="20"/>
      <c r="C181" s="16">
        <v>0.39583333333333331</v>
      </c>
      <c r="D181" s="17" t="s">
        <v>527</v>
      </c>
      <c r="E181" s="14">
        <v>23.047999999999998</v>
      </c>
      <c r="F181" s="14">
        <v>53</v>
      </c>
      <c r="G181" s="14">
        <v>60</v>
      </c>
      <c r="H181" s="18">
        <v>113</v>
      </c>
      <c r="I181" s="19">
        <v>115.024672</v>
      </c>
      <c r="J181" s="12">
        <f t="shared" si="8"/>
        <v>2.0246719999999954</v>
      </c>
      <c r="K181" s="14">
        <f t="shared" si="9"/>
        <v>4.0992967075839815</v>
      </c>
      <c r="L181" s="14">
        <f t="shared" si="10"/>
        <v>1.7917451327433589</v>
      </c>
      <c r="M181" s="14">
        <f t="shared" si="11"/>
        <v>5</v>
      </c>
    </row>
    <row r="182" spans="1:13" x14ac:dyDescent="0.25">
      <c r="A182" s="14" t="s">
        <v>723</v>
      </c>
      <c r="B182" s="21"/>
      <c r="C182" s="16">
        <v>0.40625</v>
      </c>
      <c r="D182" s="17" t="s">
        <v>527</v>
      </c>
      <c r="E182" s="14">
        <v>19.010000000000002</v>
      </c>
      <c r="F182" s="14">
        <v>71</v>
      </c>
      <c r="G182" s="14">
        <v>59.6</v>
      </c>
      <c r="H182" s="18">
        <v>96</v>
      </c>
      <c r="I182" s="19">
        <v>95.282890000000009</v>
      </c>
      <c r="J182" s="12">
        <f t="shared" si="8"/>
        <v>0.71710999999999103</v>
      </c>
      <c r="K182" s="14">
        <f t="shared" si="9"/>
        <v>0.51424675209998716</v>
      </c>
      <c r="L182" s="14">
        <f t="shared" si="10"/>
        <v>0.74698958333332399</v>
      </c>
      <c r="M182" s="14">
        <f t="shared" si="11"/>
        <v>1</v>
      </c>
    </row>
    <row r="183" spans="1:13" x14ac:dyDescent="0.25">
      <c r="A183" s="14" t="s">
        <v>724</v>
      </c>
      <c r="B183" s="15" t="s">
        <v>725</v>
      </c>
      <c r="C183" s="16">
        <v>0.22916666666666671</v>
      </c>
      <c r="D183" s="17" t="s">
        <v>527</v>
      </c>
      <c r="E183" s="14">
        <v>21.033999999999999</v>
      </c>
      <c r="F183" s="14">
        <v>74</v>
      </c>
      <c r="G183" s="14">
        <v>58.2</v>
      </c>
      <c r="H183" s="18">
        <v>107</v>
      </c>
      <c r="I183" s="19">
        <v>105.178226</v>
      </c>
      <c r="J183" s="12">
        <f t="shared" si="8"/>
        <v>1.8217740000000049</v>
      </c>
      <c r="K183" s="14">
        <f t="shared" si="9"/>
        <v>3.318860507076018</v>
      </c>
      <c r="L183" s="14">
        <f t="shared" si="10"/>
        <v>1.7025925233644905</v>
      </c>
      <c r="M183" s="14">
        <f t="shared" si="11"/>
        <v>2</v>
      </c>
    </row>
    <row r="184" spans="1:13" x14ac:dyDescent="0.25">
      <c r="A184" s="14" t="s">
        <v>726</v>
      </c>
      <c r="B184" s="20"/>
      <c r="C184" s="16">
        <v>0.25</v>
      </c>
      <c r="D184" s="17" t="s">
        <v>527</v>
      </c>
      <c r="E184" s="14">
        <v>21.036999999999999</v>
      </c>
      <c r="F184" s="14">
        <v>26</v>
      </c>
      <c r="G184" s="14">
        <v>65.2</v>
      </c>
      <c r="H184" s="18">
        <v>106</v>
      </c>
      <c r="I184" s="19">
        <v>105.192893</v>
      </c>
      <c r="J184" s="12">
        <f t="shared" si="8"/>
        <v>0.80710700000000202</v>
      </c>
      <c r="K184" s="14">
        <f t="shared" si="9"/>
        <v>0.65142170944900324</v>
      </c>
      <c r="L184" s="14">
        <f t="shared" si="10"/>
        <v>0.76142169811320948</v>
      </c>
      <c r="M184" s="14">
        <f t="shared" si="11"/>
        <v>3</v>
      </c>
    </row>
    <row r="185" spans="1:13" x14ac:dyDescent="0.25">
      <c r="A185" s="14" t="s">
        <v>727</v>
      </c>
      <c r="B185" s="20"/>
      <c r="C185" s="16">
        <v>0.27083333333333331</v>
      </c>
      <c r="D185" s="17" t="s">
        <v>527</v>
      </c>
      <c r="E185" s="14">
        <v>17.765999999999998</v>
      </c>
      <c r="F185" s="14">
        <v>80</v>
      </c>
      <c r="G185" s="14">
        <v>88.6</v>
      </c>
      <c r="H185" s="18">
        <v>89</v>
      </c>
      <c r="I185" s="19">
        <v>89.200974000000002</v>
      </c>
      <c r="J185" s="12">
        <f t="shared" si="8"/>
        <v>0.20097400000000221</v>
      </c>
      <c r="K185" s="14">
        <f t="shared" si="9"/>
        <v>4.0390548676000886E-2</v>
      </c>
      <c r="L185" s="14">
        <f t="shared" si="10"/>
        <v>0.22581348314606992</v>
      </c>
      <c r="M185" s="14">
        <f t="shared" si="11"/>
        <v>4</v>
      </c>
    </row>
    <row r="186" spans="1:13" x14ac:dyDescent="0.25">
      <c r="A186" s="14" t="s">
        <v>728</v>
      </c>
      <c r="B186" s="20"/>
      <c r="C186" s="16">
        <v>0.29166666666666669</v>
      </c>
      <c r="D186" s="17" t="s">
        <v>527</v>
      </c>
      <c r="E186" s="14">
        <v>22.661999999999999</v>
      </c>
      <c r="F186" s="14">
        <v>71</v>
      </c>
      <c r="G186" s="14">
        <v>78.8</v>
      </c>
      <c r="H186" s="18">
        <v>114</v>
      </c>
      <c r="I186" s="19">
        <v>113.137518</v>
      </c>
      <c r="J186" s="12">
        <f t="shared" si="8"/>
        <v>0.86248199999999997</v>
      </c>
      <c r="K186" s="14">
        <f t="shared" si="9"/>
        <v>0.7438752003239999</v>
      </c>
      <c r="L186" s="14">
        <f t="shared" si="10"/>
        <v>0.75656315789473683</v>
      </c>
      <c r="M186" s="14">
        <f t="shared" si="11"/>
        <v>5</v>
      </c>
    </row>
    <row r="187" spans="1:13" x14ac:dyDescent="0.25">
      <c r="A187" s="14" t="s">
        <v>729</v>
      </c>
      <c r="B187" s="20"/>
      <c r="C187" s="16">
        <v>0.3125</v>
      </c>
      <c r="D187" s="17" t="s">
        <v>527</v>
      </c>
      <c r="E187" s="14">
        <v>21.523</v>
      </c>
      <c r="F187" s="14">
        <v>72</v>
      </c>
      <c r="G187" s="14">
        <v>70.900000000000006</v>
      </c>
      <c r="H187" s="18">
        <v>108</v>
      </c>
      <c r="I187" s="19">
        <v>107.56894699999999</v>
      </c>
      <c r="J187" s="12">
        <f t="shared" si="8"/>
        <v>0.43105300000000568</v>
      </c>
      <c r="K187" s="14">
        <f t="shared" si="9"/>
        <v>0.18580668880900489</v>
      </c>
      <c r="L187" s="14">
        <f t="shared" si="10"/>
        <v>0.39912314814815342</v>
      </c>
      <c r="M187" s="14">
        <f t="shared" si="11"/>
        <v>1</v>
      </c>
    </row>
    <row r="188" spans="1:13" x14ac:dyDescent="0.25">
      <c r="A188" s="14" t="s">
        <v>730</v>
      </c>
      <c r="B188" s="20"/>
      <c r="C188" s="16">
        <v>0.33333333333333331</v>
      </c>
      <c r="D188" s="17" t="s">
        <v>527</v>
      </c>
      <c r="E188" s="14">
        <v>24.719000000000001</v>
      </c>
      <c r="F188" s="14">
        <v>57</v>
      </c>
      <c r="G188" s="14">
        <v>77.099999999999994</v>
      </c>
      <c r="H188" s="18">
        <v>123</v>
      </c>
      <c r="I188" s="19">
        <v>123.194191</v>
      </c>
      <c r="J188" s="12">
        <f t="shared" si="8"/>
        <v>0.19419100000000356</v>
      </c>
      <c r="K188" s="14">
        <f t="shared" si="9"/>
        <v>3.7710144481001379E-2</v>
      </c>
      <c r="L188" s="14">
        <f t="shared" si="10"/>
        <v>0.15787886178862076</v>
      </c>
      <c r="M188" s="14">
        <f t="shared" si="11"/>
        <v>2</v>
      </c>
    </row>
    <row r="189" spans="1:13" x14ac:dyDescent="0.25">
      <c r="A189" s="14" t="s">
        <v>731</v>
      </c>
      <c r="B189" s="20"/>
      <c r="C189" s="16">
        <v>0.35416666666666669</v>
      </c>
      <c r="D189" s="17" t="s">
        <v>527</v>
      </c>
      <c r="E189" s="14">
        <v>18.939</v>
      </c>
      <c r="F189" s="14">
        <v>32</v>
      </c>
      <c r="G189" s="14">
        <v>94.6</v>
      </c>
      <c r="H189" s="18">
        <v>95</v>
      </c>
      <c r="I189" s="19">
        <v>94.935771000000003</v>
      </c>
      <c r="J189" s="12">
        <f t="shared" si="8"/>
        <v>6.4228999999997427E-2</v>
      </c>
      <c r="K189" s="14">
        <f t="shared" si="9"/>
        <v>4.1253644409996694E-3</v>
      </c>
      <c r="L189" s="14">
        <f t="shared" si="10"/>
        <v>6.7609473684207819E-2</v>
      </c>
      <c r="M189" s="14">
        <f t="shared" si="11"/>
        <v>3</v>
      </c>
    </row>
    <row r="190" spans="1:13" x14ac:dyDescent="0.25">
      <c r="A190" s="14" t="s">
        <v>732</v>
      </c>
      <c r="B190" s="20"/>
      <c r="C190" s="16">
        <v>0.375</v>
      </c>
      <c r="D190" s="17" t="s">
        <v>527</v>
      </c>
      <c r="E190" s="14">
        <v>17.975999999999999</v>
      </c>
      <c r="F190" s="14">
        <v>38</v>
      </c>
      <c r="G190" s="14">
        <v>58</v>
      </c>
      <c r="H190" s="18">
        <v>90</v>
      </c>
      <c r="I190" s="19">
        <v>90.227664000000004</v>
      </c>
      <c r="J190" s="12">
        <f t="shared" si="8"/>
        <v>0.22766400000000431</v>
      </c>
      <c r="K190" s="14">
        <f t="shared" si="9"/>
        <v>5.1830896896001961E-2</v>
      </c>
      <c r="L190" s="14">
        <f t="shared" si="10"/>
        <v>0.25296000000000479</v>
      </c>
      <c r="M190" s="14">
        <f t="shared" si="11"/>
        <v>4</v>
      </c>
    </row>
    <row r="191" spans="1:13" x14ac:dyDescent="0.25">
      <c r="A191" s="14" t="s">
        <v>733</v>
      </c>
      <c r="B191" s="20"/>
      <c r="C191" s="16">
        <v>0.39583333333333331</v>
      </c>
      <c r="D191" s="17" t="s">
        <v>527</v>
      </c>
      <c r="E191" s="14">
        <v>22.591000000000001</v>
      </c>
      <c r="F191" s="14">
        <v>64</v>
      </c>
      <c r="G191" s="14">
        <v>91.6</v>
      </c>
      <c r="H191" s="18">
        <v>116</v>
      </c>
      <c r="I191" s="19">
        <v>112.79039899999999</v>
      </c>
      <c r="J191" s="12">
        <f t="shared" si="8"/>
        <v>3.2096010000000064</v>
      </c>
      <c r="K191" s="14">
        <f t="shared" si="9"/>
        <v>10.301538579201042</v>
      </c>
      <c r="L191" s="14">
        <f t="shared" si="10"/>
        <v>2.7668974137931088</v>
      </c>
      <c r="M191" s="14">
        <f t="shared" si="11"/>
        <v>5</v>
      </c>
    </row>
    <row r="192" spans="1:13" x14ac:dyDescent="0.25">
      <c r="A192" s="14" t="s">
        <v>734</v>
      </c>
      <c r="B192" s="21"/>
      <c r="C192" s="16">
        <v>0.40625</v>
      </c>
      <c r="D192" s="17" t="s">
        <v>527</v>
      </c>
      <c r="E192" s="14">
        <v>23.14</v>
      </c>
      <c r="F192" s="14">
        <v>70</v>
      </c>
      <c r="G192" s="14">
        <v>59.2</v>
      </c>
      <c r="H192" s="18">
        <v>115</v>
      </c>
      <c r="I192" s="19">
        <v>115.47445999999999</v>
      </c>
      <c r="J192" s="12">
        <f t="shared" si="8"/>
        <v>0.47445999999999344</v>
      </c>
      <c r="K192" s="14">
        <f t="shared" si="9"/>
        <v>0.22511229159999377</v>
      </c>
      <c r="L192" s="14">
        <f t="shared" si="10"/>
        <v>0.41257391304347252</v>
      </c>
      <c r="M192" s="14">
        <f t="shared" si="11"/>
        <v>1</v>
      </c>
    </row>
    <row r="193" spans="1:13" x14ac:dyDescent="0.25">
      <c r="A193" s="14" t="s">
        <v>735</v>
      </c>
      <c r="B193" s="15" t="s">
        <v>736</v>
      </c>
      <c r="C193" s="16">
        <v>0.22916666666666671</v>
      </c>
      <c r="D193" s="17" t="s">
        <v>527</v>
      </c>
      <c r="E193" s="14">
        <v>21.968</v>
      </c>
      <c r="F193" s="14">
        <v>26</v>
      </c>
      <c r="G193" s="14">
        <v>67</v>
      </c>
      <c r="H193" s="18">
        <v>110</v>
      </c>
      <c r="I193" s="19">
        <v>109.744552</v>
      </c>
      <c r="J193" s="12">
        <f t="shared" si="8"/>
        <v>0.25544800000000123</v>
      </c>
      <c r="K193" s="14">
        <f t="shared" si="9"/>
        <v>6.525368070400063E-2</v>
      </c>
      <c r="L193" s="14">
        <f t="shared" si="10"/>
        <v>0.23222545454545568</v>
      </c>
      <c r="M193" s="14">
        <f t="shared" si="11"/>
        <v>2</v>
      </c>
    </row>
    <row r="194" spans="1:13" x14ac:dyDescent="0.25">
      <c r="A194" s="14" t="s">
        <v>737</v>
      </c>
      <c r="B194" s="20"/>
      <c r="C194" s="16">
        <v>0.25</v>
      </c>
      <c r="D194" s="17" t="s">
        <v>527</v>
      </c>
      <c r="E194" s="14">
        <v>25.173999999999999</v>
      </c>
      <c r="F194" s="14">
        <v>69</v>
      </c>
      <c r="G194" s="14">
        <v>81</v>
      </c>
      <c r="H194" s="18">
        <v>123</v>
      </c>
      <c r="I194" s="19">
        <v>125.41868599999999</v>
      </c>
      <c r="J194" s="12">
        <f t="shared" si="8"/>
        <v>2.4186859999999939</v>
      </c>
      <c r="K194" s="14">
        <f t="shared" si="9"/>
        <v>5.8500419665959704</v>
      </c>
      <c r="L194" s="14">
        <f t="shared" si="10"/>
        <v>1.9664113821138161</v>
      </c>
      <c r="M194" s="14">
        <f t="shared" si="11"/>
        <v>3</v>
      </c>
    </row>
    <row r="195" spans="1:13" x14ac:dyDescent="0.25">
      <c r="A195" s="14" t="s">
        <v>738</v>
      </c>
      <c r="B195" s="20"/>
      <c r="C195" s="16">
        <v>0.27083333333333331</v>
      </c>
      <c r="D195" s="17" t="s">
        <v>527</v>
      </c>
      <c r="E195" s="14">
        <v>17.265000000000001</v>
      </c>
      <c r="F195" s="14">
        <v>74</v>
      </c>
      <c r="G195" s="14">
        <v>56.6</v>
      </c>
      <c r="H195" s="18">
        <v>88</v>
      </c>
      <c r="I195" s="19">
        <v>86.751585000000006</v>
      </c>
      <c r="J195" s="12">
        <f t="shared" ref="J195:J258" si="12">IF(OR(H195="",I195=""),"",ABS(H195-I195))</f>
        <v>1.2484149999999943</v>
      </c>
      <c r="K195" s="14">
        <f t="shared" ref="K195:K258" si="13">IF(OR(H195="",I195=""),"",(H195-I195)^2)</f>
        <v>1.5585400122249857</v>
      </c>
      <c r="L195" s="14">
        <f t="shared" ref="L195:L258" si="14">IF(OR(H195="",I195=""),"",IF(H195=0,"",ABS((H195-I195)/H195)*100))</f>
        <v>1.4186534090909027</v>
      </c>
      <c r="M195" s="14">
        <f t="shared" ref="M195:M258" si="15">MOD(ROW()-2,5)+1</f>
        <v>4</v>
      </c>
    </row>
    <row r="196" spans="1:13" x14ac:dyDescent="0.25">
      <c r="A196" s="14" t="s">
        <v>739</v>
      </c>
      <c r="B196" s="20"/>
      <c r="C196" s="16">
        <v>0.29166666666666669</v>
      </c>
      <c r="D196" s="17" t="s">
        <v>527</v>
      </c>
      <c r="E196" s="14">
        <v>17.756</v>
      </c>
      <c r="F196" s="14">
        <v>43</v>
      </c>
      <c r="G196" s="14">
        <v>90.3</v>
      </c>
      <c r="H196" s="18">
        <v>92</v>
      </c>
      <c r="I196" s="19">
        <v>89.152084000000002</v>
      </c>
      <c r="J196" s="12">
        <f t="shared" si="12"/>
        <v>2.8479159999999979</v>
      </c>
      <c r="K196" s="14">
        <f t="shared" si="13"/>
        <v>8.1106255430559884</v>
      </c>
      <c r="L196" s="14">
        <f t="shared" si="14"/>
        <v>3.0955608695652148</v>
      </c>
      <c r="M196" s="14">
        <f t="shared" si="15"/>
        <v>5</v>
      </c>
    </row>
    <row r="197" spans="1:13" x14ac:dyDescent="0.25">
      <c r="A197" s="14" t="s">
        <v>740</v>
      </c>
      <c r="B197" s="20"/>
      <c r="C197" s="16">
        <v>0.3125</v>
      </c>
      <c r="D197" s="17" t="s">
        <v>527</v>
      </c>
      <c r="E197" s="14">
        <v>22.02</v>
      </c>
      <c r="F197" s="14">
        <v>58</v>
      </c>
      <c r="G197" s="14">
        <v>88.5</v>
      </c>
      <c r="H197" s="18">
        <v>109</v>
      </c>
      <c r="I197" s="19">
        <v>109.99878</v>
      </c>
      <c r="J197" s="12">
        <f t="shared" si="12"/>
        <v>0.99877999999999645</v>
      </c>
      <c r="K197" s="14">
        <f t="shared" si="13"/>
        <v>0.99756148839999292</v>
      </c>
      <c r="L197" s="14">
        <f t="shared" si="14"/>
        <v>0.91631192660550143</v>
      </c>
      <c r="M197" s="14">
        <f t="shared" si="15"/>
        <v>1</v>
      </c>
    </row>
    <row r="198" spans="1:13" x14ac:dyDescent="0.25">
      <c r="A198" s="14" t="s">
        <v>741</v>
      </c>
      <c r="B198" s="20"/>
      <c r="C198" s="16">
        <v>0.33333333333333331</v>
      </c>
      <c r="D198" s="17" t="s">
        <v>527</v>
      </c>
      <c r="E198" s="14">
        <v>24.123000000000001</v>
      </c>
      <c r="F198" s="14">
        <v>52</v>
      </c>
      <c r="G198" s="14">
        <v>68.400000000000006</v>
      </c>
      <c r="H198" s="18">
        <v>120</v>
      </c>
      <c r="I198" s="19">
        <v>120.28034700000001</v>
      </c>
      <c r="J198" s="12">
        <f t="shared" si="12"/>
        <v>0.28034700000000612</v>
      </c>
      <c r="K198" s="14">
        <f t="shared" si="13"/>
        <v>7.859444040900343E-2</v>
      </c>
      <c r="L198" s="14">
        <f t="shared" si="14"/>
        <v>0.23362250000000512</v>
      </c>
      <c r="M198" s="14">
        <f t="shared" si="15"/>
        <v>2</v>
      </c>
    </row>
    <row r="199" spans="1:13" x14ac:dyDescent="0.25">
      <c r="A199" s="14" t="s">
        <v>742</v>
      </c>
      <c r="B199" s="20"/>
      <c r="C199" s="16">
        <v>0.35416666666666669</v>
      </c>
      <c r="D199" s="17" t="s">
        <v>527</v>
      </c>
      <c r="E199" s="14">
        <v>25.041</v>
      </c>
      <c r="F199" s="14">
        <v>80</v>
      </c>
      <c r="G199" s="14">
        <v>56.7</v>
      </c>
      <c r="H199" s="18">
        <v>127</v>
      </c>
      <c r="I199" s="19">
        <v>124.768449</v>
      </c>
      <c r="J199" s="12">
        <f t="shared" si="12"/>
        <v>2.2315509999999961</v>
      </c>
      <c r="K199" s="14">
        <f t="shared" si="13"/>
        <v>4.979819865600982</v>
      </c>
      <c r="L199" s="14">
        <f t="shared" si="14"/>
        <v>1.7571267716535401</v>
      </c>
      <c r="M199" s="14">
        <f t="shared" si="15"/>
        <v>3</v>
      </c>
    </row>
    <row r="200" spans="1:13" x14ac:dyDescent="0.25">
      <c r="A200" s="14" t="s">
        <v>743</v>
      </c>
      <c r="B200" s="20"/>
      <c r="C200" s="16">
        <v>0.375</v>
      </c>
      <c r="D200" s="17" t="s">
        <v>527</v>
      </c>
      <c r="E200" s="14">
        <v>20.454999999999998</v>
      </c>
      <c r="F200" s="14">
        <v>42</v>
      </c>
      <c r="G200" s="14">
        <v>94.6</v>
      </c>
      <c r="H200" s="18">
        <v>105</v>
      </c>
      <c r="I200" s="19">
        <v>102.347495</v>
      </c>
      <c r="J200" s="12">
        <f t="shared" si="12"/>
        <v>2.652505000000005</v>
      </c>
      <c r="K200" s="14">
        <f t="shared" si="13"/>
        <v>7.0357827750250266</v>
      </c>
      <c r="L200" s="14">
        <f t="shared" si="14"/>
        <v>2.526195238095243</v>
      </c>
      <c r="M200" s="14">
        <f t="shared" si="15"/>
        <v>4</v>
      </c>
    </row>
    <row r="201" spans="1:13" x14ac:dyDescent="0.25">
      <c r="A201" s="14" t="s">
        <v>744</v>
      </c>
      <c r="B201" s="20"/>
      <c r="C201" s="16">
        <v>0.39583333333333331</v>
      </c>
      <c r="D201" s="17" t="s">
        <v>527</v>
      </c>
      <c r="E201" s="14">
        <v>20.148</v>
      </c>
      <c r="F201" s="14">
        <v>55</v>
      </c>
      <c r="G201" s="14">
        <v>68.5</v>
      </c>
      <c r="H201" s="18">
        <v>98</v>
      </c>
      <c r="I201" s="19">
        <v>100.84657199999999</v>
      </c>
      <c r="J201" s="12">
        <f t="shared" si="12"/>
        <v>2.8465719999999948</v>
      </c>
      <c r="K201" s="14">
        <f t="shared" si="13"/>
        <v>8.1029721511839696</v>
      </c>
      <c r="L201" s="14">
        <f t="shared" si="14"/>
        <v>2.9046653061224439</v>
      </c>
      <c r="M201" s="14">
        <f t="shared" si="15"/>
        <v>5</v>
      </c>
    </row>
    <row r="202" spans="1:13" x14ac:dyDescent="0.25">
      <c r="A202" s="14" t="s">
        <v>745</v>
      </c>
      <c r="B202" s="21"/>
      <c r="C202" s="16">
        <v>0.40625</v>
      </c>
      <c r="D202" s="17" t="s">
        <v>527</v>
      </c>
      <c r="E202" s="14">
        <v>22.904</v>
      </c>
      <c r="F202" s="14">
        <v>26</v>
      </c>
      <c r="G202" s="14">
        <v>55.8</v>
      </c>
      <c r="H202" s="18">
        <v>112</v>
      </c>
      <c r="I202" s="19">
        <v>114.320656</v>
      </c>
      <c r="J202" s="12">
        <f t="shared" si="12"/>
        <v>2.3206559999999996</v>
      </c>
      <c r="K202" s="14">
        <f t="shared" si="13"/>
        <v>5.3854442703359986</v>
      </c>
      <c r="L202" s="14">
        <f t="shared" si="14"/>
        <v>2.0720142857142854</v>
      </c>
      <c r="M202" s="14">
        <f t="shared" si="15"/>
        <v>1</v>
      </c>
    </row>
    <row r="203" spans="1:13" x14ac:dyDescent="0.25">
      <c r="A203" s="14" t="s">
        <v>746</v>
      </c>
      <c r="B203" s="15" t="s">
        <v>747</v>
      </c>
      <c r="C203" s="16">
        <v>0.22916666666666671</v>
      </c>
      <c r="D203" s="17" t="s">
        <v>527</v>
      </c>
      <c r="E203" s="14">
        <v>17.914000000000001</v>
      </c>
      <c r="F203" s="14">
        <v>24</v>
      </c>
      <c r="G203" s="14">
        <v>84.8</v>
      </c>
      <c r="H203" s="18">
        <v>94</v>
      </c>
      <c r="I203" s="19">
        <v>89.924546000000021</v>
      </c>
      <c r="J203" s="12">
        <f t="shared" si="12"/>
        <v>4.0754539999999793</v>
      </c>
      <c r="K203" s="14">
        <f t="shared" si="13"/>
        <v>16.609325306115831</v>
      </c>
      <c r="L203" s="14">
        <f t="shared" si="14"/>
        <v>4.3355893617021062</v>
      </c>
      <c r="M203" s="14">
        <f t="shared" si="15"/>
        <v>2</v>
      </c>
    </row>
    <row r="204" spans="1:13" x14ac:dyDescent="0.25">
      <c r="A204" s="14" t="s">
        <v>748</v>
      </c>
      <c r="B204" s="20"/>
      <c r="C204" s="16">
        <v>0.25</v>
      </c>
      <c r="D204" s="17" t="s">
        <v>527</v>
      </c>
      <c r="E204" s="14">
        <v>20.837</v>
      </c>
      <c r="F204" s="14">
        <v>51</v>
      </c>
      <c r="G204" s="14">
        <v>77.599999999999994</v>
      </c>
      <c r="H204" s="18">
        <v>105</v>
      </c>
      <c r="I204" s="19">
        <v>104.215093</v>
      </c>
      <c r="J204" s="12">
        <f t="shared" si="12"/>
        <v>0.78490700000000402</v>
      </c>
      <c r="K204" s="14">
        <f t="shared" si="13"/>
        <v>0.61607899864900628</v>
      </c>
      <c r="L204" s="14">
        <f t="shared" si="14"/>
        <v>0.74753047619047996</v>
      </c>
      <c r="M204" s="14">
        <f t="shared" si="15"/>
        <v>3</v>
      </c>
    </row>
    <row r="205" spans="1:13" x14ac:dyDescent="0.25">
      <c r="A205" s="14" t="s">
        <v>749</v>
      </c>
      <c r="B205" s="20"/>
      <c r="C205" s="16">
        <v>0.27083333333333331</v>
      </c>
      <c r="D205" s="17" t="s">
        <v>527</v>
      </c>
      <c r="E205" s="14">
        <v>21.193000000000001</v>
      </c>
      <c r="F205" s="14">
        <v>34</v>
      </c>
      <c r="G205" s="14">
        <v>58</v>
      </c>
      <c r="H205" s="18">
        <v>103</v>
      </c>
      <c r="I205" s="19">
        <v>105.95557700000001</v>
      </c>
      <c r="J205" s="12">
        <f t="shared" si="12"/>
        <v>2.9555770000000052</v>
      </c>
      <c r="K205" s="14">
        <f t="shared" si="13"/>
        <v>8.7354354029290313</v>
      </c>
      <c r="L205" s="14">
        <f t="shared" si="14"/>
        <v>2.8694922330097139</v>
      </c>
      <c r="M205" s="14">
        <f t="shared" si="15"/>
        <v>4</v>
      </c>
    </row>
    <row r="206" spans="1:13" x14ac:dyDescent="0.25">
      <c r="A206" s="14" t="s">
        <v>750</v>
      </c>
      <c r="B206" s="20"/>
      <c r="C206" s="16">
        <v>0.29166666666666669</v>
      </c>
      <c r="D206" s="17" t="s">
        <v>527</v>
      </c>
      <c r="E206" s="14">
        <v>22.03</v>
      </c>
      <c r="F206" s="14">
        <v>60</v>
      </c>
      <c r="G206" s="14">
        <v>58.1</v>
      </c>
      <c r="H206" s="18">
        <v>111</v>
      </c>
      <c r="I206" s="19">
        <v>110.04767</v>
      </c>
      <c r="J206" s="12">
        <f t="shared" si="12"/>
        <v>0.95233000000000345</v>
      </c>
      <c r="K206" s="14">
        <f t="shared" si="13"/>
        <v>0.90693242890000658</v>
      </c>
      <c r="L206" s="14">
        <f t="shared" si="14"/>
        <v>0.85795495495495799</v>
      </c>
      <c r="M206" s="14">
        <f t="shared" si="15"/>
        <v>5</v>
      </c>
    </row>
    <row r="207" spans="1:13" x14ac:dyDescent="0.25">
      <c r="A207" s="14" t="s">
        <v>751</v>
      </c>
      <c r="B207" s="20"/>
      <c r="C207" s="16">
        <v>0.3125</v>
      </c>
      <c r="D207" s="17" t="s">
        <v>527</v>
      </c>
      <c r="E207" s="14">
        <v>24.625</v>
      </c>
      <c r="F207" s="14">
        <v>76</v>
      </c>
      <c r="G207" s="14">
        <v>74.8</v>
      </c>
      <c r="H207" s="18">
        <v>124</v>
      </c>
      <c r="I207" s="19">
        <v>122.73462499999999</v>
      </c>
      <c r="J207" s="12">
        <f t="shared" si="12"/>
        <v>1.2653750000000059</v>
      </c>
      <c r="K207" s="14">
        <f t="shared" si="13"/>
        <v>1.601173890625015</v>
      </c>
      <c r="L207" s="14">
        <f t="shared" si="14"/>
        <v>1.0204637096774241</v>
      </c>
      <c r="M207" s="14">
        <f t="shared" si="15"/>
        <v>1</v>
      </c>
    </row>
    <row r="208" spans="1:13" x14ac:dyDescent="0.25">
      <c r="A208" s="14" t="s">
        <v>752</v>
      </c>
      <c r="B208" s="20"/>
      <c r="C208" s="16">
        <v>0.33333333333333331</v>
      </c>
      <c r="D208" s="17" t="s">
        <v>527</v>
      </c>
      <c r="E208" s="14">
        <v>22.899000000000001</v>
      </c>
      <c r="F208" s="14">
        <v>68</v>
      </c>
      <c r="G208" s="14">
        <v>75.5</v>
      </c>
      <c r="H208" s="18">
        <v>115</v>
      </c>
      <c r="I208" s="19">
        <v>114.296211</v>
      </c>
      <c r="J208" s="12">
        <f t="shared" si="12"/>
        <v>0.70378900000000044</v>
      </c>
      <c r="K208" s="14">
        <f t="shared" si="13"/>
        <v>0.49531895652100061</v>
      </c>
      <c r="L208" s="14">
        <f t="shared" si="14"/>
        <v>0.61199043478260906</v>
      </c>
      <c r="M208" s="14">
        <f t="shared" si="15"/>
        <v>2</v>
      </c>
    </row>
    <row r="209" spans="1:13" x14ac:dyDescent="0.25">
      <c r="A209" s="14" t="s">
        <v>753</v>
      </c>
      <c r="B209" s="20"/>
      <c r="C209" s="16">
        <v>0.35416666666666669</v>
      </c>
      <c r="D209" s="17" t="s">
        <v>527</v>
      </c>
      <c r="E209" s="14">
        <v>19.600999999999999</v>
      </c>
      <c r="F209" s="14">
        <v>71</v>
      </c>
      <c r="G209" s="14">
        <v>91.2</v>
      </c>
      <c r="H209" s="18">
        <v>100</v>
      </c>
      <c r="I209" s="19">
        <v>98.172289000000006</v>
      </c>
      <c r="J209" s="12">
        <f t="shared" si="12"/>
        <v>1.8277109999999936</v>
      </c>
      <c r="K209" s="14">
        <f t="shared" si="13"/>
        <v>3.3405274995209768</v>
      </c>
      <c r="L209" s="14">
        <f t="shared" si="14"/>
        <v>1.8277109999999936</v>
      </c>
      <c r="M209" s="14">
        <f t="shared" si="15"/>
        <v>3</v>
      </c>
    </row>
    <row r="210" spans="1:13" x14ac:dyDescent="0.25">
      <c r="A210" s="14" t="s">
        <v>754</v>
      </c>
      <c r="B210" s="20"/>
      <c r="C210" s="16">
        <v>0.375</v>
      </c>
      <c r="D210" s="17" t="s">
        <v>527</v>
      </c>
      <c r="E210" s="14">
        <v>20.992999999999999</v>
      </c>
      <c r="F210" s="14">
        <v>41</v>
      </c>
      <c r="G210" s="14">
        <v>79</v>
      </c>
      <c r="H210" s="18">
        <v>108</v>
      </c>
      <c r="I210" s="19">
        <v>104.977777</v>
      </c>
      <c r="J210" s="12">
        <f t="shared" si="12"/>
        <v>3.0222229999999968</v>
      </c>
      <c r="K210" s="14">
        <f t="shared" si="13"/>
        <v>9.1338318617289804</v>
      </c>
      <c r="L210" s="14">
        <f t="shared" si="14"/>
        <v>2.7983546296296269</v>
      </c>
      <c r="M210" s="14">
        <f t="shared" si="15"/>
        <v>4</v>
      </c>
    </row>
    <row r="211" spans="1:13" x14ac:dyDescent="0.25">
      <c r="A211" s="14" t="s">
        <v>755</v>
      </c>
      <c r="B211" s="20"/>
      <c r="C211" s="16">
        <v>0.39583333333333331</v>
      </c>
      <c r="D211" s="17" t="s">
        <v>527</v>
      </c>
      <c r="E211" s="14">
        <v>19.375</v>
      </c>
      <c r="F211" s="14">
        <v>42</v>
      </c>
      <c r="G211" s="14">
        <v>76.7</v>
      </c>
      <c r="H211" s="18">
        <v>95</v>
      </c>
      <c r="I211" s="19">
        <v>97.067375000000013</v>
      </c>
      <c r="J211" s="12">
        <f t="shared" si="12"/>
        <v>2.0673750000000126</v>
      </c>
      <c r="K211" s="14">
        <f t="shared" si="13"/>
        <v>4.2740393906250524</v>
      </c>
      <c r="L211" s="14">
        <f t="shared" si="14"/>
        <v>2.1761842105263289</v>
      </c>
      <c r="M211" s="14">
        <f t="shared" si="15"/>
        <v>5</v>
      </c>
    </row>
    <row r="212" spans="1:13" x14ac:dyDescent="0.25">
      <c r="A212" s="14" t="s">
        <v>756</v>
      </c>
      <c r="B212" s="21"/>
      <c r="C212" s="16">
        <v>0.40625</v>
      </c>
      <c r="D212" s="17" t="s">
        <v>527</v>
      </c>
      <c r="E212" s="14">
        <v>19.943999999999999</v>
      </c>
      <c r="F212" s="14">
        <v>69</v>
      </c>
      <c r="G212" s="14">
        <v>80.099999999999994</v>
      </c>
      <c r="H212" s="18">
        <v>103</v>
      </c>
      <c r="I212" s="19">
        <v>99.849215999999998</v>
      </c>
      <c r="J212" s="12">
        <f t="shared" si="12"/>
        <v>3.1507840000000016</v>
      </c>
      <c r="K212" s="14">
        <f t="shared" si="13"/>
        <v>9.9274398146560099</v>
      </c>
      <c r="L212" s="14">
        <f t="shared" si="14"/>
        <v>3.0590135922330113</v>
      </c>
      <c r="M212" s="14">
        <f t="shared" si="15"/>
        <v>1</v>
      </c>
    </row>
    <row r="213" spans="1:13" x14ac:dyDescent="0.25">
      <c r="A213" s="14" t="s">
        <v>757</v>
      </c>
      <c r="B213" s="15" t="s">
        <v>758</v>
      </c>
      <c r="C213" s="16">
        <v>0.22916666666666671</v>
      </c>
      <c r="D213" s="17" t="s">
        <v>527</v>
      </c>
      <c r="E213" s="14">
        <v>17.888000000000002</v>
      </c>
      <c r="F213" s="14">
        <v>50</v>
      </c>
      <c r="G213" s="14">
        <v>86.4</v>
      </c>
      <c r="H213" s="18">
        <v>89</v>
      </c>
      <c r="I213" s="19">
        <v>89.797432000000015</v>
      </c>
      <c r="J213" s="12">
        <f t="shared" si="12"/>
        <v>0.7974320000000148</v>
      </c>
      <c r="K213" s="14">
        <f t="shared" si="13"/>
        <v>0.63589779462402363</v>
      </c>
      <c r="L213" s="14">
        <f t="shared" si="14"/>
        <v>0.89599101123597169</v>
      </c>
      <c r="M213" s="14">
        <f t="shared" si="15"/>
        <v>2</v>
      </c>
    </row>
    <row r="214" spans="1:13" x14ac:dyDescent="0.25">
      <c r="A214" s="14" t="s">
        <v>759</v>
      </c>
      <c r="B214" s="20"/>
      <c r="C214" s="16">
        <v>0.25</v>
      </c>
      <c r="D214" s="17" t="s">
        <v>527</v>
      </c>
      <c r="E214" s="14">
        <v>23.116</v>
      </c>
      <c r="F214" s="14">
        <v>66</v>
      </c>
      <c r="G214" s="14">
        <v>85.7</v>
      </c>
      <c r="H214" s="18">
        <v>114</v>
      </c>
      <c r="I214" s="19">
        <v>115.357124</v>
      </c>
      <c r="J214" s="12">
        <f t="shared" si="12"/>
        <v>1.3571239999999989</v>
      </c>
      <c r="K214" s="14">
        <f t="shared" si="13"/>
        <v>1.8417855513759971</v>
      </c>
      <c r="L214" s="14">
        <f t="shared" si="14"/>
        <v>1.1904596491228059</v>
      </c>
      <c r="M214" s="14">
        <f t="shared" si="15"/>
        <v>3</v>
      </c>
    </row>
    <row r="215" spans="1:13" x14ac:dyDescent="0.25">
      <c r="A215" s="14" t="s">
        <v>760</v>
      </c>
      <c r="B215" s="20"/>
      <c r="C215" s="16">
        <v>0.27083333333333331</v>
      </c>
      <c r="D215" s="17" t="s">
        <v>527</v>
      </c>
      <c r="E215" s="14">
        <v>17.283000000000001</v>
      </c>
      <c r="F215" s="14">
        <v>46</v>
      </c>
      <c r="G215" s="14">
        <v>66.900000000000006</v>
      </c>
      <c r="H215" s="18">
        <v>89</v>
      </c>
      <c r="I215" s="19">
        <v>86.839587000000009</v>
      </c>
      <c r="J215" s="12">
        <f t="shared" si="12"/>
        <v>2.1604129999999913</v>
      </c>
      <c r="K215" s="14">
        <f t="shared" si="13"/>
        <v>4.6673843305689626</v>
      </c>
      <c r="L215" s="14">
        <f t="shared" si="14"/>
        <v>2.4274303370786421</v>
      </c>
      <c r="M215" s="14">
        <f t="shared" si="15"/>
        <v>4</v>
      </c>
    </row>
    <row r="216" spans="1:13" x14ac:dyDescent="0.25">
      <c r="A216" s="14" t="s">
        <v>761</v>
      </c>
      <c r="B216" s="20"/>
      <c r="C216" s="16">
        <v>0.29166666666666669</v>
      </c>
      <c r="D216" s="17" t="s">
        <v>527</v>
      </c>
      <c r="E216" s="14">
        <v>23.870999999999999</v>
      </c>
      <c r="F216" s="14">
        <v>80</v>
      </c>
      <c r="G216" s="14">
        <v>92.8</v>
      </c>
      <c r="H216" s="18">
        <v>121</v>
      </c>
      <c r="I216" s="19">
        <v>119.04831900000001</v>
      </c>
      <c r="J216" s="12">
        <f t="shared" si="12"/>
        <v>1.9516809999999936</v>
      </c>
      <c r="K216" s="14">
        <f t="shared" si="13"/>
        <v>3.8090587257609747</v>
      </c>
      <c r="L216" s="14">
        <f t="shared" si="14"/>
        <v>1.6129595041322262</v>
      </c>
      <c r="M216" s="14">
        <f t="shared" si="15"/>
        <v>5</v>
      </c>
    </row>
    <row r="217" spans="1:13" x14ac:dyDescent="0.25">
      <c r="A217" s="14" t="s">
        <v>762</v>
      </c>
      <c r="B217" s="20"/>
      <c r="C217" s="16">
        <v>0.3125</v>
      </c>
      <c r="D217" s="17" t="s">
        <v>527</v>
      </c>
      <c r="E217" s="14">
        <v>24.032</v>
      </c>
      <c r="F217" s="14">
        <v>39</v>
      </c>
      <c r="G217" s="14">
        <v>76.3</v>
      </c>
      <c r="H217" s="18">
        <v>118</v>
      </c>
      <c r="I217" s="19">
        <v>119.835448</v>
      </c>
      <c r="J217" s="12">
        <f t="shared" si="12"/>
        <v>1.8354479999999995</v>
      </c>
      <c r="K217" s="14">
        <f t="shared" si="13"/>
        <v>3.3688693607039983</v>
      </c>
      <c r="L217" s="14">
        <f t="shared" si="14"/>
        <v>1.5554644067796606</v>
      </c>
      <c r="M217" s="14">
        <f t="shared" si="15"/>
        <v>1</v>
      </c>
    </row>
    <row r="218" spans="1:13" x14ac:dyDescent="0.25">
      <c r="A218" s="14" t="s">
        <v>763</v>
      </c>
      <c r="B218" s="20"/>
      <c r="C218" s="16">
        <v>0.33333333333333331</v>
      </c>
      <c r="D218" s="17" t="s">
        <v>527</v>
      </c>
      <c r="E218" s="14">
        <v>19.18</v>
      </c>
      <c r="F218" s="14">
        <v>45</v>
      </c>
      <c r="G218" s="14">
        <v>82.4</v>
      </c>
      <c r="H218" s="18">
        <v>97</v>
      </c>
      <c r="I218" s="19">
        <v>96.114020000000011</v>
      </c>
      <c r="J218" s="12">
        <f t="shared" si="12"/>
        <v>0.88597999999998933</v>
      </c>
      <c r="K218" s="14">
        <f t="shared" si="13"/>
        <v>0.78496056039998108</v>
      </c>
      <c r="L218" s="14">
        <f t="shared" si="14"/>
        <v>0.9133814432989581</v>
      </c>
      <c r="M218" s="14">
        <f t="shared" si="15"/>
        <v>2</v>
      </c>
    </row>
    <row r="219" spans="1:13" x14ac:dyDescent="0.25">
      <c r="A219" s="14" t="s">
        <v>764</v>
      </c>
      <c r="B219" s="20"/>
      <c r="C219" s="16">
        <v>0.35416666666666669</v>
      </c>
      <c r="D219" s="17" t="s">
        <v>527</v>
      </c>
      <c r="E219" s="14">
        <v>21.628</v>
      </c>
      <c r="F219" s="14">
        <v>66</v>
      </c>
      <c r="G219" s="14">
        <v>85.1</v>
      </c>
      <c r="H219" s="18">
        <v>106</v>
      </c>
      <c r="I219" s="19">
        <v>108.082292</v>
      </c>
      <c r="J219" s="12">
        <f t="shared" si="12"/>
        <v>2.0822919999999954</v>
      </c>
      <c r="K219" s="14">
        <f t="shared" si="13"/>
        <v>4.3359399732639803</v>
      </c>
      <c r="L219" s="14">
        <f t="shared" si="14"/>
        <v>1.9644264150943354</v>
      </c>
      <c r="M219" s="14">
        <f t="shared" si="15"/>
        <v>3</v>
      </c>
    </row>
    <row r="220" spans="1:13" x14ac:dyDescent="0.25">
      <c r="A220" s="14" t="s">
        <v>765</v>
      </c>
      <c r="B220" s="20"/>
      <c r="C220" s="16">
        <v>0.375</v>
      </c>
      <c r="D220" s="17" t="s">
        <v>527</v>
      </c>
      <c r="E220" s="14">
        <v>17.23</v>
      </c>
      <c r="F220" s="14">
        <v>66</v>
      </c>
      <c r="G220" s="14">
        <v>74.5</v>
      </c>
      <c r="H220" s="18">
        <v>84</v>
      </c>
      <c r="I220" s="19">
        <v>86.580470000000005</v>
      </c>
      <c r="J220" s="12">
        <f t="shared" si="12"/>
        <v>2.5804700000000054</v>
      </c>
      <c r="K220" s="14">
        <f t="shared" si="13"/>
        <v>6.6588254209000279</v>
      </c>
      <c r="L220" s="14">
        <f t="shared" si="14"/>
        <v>3.0719880952381016</v>
      </c>
      <c r="M220" s="14">
        <f t="shared" si="15"/>
        <v>4</v>
      </c>
    </row>
    <row r="221" spans="1:13" x14ac:dyDescent="0.25">
      <c r="A221" s="14" t="s">
        <v>766</v>
      </c>
      <c r="B221" s="20"/>
      <c r="C221" s="16">
        <v>0.39583333333333331</v>
      </c>
      <c r="D221" s="17" t="s">
        <v>527</v>
      </c>
      <c r="E221" s="14">
        <v>23.495999999999999</v>
      </c>
      <c r="F221" s="14">
        <v>37</v>
      </c>
      <c r="G221" s="14">
        <v>78.400000000000006</v>
      </c>
      <c r="H221" s="18">
        <v>117</v>
      </c>
      <c r="I221" s="19">
        <v>117.214944</v>
      </c>
      <c r="J221" s="12">
        <f t="shared" si="12"/>
        <v>0.21494400000000269</v>
      </c>
      <c r="K221" s="14">
        <f t="shared" si="13"/>
        <v>4.6200923136001153E-2</v>
      </c>
      <c r="L221" s="14">
        <f t="shared" si="14"/>
        <v>0.18371282051282281</v>
      </c>
      <c r="M221" s="14">
        <f t="shared" si="15"/>
        <v>5</v>
      </c>
    </row>
    <row r="222" spans="1:13" x14ac:dyDescent="0.25">
      <c r="A222" s="14" t="s">
        <v>767</v>
      </c>
      <c r="B222" s="21"/>
      <c r="C222" s="16">
        <v>0.40625</v>
      </c>
      <c r="D222" s="17" t="s">
        <v>527</v>
      </c>
      <c r="E222" s="14">
        <v>17.678999999999998</v>
      </c>
      <c r="F222" s="14">
        <v>80</v>
      </c>
      <c r="G222" s="14">
        <v>68.400000000000006</v>
      </c>
      <c r="H222" s="18">
        <v>90</v>
      </c>
      <c r="I222" s="19">
        <v>88.775631000000004</v>
      </c>
      <c r="J222" s="12">
        <f t="shared" si="12"/>
        <v>1.2243689999999958</v>
      </c>
      <c r="K222" s="14">
        <f t="shared" si="13"/>
        <v>1.4990794481609897</v>
      </c>
      <c r="L222" s="14">
        <f t="shared" si="14"/>
        <v>1.3604099999999955</v>
      </c>
      <c r="M222" s="14">
        <f t="shared" si="15"/>
        <v>1</v>
      </c>
    </row>
    <row r="223" spans="1:13" x14ac:dyDescent="0.25">
      <c r="A223" s="14" t="s">
        <v>768</v>
      </c>
      <c r="B223" s="15" t="s">
        <v>769</v>
      </c>
      <c r="C223" s="16">
        <v>0.22916666666666671</v>
      </c>
      <c r="D223" s="17" t="s">
        <v>527</v>
      </c>
      <c r="E223" s="14">
        <v>22.452999999999999</v>
      </c>
      <c r="F223" s="14">
        <v>78</v>
      </c>
      <c r="G223" s="14">
        <v>56.1</v>
      </c>
      <c r="H223" s="18">
        <v>113</v>
      </c>
      <c r="I223" s="19">
        <v>112.115717</v>
      </c>
      <c r="J223" s="12">
        <f t="shared" si="12"/>
        <v>0.88428299999999638</v>
      </c>
      <c r="K223" s="14">
        <f t="shared" si="13"/>
        <v>0.78195642408899357</v>
      </c>
      <c r="L223" s="14">
        <f t="shared" si="14"/>
        <v>0.7825513274336251</v>
      </c>
      <c r="M223" s="14">
        <f t="shared" si="15"/>
        <v>2</v>
      </c>
    </row>
    <row r="224" spans="1:13" x14ac:dyDescent="0.25">
      <c r="A224" s="14" t="s">
        <v>770</v>
      </c>
      <c r="B224" s="20"/>
      <c r="C224" s="16">
        <v>0.25</v>
      </c>
      <c r="D224" s="17" t="s">
        <v>527</v>
      </c>
      <c r="E224" s="14">
        <v>20.501999999999999</v>
      </c>
      <c r="F224" s="14">
        <v>66</v>
      </c>
      <c r="G224" s="14">
        <v>91.4</v>
      </c>
      <c r="H224" s="18">
        <v>102</v>
      </c>
      <c r="I224" s="19">
        <v>102.57727800000001</v>
      </c>
      <c r="J224" s="12">
        <f t="shared" si="12"/>
        <v>0.57727800000000684</v>
      </c>
      <c r="K224" s="14">
        <f t="shared" si="13"/>
        <v>0.33324988928400789</v>
      </c>
      <c r="L224" s="14">
        <f t="shared" si="14"/>
        <v>0.5659588235294184</v>
      </c>
      <c r="M224" s="14">
        <f t="shared" si="15"/>
        <v>3</v>
      </c>
    </row>
    <row r="225" spans="1:13" x14ac:dyDescent="0.25">
      <c r="A225" s="14" t="s">
        <v>771</v>
      </c>
      <c r="B225" s="20"/>
      <c r="C225" s="16">
        <v>0.27083333333333331</v>
      </c>
      <c r="D225" s="17" t="s">
        <v>527</v>
      </c>
      <c r="E225" s="14">
        <v>24.332999999999998</v>
      </c>
      <c r="F225" s="14">
        <v>28</v>
      </c>
      <c r="G225" s="14">
        <v>58.8</v>
      </c>
      <c r="H225" s="18">
        <v>122</v>
      </c>
      <c r="I225" s="19">
        <v>121.30703699999999</v>
      </c>
      <c r="J225" s="12">
        <f t="shared" si="12"/>
        <v>0.69296300000000599</v>
      </c>
      <c r="K225" s="14">
        <f t="shared" si="13"/>
        <v>0.48019771936900829</v>
      </c>
      <c r="L225" s="14">
        <f t="shared" si="14"/>
        <v>0.56800245901639834</v>
      </c>
      <c r="M225" s="14">
        <f t="shared" si="15"/>
        <v>4</v>
      </c>
    </row>
    <row r="226" spans="1:13" x14ac:dyDescent="0.25">
      <c r="A226" s="14" t="s">
        <v>772</v>
      </c>
      <c r="B226" s="20"/>
      <c r="C226" s="16">
        <v>0.29166666666666669</v>
      </c>
      <c r="D226" s="17" t="s">
        <v>527</v>
      </c>
      <c r="E226" s="14">
        <v>21.134</v>
      </c>
      <c r="F226" s="14">
        <v>30</v>
      </c>
      <c r="G226" s="14">
        <v>66.900000000000006</v>
      </c>
      <c r="H226" s="18">
        <v>104</v>
      </c>
      <c r="I226" s="19">
        <v>105.667126</v>
      </c>
      <c r="J226" s="12">
        <f t="shared" si="12"/>
        <v>1.6671259999999961</v>
      </c>
      <c r="K226" s="14">
        <f t="shared" si="13"/>
        <v>2.7793090998759871</v>
      </c>
      <c r="L226" s="14">
        <f t="shared" si="14"/>
        <v>1.6030057692307655</v>
      </c>
      <c r="M226" s="14">
        <f t="shared" si="15"/>
        <v>5</v>
      </c>
    </row>
    <row r="227" spans="1:13" x14ac:dyDescent="0.25">
      <c r="A227" s="14" t="s">
        <v>773</v>
      </c>
      <c r="B227" s="20"/>
      <c r="C227" s="16">
        <v>0.3125</v>
      </c>
      <c r="D227" s="17" t="s">
        <v>527</v>
      </c>
      <c r="E227" s="14">
        <v>24.454999999999998</v>
      </c>
      <c r="F227" s="14">
        <v>68</v>
      </c>
      <c r="G227" s="14">
        <v>90.3</v>
      </c>
      <c r="H227" s="18">
        <v>125</v>
      </c>
      <c r="I227" s="19">
        <v>121.90349500000001</v>
      </c>
      <c r="J227" s="12">
        <f t="shared" si="12"/>
        <v>3.0965049999999934</v>
      </c>
      <c r="K227" s="14">
        <f t="shared" si="13"/>
        <v>9.5883432150249597</v>
      </c>
      <c r="L227" s="14">
        <f t="shared" si="14"/>
        <v>2.4772039999999946</v>
      </c>
      <c r="M227" s="14">
        <f t="shared" si="15"/>
        <v>1</v>
      </c>
    </row>
    <row r="228" spans="1:13" x14ac:dyDescent="0.25">
      <c r="A228" s="14" t="s">
        <v>774</v>
      </c>
      <c r="B228" s="20"/>
      <c r="C228" s="16">
        <v>0.33333333333333331</v>
      </c>
      <c r="D228" s="17" t="s">
        <v>527</v>
      </c>
      <c r="E228" s="14">
        <v>21.068000000000001</v>
      </c>
      <c r="F228" s="14">
        <v>73</v>
      </c>
      <c r="G228" s="14">
        <v>79.3</v>
      </c>
      <c r="H228" s="18">
        <v>108</v>
      </c>
      <c r="I228" s="19">
        <v>105.344452</v>
      </c>
      <c r="J228" s="12">
        <f t="shared" si="12"/>
        <v>2.655547999999996</v>
      </c>
      <c r="K228" s="14">
        <f t="shared" si="13"/>
        <v>7.0519351803039791</v>
      </c>
      <c r="L228" s="14">
        <f t="shared" si="14"/>
        <v>2.4588407407407371</v>
      </c>
      <c r="M228" s="14">
        <f t="shared" si="15"/>
        <v>2</v>
      </c>
    </row>
    <row r="229" spans="1:13" x14ac:dyDescent="0.25">
      <c r="A229" s="14" t="s">
        <v>775</v>
      </c>
      <c r="B229" s="20"/>
      <c r="C229" s="16">
        <v>0.35416666666666669</v>
      </c>
      <c r="D229" s="17" t="s">
        <v>527</v>
      </c>
      <c r="E229" s="14">
        <v>18.463999999999999</v>
      </c>
      <c r="F229" s="14">
        <v>79</v>
      </c>
      <c r="G229" s="14">
        <v>60.7</v>
      </c>
      <c r="H229" s="18">
        <v>92</v>
      </c>
      <c r="I229" s="19">
        <v>92.613495999999998</v>
      </c>
      <c r="J229" s="12">
        <f t="shared" si="12"/>
        <v>0.61349599999999782</v>
      </c>
      <c r="K229" s="14">
        <f t="shared" si="13"/>
        <v>0.37637734201599732</v>
      </c>
      <c r="L229" s="14">
        <f t="shared" si="14"/>
        <v>0.66684347826086721</v>
      </c>
      <c r="M229" s="14">
        <f t="shared" si="15"/>
        <v>3</v>
      </c>
    </row>
    <row r="230" spans="1:13" x14ac:dyDescent="0.25">
      <c r="A230" s="14" t="s">
        <v>776</v>
      </c>
      <c r="B230" s="20"/>
      <c r="C230" s="16">
        <v>0.375</v>
      </c>
      <c r="D230" s="17" t="s">
        <v>527</v>
      </c>
      <c r="E230" s="14">
        <v>21.824999999999999</v>
      </c>
      <c r="F230" s="14">
        <v>49</v>
      </c>
      <c r="G230" s="14">
        <v>65.8</v>
      </c>
      <c r="H230" s="18">
        <v>110</v>
      </c>
      <c r="I230" s="19">
        <v>109.04542499999999</v>
      </c>
      <c r="J230" s="12">
        <f t="shared" si="12"/>
        <v>0.9545750000000055</v>
      </c>
      <c r="K230" s="14">
        <f t="shared" si="13"/>
        <v>0.91121343062501048</v>
      </c>
      <c r="L230" s="14">
        <f t="shared" si="14"/>
        <v>0.86779545454545959</v>
      </c>
      <c r="M230" s="14">
        <f t="shared" si="15"/>
        <v>4</v>
      </c>
    </row>
    <row r="231" spans="1:13" x14ac:dyDescent="0.25">
      <c r="A231" s="14" t="s">
        <v>777</v>
      </c>
      <c r="B231" s="20"/>
      <c r="C231" s="16">
        <v>0.39583333333333331</v>
      </c>
      <c r="D231" s="17" t="s">
        <v>527</v>
      </c>
      <c r="E231" s="14">
        <v>19.977</v>
      </c>
      <c r="F231" s="14">
        <v>47</v>
      </c>
      <c r="G231" s="14">
        <v>90.8</v>
      </c>
      <c r="H231" s="18">
        <v>101</v>
      </c>
      <c r="I231" s="19">
        <v>100.010553</v>
      </c>
      <c r="J231" s="12">
        <f t="shared" si="12"/>
        <v>0.98944699999999841</v>
      </c>
      <c r="K231" s="14">
        <f t="shared" si="13"/>
        <v>0.97900536580899689</v>
      </c>
      <c r="L231" s="14">
        <f t="shared" si="14"/>
        <v>0.97965049504950341</v>
      </c>
      <c r="M231" s="14">
        <f t="shared" si="15"/>
        <v>5</v>
      </c>
    </row>
    <row r="232" spans="1:13" x14ac:dyDescent="0.25">
      <c r="A232" s="14" t="s">
        <v>778</v>
      </c>
      <c r="B232" s="21"/>
      <c r="C232" s="16">
        <v>0.40625</v>
      </c>
      <c r="D232" s="17" t="s">
        <v>527</v>
      </c>
      <c r="E232" s="14">
        <v>20.97</v>
      </c>
      <c r="F232" s="14">
        <v>46</v>
      </c>
      <c r="G232" s="14">
        <v>90.3</v>
      </c>
      <c r="H232" s="18">
        <v>108</v>
      </c>
      <c r="I232" s="19">
        <v>104.86533</v>
      </c>
      <c r="J232" s="12">
        <f t="shared" si="12"/>
        <v>3.1346699999999998</v>
      </c>
      <c r="K232" s="14">
        <f t="shared" si="13"/>
        <v>9.8261560088999982</v>
      </c>
      <c r="L232" s="14">
        <f t="shared" si="14"/>
        <v>2.9024722222222219</v>
      </c>
      <c r="M232" s="14">
        <f t="shared" si="15"/>
        <v>1</v>
      </c>
    </row>
    <row r="233" spans="1:13" x14ac:dyDescent="0.25">
      <c r="A233" s="14" t="s">
        <v>779</v>
      </c>
      <c r="B233" s="15" t="s">
        <v>780</v>
      </c>
      <c r="C233" s="16">
        <v>0.22916666666666671</v>
      </c>
      <c r="D233" s="17" t="s">
        <v>527</v>
      </c>
      <c r="E233" s="14">
        <v>20.407</v>
      </c>
      <c r="F233" s="14">
        <v>66</v>
      </c>
      <c r="G233" s="14">
        <v>76.3</v>
      </c>
      <c r="H233" s="18">
        <v>102</v>
      </c>
      <c r="I233" s="19">
        <v>102.11282300000001</v>
      </c>
      <c r="J233" s="12">
        <f t="shared" si="12"/>
        <v>0.11282300000000589</v>
      </c>
      <c r="K233" s="14">
        <f t="shared" si="13"/>
        <v>1.2729029329001329E-2</v>
      </c>
      <c r="L233" s="14">
        <f t="shared" si="14"/>
        <v>0.11061078431373127</v>
      </c>
      <c r="M233" s="14">
        <f t="shared" si="15"/>
        <v>2</v>
      </c>
    </row>
    <row r="234" spans="1:13" x14ac:dyDescent="0.25">
      <c r="A234" s="14" t="s">
        <v>781</v>
      </c>
      <c r="B234" s="20"/>
      <c r="C234" s="16">
        <v>0.25</v>
      </c>
      <c r="D234" s="17" t="s">
        <v>527</v>
      </c>
      <c r="E234" s="14">
        <v>15.381</v>
      </c>
      <c r="F234" s="14">
        <v>62</v>
      </c>
      <c r="G234" s="14">
        <v>56.3</v>
      </c>
      <c r="H234" s="18">
        <v>77</v>
      </c>
      <c r="I234" s="19">
        <v>77.540709000000007</v>
      </c>
      <c r="J234" s="12">
        <f t="shared" si="12"/>
        <v>0.54070900000000677</v>
      </c>
      <c r="K234" s="14">
        <f t="shared" si="13"/>
        <v>0.29236622268100732</v>
      </c>
      <c r="L234" s="14">
        <f t="shared" si="14"/>
        <v>0.70221948051948935</v>
      </c>
      <c r="M234" s="14">
        <f t="shared" si="15"/>
        <v>3</v>
      </c>
    </row>
    <row r="235" spans="1:13" x14ac:dyDescent="0.25">
      <c r="A235" s="14" t="s">
        <v>782</v>
      </c>
      <c r="B235" s="20"/>
      <c r="C235" s="16">
        <v>0.27083333333333331</v>
      </c>
      <c r="D235" s="17" t="s">
        <v>527</v>
      </c>
      <c r="E235" s="14">
        <v>23.632999999999999</v>
      </c>
      <c r="F235" s="14">
        <v>47</v>
      </c>
      <c r="G235" s="14">
        <v>80.599999999999994</v>
      </c>
      <c r="H235" s="18">
        <v>117</v>
      </c>
      <c r="I235" s="19">
        <v>117.884737</v>
      </c>
      <c r="J235" s="12">
        <f t="shared" si="12"/>
        <v>0.88473700000000122</v>
      </c>
      <c r="K235" s="14">
        <f t="shared" si="13"/>
        <v>0.78275955916900219</v>
      </c>
      <c r="L235" s="14">
        <f t="shared" si="14"/>
        <v>0.7561854700854711</v>
      </c>
      <c r="M235" s="14">
        <f t="shared" si="15"/>
        <v>4</v>
      </c>
    </row>
    <row r="236" spans="1:13" x14ac:dyDescent="0.25">
      <c r="A236" s="14" t="s">
        <v>783</v>
      </c>
      <c r="B236" s="20"/>
      <c r="C236" s="16">
        <v>0.29166666666666669</v>
      </c>
      <c r="D236" s="17" t="s">
        <v>527</v>
      </c>
      <c r="E236" s="14">
        <v>19.425000000000001</v>
      </c>
      <c r="F236" s="14">
        <v>33</v>
      </c>
      <c r="G236" s="14">
        <v>76.5</v>
      </c>
      <c r="H236" s="18">
        <v>97</v>
      </c>
      <c r="I236" s="19">
        <v>97.311825000000013</v>
      </c>
      <c r="J236" s="12">
        <f t="shared" si="12"/>
        <v>0.31182500000001312</v>
      </c>
      <c r="K236" s="14">
        <f t="shared" si="13"/>
        <v>9.7234830625008178E-2</v>
      </c>
      <c r="L236" s="14">
        <f t="shared" si="14"/>
        <v>0.32146907216496201</v>
      </c>
      <c r="M236" s="14">
        <f t="shared" si="15"/>
        <v>5</v>
      </c>
    </row>
    <row r="237" spans="1:13" x14ac:dyDescent="0.25">
      <c r="A237" s="14" t="s">
        <v>784</v>
      </c>
      <c r="B237" s="20"/>
      <c r="C237" s="16">
        <v>0.3125</v>
      </c>
      <c r="D237" s="17" t="s">
        <v>527</v>
      </c>
      <c r="E237" s="14">
        <v>22.152999999999999</v>
      </c>
      <c r="F237" s="14">
        <v>57</v>
      </c>
      <c r="G237" s="14">
        <v>70.099999999999994</v>
      </c>
      <c r="H237" s="18">
        <v>111</v>
      </c>
      <c r="I237" s="19">
        <v>110.649017</v>
      </c>
      <c r="J237" s="12">
        <f t="shared" si="12"/>
        <v>0.35098299999999938</v>
      </c>
      <c r="K237" s="14">
        <f t="shared" si="13"/>
        <v>0.12318906628899956</v>
      </c>
      <c r="L237" s="14">
        <f t="shared" si="14"/>
        <v>0.31620090090090036</v>
      </c>
      <c r="M237" s="14">
        <f t="shared" si="15"/>
        <v>1</v>
      </c>
    </row>
    <row r="238" spans="1:13" x14ac:dyDescent="0.25">
      <c r="A238" s="14" t="s">
        <v>785</v>
      </c>
      <c r="B238" s="20"/>
      <c r="C238" s="16">
        <v>0.33333333333333331</v>
      </c>
      <c r="D238" s="17" t="s">
        <v>527</v>
      </c>
      <c r="E238" s="14">
        <v>20.419</v>
      </c>
      <c r="F238" s="14">
        <v>36</v>
      </c>
      <c r="G238" s="14">
        <v>85.2</v>
      </c>
      <c r="H238" s="18">
        <v>100</v>
      </c>
      <c r="I238" s="19">
        <v>102.171491</v>
      </c>
      <c r="J238" s="12">
        <f t="shared" si="12"/>
        <v>2.1714910000000032</v>
      </c>
      <c r="K238" s="14">
        <f t="shared" si="13"/>
        <v>4.7153731630810141</v>
      </c>
      <c r="L238" s="14">
        <f t="shared" si="14"/>
        <v>2.1714910000000032</v>
      </c>
      <c r="M238" s="14">
        <f t="shared" si="15"/>
        <v>2</v>
      </c>
    </row>
    <row r="239" spans="1:13" x14ac:dyDescent="0.25">
      <c r="A239" s="14" t="s">
        <v>786</v>
      </c>
      <c r="B239" s="20"/>
      <c r="C239" s="16">
        <v>0.35416666666666669</v>
      </c>
      <c r="D239" s="17" t="s">
        <v>527</v>
      </c>
      <c r="E239" s="14">
        <v>21.532</v>
      </c>
      <c r="F239" s="14">
        <v>35</v>
      </c>
      <c r="G239" s="14">
        <v>82.2</v>
      </c>
      <c r="H239" s="18">
        <v>110</v>
      </c>
      <c r="I239" s="19">
        <v>107.612948</v>
      </c>
      <c r="J239" s="12">
        <f t="shared" si="12"/>
        <v>2.3870519999999971</v>
      </c>
      <c r="K239" s="14">
        <f t="shared" si="13"/>
        <v>5.6980172507039857</v>
      </c>
      <c r="L239" s="14">
        <f t="shared" si="14"/>
        <v>2.1700472727272704</v>
      </c>
      <c r="M239" s="14">
        <f t="shared" si="15"/>
        <v>3</v>
      </c>
    </row>
    <row r="240" spans="1:13" x14ac:dyDescent="0.25">
      <c r="A240" s="14" t="s">
        <v>787</v>
      </c>
      <c r="B240" s="20"/>
      <c r="C240" s="16">
        <v>0.375</v>
      </c>
      <c r="D240" s="17" t="s">
        <v>527</v>
      </c>
      <c r="E240" s="14">
        <v>22.390999999999998</v>
      </c>
      <c r="F240" s="14">
        <v>36</v>
      </c>
      <c r="G240" s="14">
        <v>61.3</v>
      </c>
      <c r="H240" s="18">
        <v>111</v>
      </c>
      <c r="I240" s="19">
        <v>111.81259900000001</v>
      </c>
      <c r="J240" s="12">
        <f t="shared" si="12"/>
        <v>0.81259900000000584</v>
      </c>
      <c r="K240" s="14">
        <f t="shared" si="13"/>
        <v>0.66031713480100951</v>
      </c>
      <c r="L240" s="14">
        <f t="shared" si="14"/>
        <v>0.73207117117117648</v>
      </c>
      <c r="M240" s="14">
        <f t="shared" si="15"/>
        <v>4</v>
      </c>
    </row>
    <row r="241" spans="1:13" x14ac:dyDescent="0.25">
      <c r="A241" s="14" t="s">
        <v>788</v>
      </c>
      <c r="B241" s="20"/>
      <c r="C241" s="16">
        <v>0.39583333333333331</v>
      </c>
      <c r="D241" s="17" t="s">
        <v>527</v>
      </c>
      <c r="E241" s="14">
        <v>18.004999999999999</v>
      </c>
      <c r="F241" s="14">
        <v>64</v>
      </c>
      <c r="G241" s="14">
        <v>84.9</v>
      </c>
      <c r="H241" s="18">
        <v>93</v>
      </c>
      <c r="I241" s="19">
        <v>90.369444999999999</v>
      </c>
      <c r="J241" s="12">
        <f t="shared" si="12"/>
        <v>2.6305550000000011</v>
      </c>
      <c r="K241" s="14">
        <f t="shared" si="13"/>
        <v>6.9198196080250058</v>
      </c>
      <c r="L241" s="14">
        <f t="shared" si="14"/>
        <v>2.8285537634408615</v>
      </c>
      <c r="M241" s="14">
        <f t="shared" si="15"/>
        <v>5</v>
      </c>
    </row>
    <row r="242" spans="1:13" x14ac:dyDescent="0.25">
      <c r="A242" s="14" t="s">
        <v>789</v>
      </c>
      <c r="B242" s="21"/>
      <c r="C242" s="16">
        <v>0.40625</v>
      </c>
      <c r="D242" s="17" t="s">
        <v>527</v>
      </c>
      <c r="E242" s="14">
        <v>23.300999999999998</v>
      </c>
      <c r="F242" s="14">
        <v>83</v>
      </c>
      <c r="G242" s="14">
        <v>68</v>
      </c>
      <c r="H242" s="18">
        <v>118</v>
      </c>
      <c r="I242" s="19">
        <v>116.261589</v>
      </c>
      <c r="J242" s="12">
        <f t="shared" si="12"/>
        <v>1.7384109999999993</v>
      </c>
      <c r="K242" s="14">
        <f t="shared" si="13"/>
        <v>3.0220728049209975</v>
      </c>
      <c r="L242" s="14">
        <f t="shared" si="14"/>
        <v>1.4732296610169484</v>
      </c>
      <c r="M242" s="14">
        <f t="shared" si="15"/>
        <v>1</v>
      </c>
    </row>
    <row r="243" spans="1:13" x14ac:dyDescent="0.25">
      <c r="A243" s="14" t="s">
        <v>790</v>
      </c>
      <c r="B243" s="15" t="s">
        <v>791</v>
      </c>
      <c r="C243" s="16">
        <v>0.22916666666666671</v>
      </c>
      <c r="D243" s="17" t="s">
        <v>527</v>
      </c>
      <c r="E243" s="14">
        <v>21.367999999999999</v>
      </c>
      <c r="F243" s="14">
        <v>55</v>
      </c>
      <c r="G243" s="14">
        <v>59.2</v>
      </c>
      <c r="H243" s="18">
        <v>109</v>
      </c>
      <c r="I243" s="19">
        <v>106.81115200000001</v>
      </c>
      <c r="J243" s="12">
        <f t="shared" si="12"/>
        <v>2.188847999999993</v>
      </c>
      <c r="K243" s="14">
        <f t="shared" si="13"/>
        <v>4.7910555671039692</v>
      </c>
      <c r="L243" s="14">
        <f t="shared" si="14"/>
        <v>2.008117431192654</v>
      </c>
      <c r="M243" s="14">
        <f t="shared" si="15"/>
        <v>2</v>
      </c>
    </row>
    <row r="244" spans="1:13" x14ac:dyDescent="0.25">
      <c r="A244" s="14" t="s">
        <v>792</v>
      </c>
      <c r="B244" s="20"/>
      <c r="C244" s="16">
        <v>0.25</v>
      </c>
      <c r="D244" s="17" t="s">
        <v>527</v>
      </c>
      <c r="E244" s="14">
        <v>22.079000000000001</v>
      </c>
      <c r="F244" s="14">
        <v>68</v>
      </c>
      <c r="G244" s="14">
        <v>85.3</v>
      </c>
      <c r="H244" s="18">
        <v>109</v>
      </c>
      <c r="I244" s="19">
        <v>110.28723100000001</v>
      </c>
      <c r="J244" s="12">
        <f t="shared" si="12"/>
        <v>1.2872310000000056</v>
      </c>
      <c r="K244" s="14">
        <f t="shared" si="13"/>
        <v>1.6569636473610143</v>
      </c>
      <c r="L244" s="14">
        <f t="shared" si="14"/>
        <v>1.1809458715596381</v>
      </c>
      <c r="M244" s="14">
        <f t="shared" si="15"/>
        <v>3</v>
      </c>
    </row>
    <row r="245" spans="1:13" x14ac:dyDescent="0.25">
      <c r="A245" s="14" t="s">
        <v>793</v>
      </c>
      <c r="B245" s="20"/>
      <c r="C245" s="16">
        <v>0.27083333333333331</v>
      </c>
      <c r="D245" s="17" t="s">
        <v>527</v>
      </c>
      <c r="E245" s="14">
        <v>19.376999999999999</v>
      </c>
      <c r="F245" s="14">
        <v>80</v>
      </c>
      <c r="G245" s="14">
        <v>75.099999999999994</v>
      </c>
      <c r="H245" s="18">
        <v>97</v>
      </c>
      <c r="I245" s="19">
        <v>97.077152999999996</v>
      </c>
      <c r="J245" s="12">
        <f t="shared" si="12"/>
        <v>7.7152999999995586E-2</v>
      </c>
      <c r="K245" s="14">
        <f t="shared" si="13"/>
        <v>5.9525854089993186E-3</v>
      </c>
      <c r="L245" s="14">
        <f t="shared" si="14"/>
        <v>7.9539175257727399E-2</v>
      </c>
      <c r="M245" s="14">
        <f t="shared" si="15"/>
        <v>4</v>
      </c>
    </row>
    <row r="246" spans="1:13" x14ac:dyDescent="0.25">
      <c r="A246" s="14" t="s">
        <v>794</v>
      </c>
      <c r="B246" s="20"/>
      <c r="C246" s="16">
        <v>0.29166666666666669</v>
      </c>
      <c r="D246" s="17" t="s">
        <v>527</v>
      </c>
      <c r="E246" s="14">
        <v>21.395</v>
      </c>
      <c r="F246" s="14">
        <v>21</v>
      </c>
      <c r="G246" s="14">
        <v>84.9</v>
      </c>
      <c r="H246" s="18">
        <v>107</v>
      </c>
      <c r="I246" s="19">
        <v>106.943155</v>
      </c>
      <c r="J246" s="12">
        <f t="shared" si="12"/>
        <v>5.6844999999995593E-2</v>
      </c>
      <c r="K246" s="14">
        <f t="shared" si="13"/>
        <v>3.2313540249994991E-3</v>
      </c>
      <c r="L246" s="14">
        <f t="shared" si="14"/>
        <v>5.3126168224294952E-2</v>
      </c>
      <c r="M246" s="14">
        <f t="shared" si="15"/>
        <v>5</v>
      </c>
    </row>
    <row r="247" spans="1:13" x14ac:dyDescent="0.25">
      <c r="A247" s="14" t="s">
        <v>795</v>
      </c>
      <c r="B247" s="20"/>
      <c r="C247" s="16">
        <v>0.3125</v>
      </c>
      <c r="D247" s="17" t="s">
        <v>527</v>
      </c>
      <c r="E247" s="14">
        <v>24.606000000000002</v>
      </c>
      <c r="F247" s="14">
        <v>41</v>
      </c>
      <c r="G247" s="14">
        <v>79.8</v>
      </c>
      <c r="H247" s="18">
        <v>125</v>
      </c>
      <c r="I247" s="19">
        <v>122.641734</v>
      </c>
      <c r="J247" s="12">
        <f t="shared" si="12"/>
        <v>2.3582660000000004</v>
      </c>
      <c r="K247" s="14">
        <f t="shared" si="13"/>
        <v>5.5614185267560021</v>
      </c>
      <c r="L247" s="14">
        <f t="shared" si="14"/>
        <v>1.8866128000000002</v>
      </c>
      <c r="M247" s="14">
        <f t="shared" si="15"/>
        <v>1</v>
      </c>
    </row>
    <row r="248" spans="1:13" x14ac:dyDescent="0.25">
      <c r="A248" s="14" t="s">
        <v>796</v>
      </c>
      <c r="B248" s="20"/>
      <c r="C248" s="16">
        <v>0.33333333333333331</v>
      </c>
      <c r="D248" s="17" t="s">
        <v>527</v>
      </c>
      <c r="E248" s="14">
        <v>20.693000000000001</v>
      </c>
      <c r="F248" s="14">
        <v>25</v>
      </c>
      <c r="G248" s="14">
        <v>75.400000000000006</v>
      </c>
      <c r="H248" s="18">
        <v>104</v>
      </c>
      <c r="I248" s="19">
        <v>103.511077</v>
      </c>
      <c r="J248" s="12">
        <f t="shared" si="12"/>
        <v>0.48892299999999977</v>
      </c>
      <c r="K248" s="14">
        <f t="shared" si="13"/>
        <v>0.23904569992899977</v>
      </c>
      <c r="L248" s="14">
        <f t="shared" si="14"/>
        <v>0.47011826923076905</v>
      </c>
      <c r="M248" s="14">
        <f t="shared" si="15"/>
        <v>2</v>
      </c>
    </row>
    <row r="249" spans="1:13" x14ac:dyDescent="0.25">
      <c r="A249" s="14" t="s">
        <v>797</v>
      </c>
      <c r="B249" s="20"/>
      <c r="C249" s="16">
        <v>0.35416666666666669</v>
      </c>
      <c r="D249" s="17" t="s">
        <v>527</v>
      </c>
      <c r="E249" s="14">
        <v>23.527999999999999</v>
      </c>
      <c r="F249" s="14">
        <v>46</v>
      </c>
      <c r="G249" s="14">
        <v>93.3</v>
      </c>
      <c r="H249" s="18">
        <v>119</v>
      </c>
      <c r="I249" s="19">
        <v>117.371392</v>
      </c>
      <c r="J249" s="12">
        <f t="shared" si="12"/>
        <v>1.6286079999999998</v>
      </c>
      <c r="K249" s="14">
        <f t="shared" si="13"/>
        <v>2.6523640176639995</v>
      </c>
      <c r="L249" s="14">
        <f t="shared" si="14"/>
        <v>1.3685781512605042</v>
      </c>
      <c r="M249" s="14">
        <f t="shared" si="15"/>
        <v>3</v>
      </c>
    </row>
    <row r="250" spans="1:13" x14ac:dyDescent="0.25">
      <c r="A250" s="14" t="s">
        <v>798</v>
      </c>
      <c r="B250" s="20"/>
      <c r="C250" s="16">
        <v>0.375</v>
      </c>
      <c r="D250" s="17" t="s">
        <v>527</v>
      </c>
      <c r="E250" s="14">
        <v>20.137</v>
      </c>
      <c r="F250" s="14">
        <v>72</v>
      </c>
      <c r="G250" s="14">
        <v>62.8</v>
      </c>
      <c r="H250" s="18">
        <v>100</v>
      </c>
      <c r="I250" s="19">
        <v>100.792793</v>
      </c>
      <c r="J250" s="12">
        <f t="shared" si="12"/>
        <v>0.79279300000000319</v>
      </c>
      <c r="K250" s="14">
        <f t="shared" si="13"/>
        <v>0.62852074084900511</v>
      </c>
      <c r="L250" s="14">
        <f t="shared" si="14"/>
        <v>0.7927930000000033</v>
      </c>
      <c r="M250" s="14">
        <f t="shared" si="15"/>
        <v>4</v>
      </c>
    </row>
    <row r="251" spans="1:13" x14ac:dyDescent="0.25">
      <c r="A251" s="14" t="s">
        <v>799</v>
      </c>
      <c r="B251" s="20"/>
      <c r="C251" s="16">
        <v>0.39583333333333331</v>
      </c>
      <c r="D251" s="17" t="s">
        <v>527</v>
      </c>
      <c r="E251" s="14">
        <v>22.047000000000001</v>
      </c>
      <c r="F251" s="14">
        <v>20</v>
      </c>
      <c r="G251" s="14">
        <v>56.8</v>
      </c>
      <c r="H251" s="18">
        <v>112</v>
      </c>
      <c r="I251" s="19">
        <v>110.13078299999999</v>
      </c>
      <c r="J251" s="12">
        <f t="shared" si="12"/>
        <v>1.8692170000000061</v>
      </c>
      <c r="K251" s="14">
        <f t="shared" si="13"/>
        <v>3.4939721930890228</v>
      </c>
      <c r="L251" s="14">
        <f t="shared" si="14"/>
        <v>1.6689437500000053</v>
      </c>
      <c r="M251" s="14">
        <f t="shared" si="15"/>
        <v>5</v>
      </c>
    </row>
    <row r="252" spans="1:13" x14ac:dyDescent="0.25">
      <c r="A252" s="14" t="s">
        <v>800</v>
      </c>
      <c r="B252" s="21"/>
      <c r="C252" s="16">
        <v>0.40625</v>
      </c>
      <c r="D252" s="17" t="s">
        <v>527</v>
      </c>
      <c r="E252" s="14">
        <v>21.474</v>
      </c>
      <c r="F252" s="14">
        <v>49</v>
      </c>
      <c r="G252" s="14">
        <v>68.2</v>
      </c>
      <c r="H252" s="18">
        <v>105</v>
      </c>
      <c r="I252" s="19">
        <v>107.329386</v>
      </c>
      <c r="J252" s="12">
        <f t="shared" si="12"/>
        <v>2.3293859999999995</v>
      </c>
      <c r="K252" s="14">
        <f t="shared" si="13"/>
        <v>5.4260391369959979</v>
      </c>
      <c r="L252" s="14">
        <f t="shared" si="14"/>
        <v>2.2184628571428564</v>
      </c>
      <c r="M252" s="14">
        <f t="shared" si="15"/>
        <v>1</v>
      </c>
    </row>
    <row r="253" spans="1:13" x14ac:dyDescent="0.25">
      <c r="A253" s="14" t="s">
        <v>801</v>
      </c>
      <c r="B253" s="15" t="s">
        <v>802</v>
      </c>
      <c r="C253" s="16">
        <v>0.22916666666666671</v>
      </c>
      <c r="D253" s="17" t="s">
        <v>527</v>
      </c>
      <c r="E253" s="14">
        <v>21.003</v>
      </c>
      <c r="F253" s="14">
        <v>27</v>
      </c>
      <c r="G253" s="14">
        <v>60.5</v>
      </c>
      <c r="H253" s="18">
        <v>108</v>
      </c>
      <c r="I253" s="19">
        <v>105.026667</v>
      </c>
      <c r="J253" s="12">
        <f t="shared" si="12"/>
        <v>2.9733329999999967</v>
      </c>
      <c r="K253" s="14">
        <f t="shared" si="13"/>
        <v>8.8407091288889799</v>
      </c>
      <c r="L253" s="14">
        <f t="shared" si="14"/>
        <v>2.753086111111108</v>
      </c>
      <c r="M253" s="14">
        <f t="shared" si="15"/>
        <v>2</v>
      </c>
    </row>
    <row r="254" spans="1:13" x14ac:dyDescent="0.25">
      <c r="A254" s="14" t="s">
        <v>803</v>
      </c>
      <c r="B254" s="20"/>
      <c r="C254" s="16">
        <v>0.25</v>
      </c>
      <c r="D254" s="17" t="s">
        <v>527</v>
      </c>
      <c r="E254" s="14">
        <v>18.713000000000001</v>
      </c>
      <c r="F254" s="14">
        <v>51</v>
      </c>
      <c r="G254" s="14">
        <v>57.8</v>
      </c>
      <c r="H254" s="18">
        <v>95</v>
      </c>
      <c r="I254" s="19">
        <v>93.830857000000009</v>
      </c>
      <c r="J254" s="12">
        <f t="shared" si="12"/>
        <v>1.1691429999999912</v>
      </c>
      <c r="K254" s="14">
        <f t="shared" si="13"/>
        <v>1.3668953544489792</v>
      </c>
      <c r="L254" s="14">
        <f t="shared" si="14"/>
        <v>1.2306768421052539</v>
      </c>
      <c r="M254" s="14">
        <f t="shared" si="15"/>
        <v>3</v>
      </c>
    </row>
    <row r="255" spans="1:13" x14ac:dyDescent="0.25">
      <c r="A255" s="14" t="s">
        <v>804</v>
      </c>
      <c r="B255" s="20"/>
      <c r="C255" s="16">
        <v>0.27083333333333331</v>
      </c>
      <c r="D255" s="17" t="s">
        <v>527</v>
      </c>
      <c r="E255" s="14">
        <v>21.597000000000001</v>
      </c>
      <c r="F255" s="14">
        <v>72</v>
      </c>
      <c r="G255" s="14">
        <v>90</v>
      </c>
      <c r="H255" s="18">
        <v>105</v>
      </c>
      <c r="I255" s="19">
        <v>107.930733</v>
      </c>
      <c r="J255" s="12">
        <f t="shared" si="12"/>
        <v>2.9307330000000036</v>
      </c>
      <c r="K255" s="14">
        <f t="shared" si="13"/>
        <v>8.5891959172890218</v>
      </c>
      <c r="L255" s="14">
        <f t="shared" si="14"/>
        <v>2.7911742857142889</v>
      </c>
      <c r="M255" s="14">
        <f t="shared" si="15"/>
        <v>4</v>
      </c>
    </row>
    <row r="256" spans="1:13" x14ac:dyDescent="0.25">
      <c r="A256" s="14" t="s">
        <v>805</v>
      </c>
      <c r="B256" s="20"/>
      <c r="C256" s="16">
        <v>0.29166666666666669</v>
      </c>
      <c r="D256" s="17" t="s">
        <v>527</v>
      </c>
      <c r="E256" s="14">
        <v>21.844999999999999</v>
      </c>
      <c r="F256" s="14">
        <v>49</v>
      </c>
      <c r="G256" s="14">
        <v>93.1</v>
      </c>
      <c r="H256" s="18">
        <v>110</v>
      </c>
      <c r="I256" s="19">
        <v>109.14320499999999</v>
      </c>
      <c r="J256" s="12">
        <f t="shared" si="12"/>
        <v>0.8567950000000053</v>
      </c>
      <c r="K256" s="14">
        <f t="shared" si="13"/>
        <v>0.73409767202500908</v>
      </c>
      <c r="L256" s="14">
        <f t="shared" si="14"/>
        <v>0.77890454545455023</v>
      </c>
      <c r="M256" s="14">
        <f t="shared" si="15"/>
        <v>5</v>
      </c>
    </row>
    <row r="257" spans="1:13" x14ac:dyDescent="0.25">
      <c r="A257" s="14" t="s">
        <v>806</v>
      </c>
      <c r="B257" s="20"/>
      <c r="C257" s="16">
        <v>0.3125</v>
      </c>
      <c r="D257" s="17" t="s">
        <v>527</v>
      </c>
      <c r="E257" s="14">
        <v>19.132000000000001</v>
      </c>
      <c r="F257" s="14">
        <v>67</v>
      </c>
      <c r="G257" s="14">
        <v>84.1</v>
      </c>
      <c r="H257" s="18">
        <v>98</v>
      </c>
      <c r="I257" s="19">
        <v>95.879348000000022</v>
      </c>
      <c r="J257" s="12">
        <f t="shared" si="12"/>
        <v>2.1206519999999784</v>
      </c>
      <c r="K257" s="14">
        <f t="shared" si="13"/>
        <v>4.4971649051039089</v>
      </c>
      <c r="L257" s="14">
        <f t="shared" si="14"/>
        <v>2.1639306122448758</v>
      </c>
      <c r="M257" s="14">
        <f t="shared" si="15"/>
        <v>1</v>
      </c>
    </row>
    <row r="258" spans="1:13" x14ac:dyDescent="0.25">
      <c r="A258" s="14" t="s">
        <v>807</v>
      </c>
      <c r="B258" s="20"/>
      <c r="C258" s="16">
        <v>0.33333333333333331</v>
      </c>
      <c r="D258" s="17" t="s">
        <v>527</v>
      </c>
      <c r="E258" s="14">
        <v>23.678000000000001</v>
      </c>
      <c r="F258" s="14">
        <v>24</v>
      </c>
      <c r="G258" s="14">
        <v>62.1</v>
      </c>
      <c r="H258" s="18">
        <v>118</v>
      </c>
      <c r="I258" s="19">
        <v>118.104742</v>
      </c>
      <c r="J258" s="12">
        <f t="shared" si="12"/>
        <v>0.10474200000000167</v>
      </c>
      <c r="K258" s="14">
        <f t="shared" si="13"/>
        <v>1.0970886564000349E-2</v>
      </c>
      <c r="L258" s="14">
        <f t="shared" si="14"/>
        <v>8.8764406779662422E-2</v>
      </c>
      <c r="M258" s="14">
        <f t="shared" si="15"/>
        <v>2</v>
      </c>
    </row>
    <row r="259" spans="1:13" x14ac:dyDescent="0.25">
      <c r="A259" s="14" t="s">
        <v>808</v>
      </c>
      <c r="B259" s="20"/>
      <c r="C259" s="16">
        <v>0.35416666666666669</v>
      </c>
      <c r="D259" s="17" t="s">
        <v>527</v>
      </c>
      <c r="E259" s="14">
        <v>23.431000000000001</v>
      </c>
      <c r="F259" s="14">
        <v>25</v>
      </c>
      <c r="G259" s="14">
        <v>90.6</v>
      </c>
      <c r="H259" s="18">
        <v>118</v>
      </c>
      <c r="I259" s="19">
        <v>116.897159</v>
      </c>
      <c r="J259" s="12">
        <f t="shared" ref="J259:J322" si="16">IF(OR(H259="",I259=""),"",ABS(H259-I259))</f>
        <v>1.102840999999998</v>
      </c>
      <c r="K259" s="14">
        <f t="shared" ref="K259:K322" si="17">IF(OR(H259="",I259=""),"",(H259-I259)^2)</f>
        <v>1.2162582712809955</v>
      </c>
      <c r="L259" s="14">
        <f t="shared" ref="L259:L322" si="18">IF(OR(H259="",I259=""),"",IF(H259=0,"",ABS((H259-I259)/H259)*100))</f>
        <v>0.93461101694915083</v>
      </c>
      <c r="M259" s="14">
        <f t="shared" ref="M259:M322" si="19">MOD(ROW()-2,5)+1</f>
        <v>3</v>
      </c>
    </row>
    <row r="260" spans="1:13" x14ac:dyDescent="0.25">
      <c r="A260" s="14" t="s">
        <v>809</v>
      </c>
      <c r="B260" s="20"/>
      <c r="C260" s="16">
        <v>0.375</v>
      </c>
      <c r="D260" s="17" t="s">
        <v>527</v>
      </c>
      <c r="E260" s="14">
        <v>23.501999999999999</v>
      </c>
      <c r="F260" s="14">
        <v>82</v>
      </c>
      <c r="G260" s="14">
        <v>78.099999999999994</v>
      </c>
      <c r="H260" s="18">
        <v>119</v>
      </c>
      <c r="I260" s="19">
        <v>117.24427799999999</v>
      </c>
      <c r="J260" s="12">
        <f t="shared" si="16"/>
        <v>1.7557220000000058</v>
      </c>
      <c r="K260" s="14">
        <f t="shared" si="17"/>
        <v>3.0825597412840202</v>
      </c>
      <c r="L260" s="14">
        <f t="shared" si="18"/>
        <v>1.4753966386554671</v>
      </c>
      <c r="M260" s="14">
        <f t="shared" si="19"/>
        <v>4</v>
      </c>
    </row>
    <row r="261" spans="1:13" x14ac:dyDescent="0.25">
      <c r="A261" s="14" t="s">
        <v>810</v>
      </c>
      <c r="B261" s="20"/>
      <c r="C261" s="16">
        <v>0.39583333333333331</v>
      </c>
      <c r="D261" s="17" t="s">
        <v>527</v>
      </c>
      <c r="E261" s="14">
        <v>20.21</v>
      </c>
      <c r="F261" s="14">
        <v>74</v>
      </c>
      <c r="G261" s="14">
        <v>60.4</v>
      </c>
      <c r="H261" s="18">
        <v>103</v>
      </c>
      <c r="I261" s="19">
        <v>101.14969000000001</v>
      </c>
      <c r="J261" s="12">
        <f t="shared" si="16"/>
        <v>1.8503099999999932</v>
      </c>
      <c r="K261" s="14">
        <f t="shared" si="17"/>
        <v>3.423647096099975</v>
      </c>
      <c r="L261" s="14">
        <f t="shared" si="18"/>
        <v>1.7964174757281488</v>
      </c>
      <c r="M261" s="14">
        <f t="shared" si="19"/>
        <v>5</v>
      </c>
    </row>
    <row r="262" spans="1:13" x14ac:dyDescent="0.25">
      <c r="A262" s="14" t="s">
        <v>811</v>
      </c>
      <c r="B262" s="21"/>
      <c r="C262" s="16">
        <v>0.40625</v>
      </c>
      <c r="D262" s="17" t="s">
        <v>527</v>
      </c>
      <c r="E262" s="14">
        <v>24.585999999999999</v>
      </c>
      <c r="F262" s="14">
        <v>84</v>
      </c>
      <c r="G262" s="14">
        <v>60.6</v>
      </c>
      <c r="H262" s="18">
        <v>118</v>
      </c>
      <c r="I262" s="19">
        <v>119.543954</v>
      </c>
      <c r="J262" s="12">
        <f t="shared" si="16"/>
        <v>1.5439539999999994</v>
      </c>
      <c r="K262" s="14">
        <f t="shared" si="17"/>
        <v>2.383793954115998</v>
      </c>
      <c r="L262" s="14">
        <f t="shared" si="18"/>
        <v>1.3084355932203384</v>
      </c>
      <c r="M262" s="14">
        <f t="shared" si="19"/>
        <v>1</v>
      </c>
    </row>
    <row r="263" spans="1:13" x14ac:dyDescent="0.25">
      <c r="A263" s="14" t="s">
        <v>812</v>
      </c>
      <c r="B263" s="15" t="s">
        <v>813</v>
      </c>
      <c r="C263" s="16">
        <v>0.22916666666666671</v>
      </c>
      <c r="D263" s="17" t="s">
        <v>527</v>
      </c>
      <c r="E263" s="14">
        <v>21.31</v>
      </c>
      <c r="F263" s="14">
        <v>76</v>
      </c>
      <c r="G263" s="14">
        <v>80.3</v>
      </c>
      <c r="H263" s="18">
        <v>107</v>
      </c>
      <c r="I263" s="19">
        <v>106.52759</v>
      </c>
      <c r="J263" s="12">
        <f t="shared" si="16"/>
        <v>0.47240999999999644</v>
      </c>
      <c r="K263" s="14">
        <f t="shared" si="17"/>
        <v>0.22317120809999663</v>
      </c>
      <c r="L263" s="14">
        <f t="shared" si="18"/>
        <v>0.44150467289719292</v>
      </c>
      <c r="M263" s="14">
        <f t="shared" si="19"/>
        <v>2</v>
      </c>
    </row>
    <row r="264" spans="1:13" x14ac:dyDescent="0.25">
      <c r="A264" s="14" t="s">
        <v>814</v>
      </c>
      <c r="B264" s="20"/>
      <c r="C264" s="16">
        <v>0.25</v>
      </c>
      <c r="D264" s="17" t="s">
        <v>527</v>
      </c>
      <c r="E264" s="14">
        <v>18.314</v>
      </c>
      <c r="F264" s="14">
        <v>71</v>
      </c>
      <c r="G264" s="14">
        <v>58.7</v>
      </c>
      <c r="H264" s="18">
        <v>95</v>
      </c>
      <c r="I264" s="19">
        <v>91.880146000000011</v>
      </c>
      <c r="J264" s="12">
        <f t="shared" si="16"/>
        <v>3.1198539999999895</v>
      </c>
      <c r="K264" s="14">
        <f t="shared" si="17"/>
        <v>9.7334889813159347</v>
      </c>
      <c r="L264" s="14">
        <f t="shared" si="18"/>
        <v>3.2840568421052518</v>
      </c>
      <c r="M264" s="14">
        <f t="shared" si="19"/>
        <v>3</v>
      </c>
    </row>
    <row r="265" spans="1:13" x14ac:dyDescent="0.25">
      <c r="A265" s="14" t="s">
        <v>815</v>
      </c>
      <c r="B265" s="20"/>
      <c r="C265" s="16">
        <v>0.27083333333333331</v>
      </c>
      <c r="D265" s="17" t="s">
        <v>527</v>
      </c>
      <c r="E265" s="14">
        <v>21.332000000000001</v>
      </c>
      <c r="F265" s="14">
        <v>84</v>
      </c>
      <c r="G265" s="14">
        <v>86.1</v>
      </c>
      <c r="H265" s="18">
        <v>104</v>
      </c>
      <c r="I265" s="19">
        <v>106.635148</v>
      </c>
      <c r="J265" s="12">
        <f t="shared" si="16"/>
        <v>2.6351480000000009</v>
      </c>
      <c r="K265" s="14">
        <f t="shared" si="17"/>
        <v>6.9440049819040048</v>
      </c>
      <c r="L265" s="14">
        <f t="shared" si="18"/>
        <v>2.5337961538461551</v>
      </c>
      <c r="M265" s="14">
        <f t="shared" si="19"/>
        <v>4</v>
      </c>
    </row>
    <row r="266" spans="1:13" x14ac:dyDescent="0.25">
      <c r="A266" s="14" t="s">
        <v>816</v>
      </c>
      <c r="B266" s="20"/>
      <c r="C266" s="16">
        <v>0.29166666666666669</v>
      </c>
      <c r="D266" s="17" t="s">
        <v>527</v>
      </c>
      <c r="E266" s="14">
        <v>18.818000000000001</v>
      </c>
      <c r="F266" s="14">
        <v>68</v>
      </c>
      <c r="G266" s="14">
        <v>85.8</v>
      </c>
      <c r="H266" s="18">
        <v>93</v>
      </c>
      <c r="I266" s="19">
        <v>94.34420200000001</v>
      </c>
      <c r="J266" s="12">
        <f t="shared" si="16"/>
        <v>1.3442020000000099</v>
      </c>
      <c r="K266" s="14">
        <f t="shared" si="17"/>
        <v>1.8068790168040265</v>
      </c>
      <c r="L266" s="14">
        <f t="shared" si="18"/>
        <v>1.4453784946236665</v>
      </c>
      <c r="M266" s="14">
        <f t="shared" si="19"/>
        <v>5</v>
      </c>
    </row>
    <row r="267" spans="1:13" x14ac:dyDescent="0.25">
      <c r="A267" s="14" t="s">
        <v>817</v>
      </c>
      <c r="B267" s="20"/>
      <c r="C267" s="16">
        <v>0.3125</v>
      </c>
      <c r="D267" s="17" t="s">
        <v>527</v>
      </c>
      <c r="E267" s="14">
        <v>19.927</v>
      </c>
      <c r="F267" s="14">
        <v>25</v>
      </c>
      <c r="G267" s="14">
        <v>57.5</v>
      </c>
      <c r="H267" s="18">
        <v>101</v>
      </c>
      <c r="I267" s="19">
        <v>99.766103000000001</v>
      </c>
      <c r="J267" s="12">
        <f t="shared" si="16"/>
        <v>1.2338969999999989</v>
      </c>
      <c r="K267" s="14">
        <f t="shared" si="17"/>
        <v>1.5225018066089973</v>
      </c>
      <c r="L267" s="14">
        <f t="shared" si="18"/>
        <v>1.2216801980198009</v>
      </c>
      <c r="M267" s="14">
        <f t="shared" si="19"/>
        <v>1</v>
      </c>
    </row>
    <row r="268" spans="1:13" x14ac:dyDescent="0.25">
      <c r="A268" s="14" t="s">
        <v>818</v>
      </c>
      <c r="B268" s="20"/>
      <c r="C268" s="16">
        <v>0.33333333333333331</v>
      </c>
      <c r="D268" s="17" t="s">
        <v>527</v>
      </c>
      <c r="E268" s="14">
        <v>21.867999999999999</v>
      </c>
      <c r="F268" s="14">
        <v>51</v>
      </c>
      <c r="G268" s="14">
        <v>83.1</v>
      </c>
      <c r="H268" s="18">
        <v>111</v>
      </c>
      <c r="I268" s="19">
        <v>109.255652</v>
      </c>
      <c r="J268" s="12">
        <f t="shared" si="16"/>
        <v>1.7443480000000022</v>
      </c>
      <c r="K268" s="14">
        <f t="shared" si="17"/>
        <v>3.0427499451040076</v>
      </c>
      <c r="L268" s="14">
        <f t="shared" si="18"/>
        <v>1.5714846846846868</v>
      </c>
      <c r="M268" s="14">
        <f t="shared" si="19"/>
        <v>2</v>
      </c>
    </row>
    <row r="269" spans="1:13" x14ac:dyDescent="0.25">
      <c r="A269" s="14" t="s">
        <v>819</v>
      </c>
      <c r="B269" s="20"/>
      <c r="C269" s="16">
        <v>0.35416666666666669</v>
      </c>
      <c r="D269" s="17" t="s">
        <v>527</v>
      </c>
      <c r="E269" s="14">
        <v>20.64</v>
      </c>
      <c r="F269" s="14">
        <v>52</v>
      </c>
      <c r="G269" s="14">
        <v>77.900000000000006</v>
      </c>
      <c r="H269" s="18">
        <v>102</v>
      </c>
      <c r="I269" s="19">
        <v>103.25196</v>
      </c>
      <c r="J269" s="12">
        <f t="shared" si="16"/>
        <v>1.2519599999999969</v>
      </c>
      <c r="K269" s="14">
        <f t="shared" si="17"/>
        <v>1.567403841599992</v>
      </c>
      <c r="L269" s="14">
        <f t="shared" si="18"/>
        <v>1.2274117647058793</v>
      </c>
      <c r="M269" s="14">
        <f t="shared" si="19"/>
        <v>3</v>
      </c>
    </row>
    <row r="270" spans="1:13" x14ac:dyDescent="0.25">
      <c r="A270" s="14" t="s">
        <v>820</v>
      </c>
      <c r="B270" s="20"/>
      <c r="C270" s="16">
        <v>0.375</v>
      </c>
      <c r="D270" s="17" t="s">
        <v>527</v>
      </c>
      <c r="E270" s="14">
        <v>22.312000000000001</v>
      </c>
      <c r="F270" s="14">
        <v>49</v>
      </c>
      <c r="G270" s="14">
        <v>56.6</v>
      </c>
      <c r="H270" s="18">
        <v>112</v>
      </c>
      <c r="I270" s="19">
        <v>111.426368</v>
      </c>
      <c r="J270" s="12">
        <f t="shared" si="16"/>
        <v>0.57363200000000347</v>
      </c>
      <c r="K270" s="14">
        <f t="shared" si="17"/>
        <v>0.32905367142400399</v>
      </c>
      <c r="L270" s="14">
        <f t="shared" si="18"/>
        <v>0.51217142857143172</v>
      </c>
      <c r="M270" s="14">
        <f t="shared" si="19"/>
        <v>4</v>
      </c>
    </row>
    <row r="271" spans="1:13" x14ac:dyDescent="0.25">
      <c r="A271" s="14" t="s">
        <v>821</v>
      </c>
      <c r="B271" s="20"/>
      <c r="C271" s="16">
        <v>0.39583333333333331</v>
      </c>
      <c r="D271" s="17" t="s">
        <v>527</v>
      </c>
      <c r="E271" s="14">
        <v>22.114000000000001</v>
      </c>
      <c r="F271" s="14">
        <v>63</v>
      </c>
      <c r="G271" s="14">
        <v>81</v>
      </c>
      <c r="H271" s="18">
        <v>114</v>
      </c>
      <c r="I271" s="19">
        <v>110.45834600000001</v>
      </c>
      <c r="J271" s="12">
        <f t="shared" si="16"/>
        <v>3.5416539999999941</v>
      </c>
      <c r="K271" s="14">
        <f t="shared" si="17"/>
        <v>12.543313055715958</v>
      </c>
      <c r="L271" s="14">
        <f t="shared" si="18"/>
        <v>3.1067140350877138</v>
      </c>
      <c r="M271" s="14">
        <f t="shared" si="19"/>
        <v>5</v>
      </c>
    </row>
    <row r="272" spans="1:13" x14ac:dyDescent="0.25">
      <c r="A272" s="14" t="s">
        <v>822</v>
      </c>
      <c r="B272" s="21"/>
      <c r="C272" s="16">
        <v>0.40625</v>
      </c>
      <c r="D272" s="17" t="s">
        <v>527</v>
      </c>
      <c r="E272" s="14">
        <v>19.036999999999999</v>
      </c>
      <c r="F272" s="14">
        <v>33</v>
      </c>
      <c r="G272" s="14">
        <v>71.5</v>
      </c>
      <c r="H272" s="18">
        <v>92</v>
      </c>
      <c r="I272" s="19">
        <v>95.414893000000006</v>
      </c>
      <c r="J272" s="12">
        <f t="shared" si="16"/>
        <v>3.4148930000000064</v>
      </c>
      <c r="K272" s="14">
        <f t="shared" si="17"/>
        <v>11.661494201449043</v>
      </c>
      <c r="L272" s="14">
        <f t="shared" si="18"/>
        <v>3.7118402173913116</v>
      </c>
      <c r="M272" s="14">
        <f t="shared" si="19"/>
        <v>1</v>
      </c>
    </row>
    <row r="273" spans="1:13" x14ac:dyDescent="0.25">
      <c r="A273" s="14" t="s">
        <v>823</v>
      </c>
      <c r="B273" s="15" t="s">
        <v>824</v>
      </c>
      <c r="C273" s="16">
        <v>0.22916666666666671</v>
      </c>
      <c r="D273" s="17" t="s">
        <v>527</v>
      </c>
      <c r="E273" s="14">
        <v>20.844999999999999</v>
      </c>
      <c r="F273" s="14">
        <v>83</v>
      </c>
      <c r="G273" s="14">
        <v>73.2</v>
      </c>
      <c r="H273" s="18">
        <v>105</v>
      </c>
      <c r="I273" s="19">
        <v>104.254205</v>
      </c>
      <c r="J273" s="12">
        <f t="shared" si="16"/>
        <v>0.7457950000000011</v>
      </c>
      <c r="K273" s="14">
        <f t="shared" si="17"/>
        <v>0.55621018202500161</v>
      </c>
      <c r="L273" s="14">
        <f t="shared" si="18"/>
        <v>0.71028095238095346</v>
      </c>
      <c r="M273" s="14">
        <f t="shared" si="19"/>
        <v>2</v>
      </c>
    </row>
    <row r="274" spans="1:13" x14ac:dyDescent="0.25">
      <c r="A274" s="14" t="s">
        <v>825</v>
      </c>
      <c r="B274" s="20"/>
      <c r="C274" s="16">
        <v>0.25</v>
      </c>
      <c r="D274" s="17" t="s">
        <v>527</v>
      </c>
      <c r="E274" s="14">
        <v>21.332999999999998</v>
      </c>
      <c r="F274" s="14">
        <v>54</v>
      </c>
      <c r="G274" s="14">
        <v>70.7</v>
      </c>
      <c r="H274" s="18">
        <v>104</v>
      </c>
      <c r="I274" s="19">
        <v>106.64003700000001</v>
      </c>
      <c r="J274" s="12">
        <f t="shared" si="16"/>
        <v>2.6400370000000066</v>
      </c>
      <c r="K274" s="14">
        <f t="shared" si="17"/>
        <v>6.9697953613690347</v>
      </c>
      <c r="L274" s="14">
        <f t="shared" si="18"/>
        <v>2.5384971153846214</v>
      </c>
      <c r="M274" s="14">
        <f t="shared" si="19"/>
        <v>3</v>
      </c>
    </row>
    <row r="275" spans="1:13" x14ac:dyDescent="0.25">
      <c r="A275" s="14" t="s">
        <v>826</v>
      </c>
      <c r="B275" s="20"/>
      <c r="C275" s="16">
        <v>0.27083333333333331</v>
      </c>
      <c r="D275" s="17" t="s">
        <v>527</v>
      </c>
      <c r="E275" s="14">
        <v>22.655000000000001</v>
      </c>
      <c r="F275" s="14">
        <v>71</v>
      </c>
      <c r="G275" s="14">
        <v>59</v>
      </c>
      <c r="H275" s="18">
        <v>111</v>
      </c>
      <c r="I275" s="19">
        <v>113.103295</v>
      </c>
      <c r="J275" s="12">
        <f t="shared" si="16"/>
        <v>2.1032950000000028</v>
      </c>
      <c r="K275" s="14">
        <f t="shared" si="17"/>
        <v>4.4238498570250115</v>
      </c>
      <c r="L275" s="14">
        <f t="shared" si="18"/>
        <v>1.8948603603603631</v>
      </c>
      <c r="M275" s="14">
        <f t="shared" si="19"/>
        <v>4</v>
      </c>
    </row>
    <row r="276" spans="1:13" x14ac:dyDescent="0.25">
      <c r="A276" s="14" t="s">
        <v>827</v>
      </c>
      <c r="B276" s="20"/>
      <c r="C276" s="16">
        <v>0.29166666666666669</v>
      </c>
      <c r="D276" s="17" t="s">
        <v>527</v>
      </c>
      <c r="E276" s="14">
        <v>24.042999999999999</v>
      </c>
      <c r="F276" s="14">
        <v>31</v>
      </c>
      <c r="G276" s="14">
        <v>93.9</v>
      </c>
      <c r="H276" s="18">
        <v>122</v>
      </c>
      <c r="I276" s="19">
        <v>119.88922700000001</v>
      </c>
      <c r="J276" s="12">
        <f t="shared" si="16"/>
        <v>2.1107729999999947</v>
      </c>
      <c r="K276" s="14">
        <f t="shared" si="17"/>
        <v>4.455362657528978</v>
      </c>
      <c r="L276" s="14">
        <f t="shared" si="18"/>
        <v>1.7301418032786842</v>
      </c>
      <c r="M276" s="14">
        <f t="shared" si="19"/>
        <v>5</v>
      </c>
    </row>
    <row r="277" spans="1:13" x14ac:dyDescent="0.25">
      <c r="A277" s="14" t="s">
        <v>828</v>
      </c>
      <c r="B277" s="20"/>
      <c r="C277" s="16">
        <v>0.3125</v>
      </c>
      <c r="D277" s="17" t="s">
        <v>527</v>
      </c>
      <c r="E277" s="14">
        <v>25.367999999999999</v>
      </c>
      <c r="F277" s="14">
        <v>72</v>
      </c>
      <c r="G277" s="14">
        <v>57.5</v>
      </c>
      <c r="H277" s="18">
        <v>125</v>
      </c>
      <c r="I277" s="19">
        <v>126.367152</v>
      </c>
      <c r="J277" s="12">
        <f t="shared" si="16"/>
        <v>1.3671520000000044</v>
      </c>
      <c r="K277" s="14">
        <f t="shared" si="17"/>
        <v>1.8691045911040118</v>
      </c>
      <c r="L277" s="14">
        <f t="shared" si="18"/>
        <v>1.0937216000000034</v>
      </c>
      <c r="M277" s="14">
        <f t="shared" si="19"/>
        <v>1</v>
      </c>
    </row>
    <row r="278" spans="1:13" x14ac:dyDescent="0.25">
      <c r="A278" s="14" t="s">
        <v>829</v>
      </c>
      <c r="B278" s="20"/>
      <c r="C278" s="16">
        <v>0.33333333333333331</v>
      </c>
      <c r="D278" s="17" t="s">
        <v>527</v>
      </c>
      <c r="E278" s="14">
        <v>21.167999999999999</v>
      </c>
      <c r="F278" s="14">
        <v>65</v>
      </c>
      <c r="G278" s="14">
        <v>81.599999999999994</v>
      </c>
      <c r="H278" s="18">
        <v>107</v>
      </c>
      <c r="I278" s="19">
        <v>105.833352</v>
      </c>
      <c r="J278" s="12">
        <f t="shared" si="16"/>
        <v>1.166647999999995</v>
      </c>
      <c r="K278" s="14">
        <f t="shared" si="17"/>
        <v>1.3610675559039884</v>
      </c>
      <c r="L278" s="14">
        <f t="shared" si="18"/>
        <v>1.0903252336448552</v>
      </c>
      <c r="M278" s="14">
        <f t="shared" si="19"/>
        <v>2</v>
      </c>
    </row>
    <row r="279" spans="1:13" x14ac:dyDescent="0.25">
      <c r="A279" s="14" t="s">
        <v>830</v>
      </c>
      <c r="B279" s="20"/>
      <c r="C279" s="16">
        <v>0.35416666666666669</v>
      </c>
      <c r="D279" s="17" t="s">
        <v>527</v>
      </c>
      <c r="E279" s="14">
        <v>20.135000000000002</v>
      </c>
      <c r="F279" s="14">
        <v>24</v>
      </c>
      <c r="G279" s="14">
        <v>84</v>
      </c>
      <c r="H279" s="18">
        <v>104</v>
      </c>
      <c r="I279" s="19">
        <v>100.78301500000001</v>
      </c>
      <c r="J279" s="12">
        <f t="shared" si="16"/>
        <v>3.216984999999994</v>
      </c>
      <c r="K279" s="14">
        <f t="shared" si="17"/>
        <v>10.348992490224962</v>
      </c>
      <c r="L279" s="14">
        <f t="shared" si="18"/>
        <v>3.0932548076923019</v>
      </c>
      <c r="M279" s="14">
        <f t="shared" si="19"/>
        <v>3</v>
      </c>
    </row>
    <row r="280" spans="1:13" x14ac:dyDescent="0.25">
      <c r="A280" s="14" t="s">
        <v>831</v>
      </c>
      <c r="B280" s="20"/>
      <c r="C280" s="16">
        <v>0.375</v>
      </c>
      <c r="D280" s="17" t="s">
        <v>527</v>
      </c>
      <c r="E280" s="14">
        <v>19.449000000000002</v>
      </c>
      <c r="F280" s="14">
        <v>24</v>
      </c>
      <c r="G280" s="14">
        <v>89.8</v>
      </c>
      <c r="H280" s="18">
        <v>98</v>
      </c>
      <c r="I280" s="19">
        <v>97.429161000000022</v>
      </c>
      <c r="J280" s="12">
        <f t="shared" si="16"/>
        <v>0.57083899999997811</v>
      </c>
      <c r="K280" s="14">
        <f t="shared" si="17"/>
        <v>0.32585716392097502</v>
      </c>
      <c r="L280" s="14">
        <f t="shared" si="18"/>
        <v>0.58248877551018174</v>
      </c>
      <c r="M280" s="14">
        <f t="shared" si="19"/>
        <v>4</v>
      </c>
    </row>
    <row r="281" spans="1:13" x14ac:dyDescent="0.25">
      <c r="A281" s="14" t="s">
        <v>832</v>
      </c>
      <c r="B281" s="20"/>
      <c r="C281" s="16">
        <v>0.39583333333333331</v>
      </c>
      <c r="D281" s="17" t="s">
        <v>527</v>
      </c>
      <c r="E281" s="14">
        <v>24.341999999999999</v>
      </c>
      <c r="F281" s="14">
        <v>50</v>
      </c>
      <c r="G281" s="14">
        <v>89.3</v>
      </c>
      <c r="H281" s="18">
        <v>121</v>
      </c>
      <c r="I281" s="19">
        <v>121.351038</v>
      </c>
      <c r="J281" s="12">
        <f t="shared" si="16"/>
        <v>0.35103800000000263</v>
      </c>
      <c r="K281" s="14">
        <f t="shared" si="17"/>
        <v>0.12322767744400184</v>
      </c>
      <c r="L281" s="14">
        <f t="shared" si="18"/>
        <v>0.29011404958677905</v>
      </c>
      <c r="M281" s="14">
        <f t="shared" si="19"/>
        <v>5</v>
      </c>
    </row>
    <row r="282" spans="1:13" x14ac:dyDescent="0.25">
      <c r="A282" s="14" t="s">
        <v>833</v>
      </c>
      <c r="B282" s="21"/>
      <c r="C282" s="16">
        <v>0.40625</v>
      </c>
      <c r="D282" s="17" t="s">
        <v>527</v>
      </c>
      <c r="E282" s="14">
        <v>20.434999999999999</v>
      </c>
      <c r="F282" s="14">
        <v>40</v>
      </c>
      <c r="G282" s="14">
        <v>82.1</v>
      </c>
      <c r="H282" s="18">
        <v>103</v>
      </c>
      <c r="I282" s="19">
        <v>102.24971499999999</v>
      </c>
      <c r="J282" s="12">
        <f t="shared" si="16"/>
        <v>0.7502850000000052</v>
      </c>
      <c r="K282" s="14">
        <f t="shared" si="17"/>
        <v>0.56292758122500774</v>
      </c>
      <c r="L282" s="14">
        <f t="shared" si="18"/>
        <v>0.72843203883495644</v>
      </c>
      <c r="M282" s="14">
        <f t="shared" si="19"/>
        <v>1</v>
      </c>
    </row>
    <row r="283" spans="1:13" x14ac:dyDescent="0.25">
      <c r="A283" s="14" t="s">
        <v>834</v>
      </c>
      <c r="B283" s="15" t="s">
        <v>835</v>
      </c>
      <c r="C283" s="16">
        <v>0.22916666666666671</v>
      </c>
      <c r="D283" s="17" t="s">
        <v>527</v>
      </c>
      <c r="E283" s="14">
        <v>20.291</v>
      </c>
      <c r="F283" s="14">
        <v>36</v>
      </c>
      <c r="G283" s="14">
        <v>81.5</v>
      </c>
      <c r="H283" s="18">
        <v>102</v>
      </c>
      <c r="I283" s="19">
        <v>101.545699</v>
      </c>
      <c r="J283" s="12">
        <f t="shared" si="16"/>
        <v>0.45430100000000095</v>
      </c>
      <c r="K283" s="14">
        <f t="shared" si="17"/>
        <v>0.20638939860100086</v>
      </c>
      <c r="L283" s="14">
        <f t="shared" si="18"/>
        <v>0.44539313725490293</v>
      </c>
      <c r="M283" s="14">
        <f t="shared" si="19"/>
        <v>2</v>
      </c>
    </row>
    <row r="284" spans="1:13" x14ac:dyDescent="0.25">
      <c r="A284" s="14" t="s">
        <v>836</v>
      </c>
      <c r="B284" s="20"/>
      <c r="C284" s="16">
        <v>0.25</v>
      </c>
      <c r="D284" s="17" t="s">
        <v>527</v>
      </c>
      <c r="E284" s="14">
        <v>23.007000000000001</v>
      </c>
      <c r="F284" s="14">
        <v>36</v>
      </c>
      <c r="G284" s="14">
        <v>61.7</v>
      </c>
      <c r="H284" s="18">
        <v>113</v>
      </c>
      <c r="I284" s="19">
        <v>114.824223</v>
      </c>
      <c r="J284" s="12">
        <f t="shared" si="16"/>
        <v>1.8242230000000035</v>
      </c>
      <c r="K284" s="14">
        <f t="shared" si="17"/>
        <v>3.3277895537290125</v>
      </c>
      <c r="L284" s="14">
        <f t="shared" si="18"/>
        <v>1.6143566371681448</v>
      </c>
      <c r="M284" s="14">
        <f t="shared" si="19"/>
        <v>3</v>
      </c>
    </row>
    <row r="285" spans="1:13" x14ac:dyDescent="0.25">
      <c r="A285" s="14" t="s">
        <v>837</v>
      </c>
      <c r="B285" s="20"/>
      <c r="C285" s="16">
        <v>0.27083333333333331</v>
      </c>
      <c r="D285" s="17" t="s">
        <v>527</v>
      </c>
      <c r="E285" s="14">
        <v>21.638000000000002</v>
      </c>
      <c r="F285" s="14">
        <v>53</v>
      </c>
      <c r="G285" s="14">
        <v>60.4</v>
      </c>
      <c r="H285" s="18">
        <v>108</v>
      </c>
      <c r="I285" s="19">
        <v>108.131182</v>
      </c>
      <c r="J285" s="12">
        <f t="shared" si="16"/>
        <v>0.13118199999999547</v>
      </c>
      <c r="K285" s="14">
        <f t="shared" si="17"/>
        <v>1.720871712399881E-2</v>
      </c>
      <c r="L285" s="14">
        <f t="shared" si="18"/>
        <v>0.12146481481481063</v>
      </c>
      <c r="M285" s="14">
        <f t="shared" si="19"/>
        <v>4</v>
      </c>
    </row>
    <row r="286" spans="1:13" x14ac:dyDescent="0.25">
      <c r="A286" s="14" t="s">
        <v>838</v>
      </c>
      <c r="B286" s="20"/>
      <c r="C286" s="16">
        <v>0.29166666666666669</v>
      </c>
      <c r="D286" s="17" t="s">
        <v>527</v>
      </c>
      <c r="E286" s="14">
        <v>19.100000000000001</v>
      </c>
      <c r="F286" s="14">
        <v>46</v>
      </c>
      <c r="G286" s="14">
        <v>61.5</v>
      </c>
      <c r="H286" s="18">
        <v>97</v>
      </c>
      <c r="I286" s="19">
        <v>95.72290000000001</v>
      </c>
      <c r="J286" s="12">
        <f t="shared" si="16"/>
        <v>1.2770999999999901</v>
      </c>
      <c r="K286" s="14">
        <f t="shared" si="17"/>
        <v>1.6309844099999748</v>
      </c>
      <c r="L286" s="14">
        <f t="shared" si="18"/>
        <v>1.3165979381443198</v>
      </c>
      <c r="M286" s="14">
        <f t="shared" si="19"/>
        <v>5</v>
      </c>
    </row>
    <row r="287" spans="1:13" x14ac:dyDescent="0.25">
      <c r="A287" s="14" t="s">
        <v>839</v>
      </c>
      <c r="B287" s="20"/>
      <c r="C287" s="16">
        <v>0.3125</v>
      </c>
      <c r="D287" s="17" t="s">
        <v>527</v>
      </c>
      <c r="E287" s="14">
        <v>22.05</v>
      </c>
      <c r="F287" s="14">
        <v>77</v>
      </c>
      <c r="G287" s="14">
        <v>81.7</v>
      </c>
      <c r="H287" s="18">
        <v>109</v>
      </c>
      <c r="I287" s="19">
        <v>110.14545</v>
      </c>
      <c r="J287" s="12">
        <f t="shared" si="16"/>
        <v>1.1454499999999967</v>
      </c>
      <c r="K287" s="14">
        <f t="shared" si="17"/>
        <v>1.3120557024999926</v>
      </c>
      <c r="L287" s="14">
        <f t="shared" si="18"/>
        <v>1.0508715596330245</v>
      </c>
      <c r="M287" s="14">
        <f t="shared" si="19"/>
        <v>1</v>
      </c>
    </row>
    <row r="288" spans="1:13" x14ac:dyDescent="0.25">
      <c r="A288" s="14" t="s">
        <v>840</v>
      </c>
      <c r="B288" s="20"/>
      <c r="C288" s="16">
        <v>0.33333333333333331</v>
      </c>
      <c r="D288" s="17" t="s">
        <v>527</v>
      </c>
      <c r="E288" s="14">
        <v>19.47</v>
      </c>
      <c r="F288" s="14">
        <v>26</v>
      </c>
      <c r="G288" s="14">
        <v>75</v>
      </c>
      <c r="H288" s="18">
        <v>97</v>
      </c>
      <c r="I288" s="19">
        <v>97.531829999999999</v>
      </c>
      <c r="J288" s="12">
        <f t="shared" si="16"/>
        <v>0.53182999999999936</v>
      </c>
      <c r="K288" s="14">
        <f t="shared" si="17"/>
        <v>0.28284314889999934</v>
      </c>
      <c r="L288" s="14">
        <f t="shared" si="18"/>
        <v>0.54827835051546325</v>
      </c>
      <c r="M288" s="14">
        <f t="shared" si="19"/>
        <v>2</v>
      </c>
    </row>
    <row r="289" spans="1:13" x14ac:dyDescent="0.25">
      <c r="A289" s="14" t="s">
        <v>841</v>
      </c>
      <c r="B289" s="20"/>
      <c r="C289" s="16">
        <v>0.35416666666666669</v>
      </c>
      <c r="D289" s="17" t="s">
        <v>527</v>
      </c>
      <c r="E289" s="14">
        <v>19.702000000000002</v>
      </c>
      <c r="F289" s="14">
        <v>52</v>
      </c>
      <c r="G289" s="14">
        <v>77.599999999999994</v>
      </c>
      <c r="H289" s="18">
        <v>103</v>
      </c>
      <c r="I289" s="19">
        <v>98.666078000000013</v>
      </c>
      <c r="J289" s="12">
        <f t="shared" si="16"/>
        <v>4.333921999999987</v>
      </c>
      <c r="K289" s="14">
        <f t="shared" si="17"/>
        <v>18.782879902083888</v>
      </c>
      <c r="L289" s="14">
        <f t="shared" si="18"/>
        <v>4.2076912621359099</v>
      </c>
      <c r="M289" s="14">
        <f t="shared" si="19"/>
        <v>3</v>
      </c>
    </row>
    <row r="290" spans="1:13" x14ac:dyDescent="0.25">
      <c r="A290" s="14" t="s">
        <v>842</v>
      </c>
      <c r="B290" s="20"/>
      <c r="C290" s="16">
        <v>0.375</v>
      </c>
      <c r="D290" s="17" t="s">
        <v>527</v>
      </c>
      <c r="E290" s="14">
        <v>19.952999999999999</v>
      </c>
      <c r="F290" s="14">
        <v>64</v>
      </c>
      <c r="G290" s="14">
        <v>85.4</v>
      </c>
      <c r="H290" s="18">
        <v>99</v>
      </c>
      <c r="I290" s="19">
        <v>99.893217000000007</v>
      </c>
      <c r="J290" s="12">
        <f t="shared" si="16"/>
        <v>0.89321700000000703</v>
      </c>
      <c r="K290" s="14">
        <f t="shared" si="17"/>
        <v>0.79783660908901255</v>
      </c>
      <c r="L290" s="14">
        <f t="shared" si="18"/>
        <v>0.90223939393940111</v>
      </c>
      <c r="M290" s="14">
        <f t="shared" si="19"/>
        <v>4</v>
      </c>
    </row>
    <row r="291" spans="1:13" x14ac:dyDescent="0.25">
      <c r="A291" s="14" t="s">
        <v>843</v>
      </c>
      <c r="B291" s="20"/>
      <c r="C291" s="16">
        <v>0.39583333333333331</v>
      </c>
      <c r="D291" s="17" t="s">
        <v>527</v>
      </c>
      <c r="E291" s="14">
        <v>16.14</v>
      </c>
      <c r="F291" s="14">
        <v>37</v>
      </c>
      <c r="G291" s="14">
        <v>56.3</v>
      </c>
      <c r="H291" s="18">
        <v>80</v>
      </c>
      <c r="I291" s="19">
        <v>81.251460000000009</v>
      </c>
      <c r="J291" s="12">
        <f t="shared" si="16"/>
        <v>1.2514600000000087</v>
      </c>
      <c r="K291" s="14">
        <f t="shared" si="17"/>
        <v>1.5661521316000218</v>
      </c>
      <c r="L291" s="14">
        <f t="shared" si="18"/>
        <v>1.5643250000000108</v>
      </c>
      <c r="M291" s="14">
        <f t="shared" si="19"/>
        <v>5</v>
      </c>
    </row>
    <row r="292" spans="1:13" x14ac:dyDescent="0.25">
      <c r="A292" s="14" t="s">
        <v>844</v>
      </c>
      <c r="B292" s="21"/>
      <c r="C292" s="16">
        <v>0.40625</v>
      </c>
      <c r="D292" s="17" t="s">
        <v>527</v>
      </c>
      <c r="E292" s="14">
        <v>20.806999999999999</v>
      </c>
      <c r="F292" s="14">
        <v>28</v>
      </c>
      <c r="G292" s="14">
        <v>76</v>
      </c>
      <c r="H292" s="18">
        <v>104</v>
      </c>
      <c r="I292" s="19">
        <v>104.068423</v>
      </c>
      <c r="J292" s="12">
        <f t="shared" si="16"/>
        <v>6.8422999999995682E-2</v>
      </c>
      <c r="K292" s="14">
        <f t="shared" si="17"/>
        <v>4.6817069289994094E-3</v>
      </c>
      <c r="L292" s="14">
        <f t="shared" si="18"/>
        <v>6.5791346153841995E-2</v>
      </c>
      <c r="M292" s="14">
        <f t="shared" si="19"/>
        <v>1</v>
      </c>
    </row>
    <row r="293" spans="1:13" x14ac:dyDescent="0.25">
      <c r="A293" s="14" t="s">
        <v>845</v>
      </c>
      <c r="B293" s="15" t="s">
        <v>846</v>
      </c>
      <c r="C293" s="16">
        <v>0.22916666666666671</v>
      </c>
      <c r="D293" s="17" t="s">
        <v>527</v>
      </c>
      <c r="E293" s="14">
        <v>21.117999999999999</v>
      </c>
      <c r="F293" s="14">
        <v>25</v>
      </c>
      <c r="G293" s="14">
        <v>73.2</v>
      </c>
      <c r="H293" s="18">
        <v>104</v>
      </c>
      <c r="I293" s="19">
        <v>105.588902</v>
      </c>
      <c r="J293" s="12">
        <f t="shared" si="16"/>
        <v>1.5889020000000045</v>
      </c>
      <c r="K293" s="14">
        <f t="shared" si="17"/>
        <v>2.5246095656040142</v>
      </c>
      <c r="L293" s="14">
        <f t="shared" si="18"/>
        <v>1.5277903846153889</v>
      </c>
      <c r="M293" s="14">
        <f t="shared" si="19"/>
        <v>2</v>
      </c>
    </row>
    <row r="294" spans="1:13" x14ac:dyDescent="0.25">
      <c r="A294" s="14" t="s">
        <v>847</v>
      </c>
      <c r="B294" s="20"/>
      <c r="C294" s="16">
        <v>0.25</v>
      </c>
      <c r="D294" s="17" t="s">
        <v>527</v>
      </c>
      <c r="E294" s="14">
        <v>21.36</v>
      </c>
      <c r="F294" s="14">
        <v>84</v>
      </c>
      <c r="G294" s="14">
        <v>66.8</v>
      </c>
      <c r="H294" s="18">
        <v>108</v>
      </c>
      <c r="I294" s="19">
        <v>106.77204</v>
      </c>
      <c r="J294" s="12">
        <f t="shared" si="16"/>
        <v>1.2279599999999959</v>
      </c>
      <c r="K294" s="14">
        <f t="shared" si="17"/>
        <v>1.5078857615999901</v>
      </c>
      <c r="L294" s="14">
        <f t="shared" si="18"/>
        <v>1.1369999999999962</v>
      </c>
      <c r="M294" s="14">
        <f t="shared" si="19"/>
        <v>3</v>
      </c>
    </row>
    <row r="295" spans="1:13" x14ac:dyDescent="0.25">
      <c r="A295" s="14" t="s">
        <v>848</v>
      </c>
      <c r="B295" s="20"/>
      <c r="C295" s="16">
        <v>0.27083333333333331</v>
      </c>
      <c r="D295" s="17" t="s">
        <v>527</v>
      </c>
      <c r="E295" s="14">
        <v>18.920000000000002</v>
      </c>
      <c r="F295" s="14">
        <v>29</v>
      </c>
      <c r="G295" s="14">
        <v>75.3</v>
      </c>
      <c r="H295" s="18">
        <v>94</v>
      </c>
      <c r="I295" s="19">
        <v>94.842880000000022</v>
      </c>
      <c r="J295" s="12">
        <f t="shared" si="16"/>
        <v>0.84288000000002228</v>
      </c>
      <c r="K295" s="14">
        <f t="shared" si="17"/>
        <v>0.7104466944000376</v>
      </c>
      <c r="L295" s="14">
        <f t="shared" si="18"/>
        <v>0.89668085106385342</v>
      </c>
      <c r="M295" s="14">
        <f t="shared" si="19"/>
        <v>4</v>
      </c>
    </row>
    <row r="296" spans="1:13" x14ac:dyDescent="0.25">
      <c r="A296" s="14" t="s">
        <v>849</v>
      </c>
      <c r="B296" s="20"/>
      <c r="C296" s="16">
        <v>0.29166666666666669</v>
      </c>
      <c r="D296" s="17" t="s">
        <v>527</v>
      </c>
      <c r="E296" s="14">
        <v>24.242000000000001</v>
      </c>
      <c r="F296" s="14">
        <v>37</v>
      </c>
      <c r="G296" s="14">
        <v>60.7</v>
      </c>
      <c r="H296" s="18">
        <v>124</v>
      </c>
      <c r="I296" s="19">
        <v>120.862138</v>
      </c>
      <c r="J296" s="12">
        <f t="shared" si="16"/>
        <v>3.1378619999999984</v>
      </c>
      <c r="K296" s="14">
        <f t="shared" si="17"/>
        <v>9.8461779310439894</v>
      </c>
      <c r="L296" s="14">
        <f t="shared" si="18"/>
        <v>2.5305338709677407</v>
      </c>
      <c r="M296" s="14">
        <f t="shared" si="19"/>
        <v>5</v>
      </c>
    </row>
    <row r="297" spans="1:13" x14ac:dyDescent="0.25">
      <c r="A297" s="14" t="s">
        <v>850</v>
      </c>
      <c r="B297" s="20"/>
      <c r="C297" s="16">
        <v>0.3125</v>
      </c>
      <c r="D297" s="17" t="s">
        <v>527</v>
      </c>
      <c r="E297" s="14">
        <v>21.545000000000002</v>
      </c>
      <c r="F297" s="14">
        <v>22</v>
      </c>
      <c r="G297" s="14">
        <v>74</v>
      </c>
      <c r="H297" s="18">
        <v>107</v>
      </c>
      <c r="I297" s="19">
        <v>107.67650500000001</v>
      </c>
      <c r="J297" s="12">
        <f t="shared" si="16"/>
        <v>0.67650500000000591</v>
      </c>
      <c r="K297" s="14">
        <f t="shared" si="17"/>
        <v>0.457659015025008</v>
      </c>
      <c r="L297" s="14">
        <f t="shared" si="18"/>
        <v>0.63224766355140738</v>
      </c>
      <c r="M297" s="14">
        <f t="shared" si="19"/>
        <v>1</v>
      </c>
    </row>
    <row r="298" spans="1:13" x14ac:dyDescent="0.25">
      <c r="A298" s="14" t="s">
        <v>851</v>
      </c>
      <c r="B298" s="20"/>
      <c r="C298" s="16">
        <v>0.33333333333333331</v>
      </c>
      <c r="D298" s="17" t="s">
        <v>527</v>
      </c>
      <c r="E298" s="14">
        <v>23.896000000000001</v>
      </c>
      <c r="F298" s="14">
        <v>54</v>
      </c>
      <c r="G298" s="14">
        <v>61</v>
      </c>
      <c r="H298" s="18">
        <v>116</v>
      </c>
      <c r="I298" s="19">
        <v>119.17054400000001</v>
      </c>
      <c r="J298" s="12">
        <f t="shared" si="16"/>
        <v>3.1705440000000067</v>
      </c>
      <c r="K298" s="14">
        <f t="shared" si="17"/>
        <v>10.052349255936042</v>
      </c>
      <c r="L298" s="14">
        <f t="shared" si="18"/>
        <v>2.7332275862069024</v>
      </c>
      <c r="M298" s="14">
        <f t="shared" si="19"/>
        <v>2</v>
      </c>
    </row>
    <row r="299" spans="1:13" x14ac:dyDescent="0.25">
      <c r="A299" s="14" t="s">
        <v>852</v>
      </c>
      <c r="B299" s="20"/>
      <c r="C299" s="16">
        <v>0.35416666666666669</v>
      </c>
      <c r="D299" s="17" t="s">
        <v>527</v>
      </c>
      <c r="E299" s="14">
        <v>22.245999999999999</v>
      </c>
      <c r="F299" s="14">
        <v>55</v>
      </c>
      <c r="G299" s="14">
        <v>76.7</v>
      </c>
      <c r="H299" s="18">
        <v>113</v>
      </c>
      <c r="I299" s="19">
        <v>111.103694</v>
      </c>
      <c r="J299" s="12">
        <f t="shared" si="16"/>
        <v>1.8963059999999956</v>
      </c>
      <c r="K299" s="14">
        <f t="shared" si="17"/>
        <v>3.5959764456359835</v>
      </c>
      <c r="L299" s="14">
        <f t="shared" si="18"/>
        <v>1.6781469026548634</v>
      </c>
      <c r="M299" s="14">
        <f t="shared" si="19"/>
        <v>3</v>
      </c>
    </row>
    <row r="300" spans="1:13" x14ac:dyDescent="0.25">
      <c r="A300" s="14" t="s">
        <v>853</v>
      </c>
      <c r="B300" s="20"/>
      <c r="C300" s="16">
        <v>0.375</v>
      </c>
      <c r="D300" s="17" t="s">
        <v>527</v>
      </c>
      <c r="E300" s="14">
        <v>20.329000000000001</v>
      </c>
      <c r="F300" s="14">
        <v>26</v>
      </c>
      <c r="G300" s="14">
        <v>62.7</v>
      </c>
      <c r="H300" s="18">
        <v>103</v>
      </c>
      <c r="I300" s="19">
        <v>101.731481</v>
      </c>
      <c r="J300" s="12">
        <f t="shared" si="16"/>
        <v>1.2685189999999977</v>
      </c>
      <c r="K300" s="14">
        <f t="shared" si="17"/>
        <v>1.6091404533609943</v>
      </c>
      <c r="L300" s="14">
        <f t="shared" si="18"/>
        <v>1.231571844660192</v>
      </c>
      <c r="M300" s="14">
        <f t="shared" si="19"/>
        <v>4</v>
      </c>
    </row>
    <row r="301" spans="1:13" x14ac:dyDescent="0.25">
      <c r="A301" s="14" t="s">
        <v>854</v>
      </c>
      <c r="B301" s="20"/>
      <c r="C301" s="16">
        <v>0.39583333333333331</v>
      </c>
      <c r="D301" s="17" t="s">
        <v>527</v>
      </c>
      <c r="E301" s="14">
        <v>19.946999999999999</v>
      </c>
      <c r="F301" s="14">
        <v>70</v>
      </c>
      <c r="G301" s="14">
        <v>80.900000000000006</v>
      </c>
      <c r="H301" s="18">
        <v>101</v>
      </c>
      <c r="I301" s="19">
        <v>99.863883000000001</v>
      </c>
      <c r="J301" s="12">
        <f t="shared" si="16"/>
        <v>1.1361169999999987</v>
      </c>
      <c r="K301" s="14">
        <f t="shared" si="17"/>
        <v>1.2907618376889971</v>
      </c>
      <c r="L301" s="14">
        <f t="shared" si="18"/>
        <v>1.124868316831682</v>
      </c>
      <c r="M301" s="14">
        <f t="shared" si="19"/>
        <v>5</v>
      </c>
    </row>
    <row r="302" spans="1:13" x14ac:dyDescent="0.25">
      <c r="A302" s="14" t="s">
        <v>855</v>
      </c>
      <c r="B302" s="21"/>
      <c r="C302" s="16">
        <v>0.40625</v>
      </c>
      <c r="D302" s="17" t="s">
        <v>527</v>
      </c>
      <c r="E302" s="14">
        <v>19.646000000000001</v>
      </c>
      <c r="F302" s="14">
        <v>61</v>
      </c>
      <c r="G302" s="14">
        <v>62.7</v>
      </c>
      <c r="H302" s="18">
        <v>98</v>
      </c>
      <c r="I302" s="19">
        <v>98.392294000000007</v>
      </c>
      <c r="J302" s="12">
        <f t="shared" si="16"/>
        <v>0.3922940000000068</v>
      </c>
      <c r="K302" s="14">
        <f t="shared" si="17"/>
        <v>0.15389458243600534</v>
      </c>
      <c r="L302" s="14">
        <f t="shared" si="18"/>
        <v>0.40030000000000687</v>
      </c>
      <c r="M302" s="14">
        <f t="shared" si="19"/>
        <v>1</v>
      </c>
    </row>
    <row r="303" spans="1:13" x14ac:dyDescent="0.25">
      <c r="A303" s="14" t="s">
        <v>856</v>
      </c>
      <c r="B303" s="15" t="s">
        <v>857</v>
      </c>
      <c r="C303" s="16">
        <v>0.22916666666666671</v>
      </c>
      <c r="D303" s="17" t="s">
        <v>527</v>
      </c>
      <c r="E303" s="14">
        <v>17.420999999999999</v>
      </c>
      <c r="F303" s="14">
        <v>41</v>
      </c>
      <c r="G303" s="14">
        <v>77.599999999999994</v>
      </c>
      <c r="H303" s="18">
        <v>89</v>
      </c>
      <c r="I303" s="19">
        <v>87.514268999999999</v>
      </c>
      <c r="J303" s="12">
        <f t="shared" si="16"/>
        <v>1.4857310000000012</v>
      </c>
      <c r="K303" s="14">
        <f t="shared" si="17"/>
        <v>2.2073966043610036</v>
      </c>
      <c r="L303" s="14">
        <f t="shared" si="18"/>
        <v>1.6693606741573048</v>
      </c>
      <c r="M303" s="14">
        <f t="shared" si="19"/>
        <v>2</v>
      </c>
    </row>
    <row r="304" spans="1:13" x14ac:dyDescent="0.25">
      <c r="A304" s="14" t="s">
        <v>858</v>
      </c>
      <c r="B304" s="20"/>
      <c r="C304" s="16">
        <v>0.25</v>
      </c>
      <c r="D304" s="17" t="s">
        <v>527</v>
      </c>
      <c r="E304" s="14">
        <v>22.75</v>
      </c>
      <c r="F304" s="14">
        <v>47</v>
      </c>
      <c r="G304" s="14">
        <v>58.9</v>
      </c>
      <c r="H304" s="18">
        <v>113</v>
      </c>
      <c r="I304" s="19">
        <v>113.56775</v>
      </c>
      <c r="J304" s="12">
        <f t="shared" si="16"/>
        <v>0.56775000000000375</v>
      </c>
      <c r="K304" s="14">
        <f t="shared" si="17"/>
        <v>0.32234006250000424</v>
      </c>
      <c r="L304" s="14">
        <f t="shared" si="18"/>
        <v>0.5024336283185874</v>
      </c>
      <c r="M304" s="14">
        <f t="shared" si="19"/>
        <v>3</v>
      </c>
    </row>
    <row r="305" spans="1:13" x14ac:dyDescent="0.25">
      <c r="A305" s="14" t="s">
        <v>859</v>
      </c>
      <c r="B305" s="20"/>
      <c r="C305" s="16">
        <v>0.27083333333333331</v>
      </c>
      <c r="D305" s="17" t="s">
        <v>527</v>
      </c>
      <c r="E305" s="14">
        <v>18.902000000000001</v>
      </c>
      <c r="F305" s="14">
        <v>76</v>
      </c>
      <c r="G305" s="14">
        <v>85.5</v>
      </c>
      <c r="H305" s="18">
        <v>93</v>
      </c>
      <c r="I305" s="19">
        <v>94.754878000000019</v>
      </c>
      <c r="J305" s="12">
        <f t="shared" si="16"/>
        <v>1.7548780000000193</v>
      </c>
      <c r="K305" s="14">
        <f t="shared" si="17"/>
        <v>3.0795967948840675</v>
      </c>
      <c r="L305" s="14">
        <f t="shared" si="18"/>
        <v>1.88696559139787</v>
      </c>
      <c r="M305" s="14">
        <f t="shared" si="19"/>
        <v>4</v>
      </c>
    </row>
    <row r="306" spans="1:13" x14ac:dyDescent="0.25">
      <c r="A306" s="14" t="s">
        <v>860</v>
      </c>
      <c r="B306" s="20"/>
      <c r="C306" s="16">
        <v>0.29166666666666669</v>
      </c>
      <c r="D306" s="17" t="s">
        <v>527</v>
      </c>
      <c r="E306" s="14">
        <v>24.79</v>
      </c>
      <c r="F306" s="14">
        <v>31</v>
      </c>
      <c r="G306" s="14">
        <v>68.599999999999994</v>
      </c>
      <c r="H306" s="18">
        <v>123</v>
      </c>
      <c r="I306" s="19">
        <v>123.54131</v>
      </c>
      <c r="J306" s="12">
        <f t="shared" si="16"/>
        <v>0.54130999999999574</v>
      </c>
      <c r="K306" s="14">
        <f t="shared" si="17"/>
        <v>0.29301651609999541</v>
      </c>
      <c r="L306" s="14">
        <f t="shared" si="18"/>
        <v>0.44008943089430552</v>
      </c>
      <c r="M306" s="14">
        <f t="shared" si="19"/>
        <v>5</v>
      </c>
    </row>
    <row r="307" spans="1:13" x14ac:dyDescent="0.25">
      <c r="A307" s="14" t="s">
        <v>861</v>
      </c>
      <c r="B307" s="20"/>
      <c r="C307" s="16">
        <v>0.3125</v>
      </c>
      <c r="D307" s="17" t="s">
        <v>527</v>
      </c>
      <c r="E307" s="14">
        <v>22.97</v>
      </c>
      <c r="F307" s="14">
        <v>26</v>
      </c>
      <c r="G307" s="14">
        <v>68.099999999999994</v>
      </c>
      <c r="H307" s="18">
        <v>118</v>
      </c>
      <c r="I307" s="19">
        <v>114.64333000000001</v>
      </c>
      <c r="J307" s="12">
        <f t="shared" si="16"/>
        <v>3.356669999999994</v>
      </c>
      <c r="K307" s="14">
        <f t="shared" si="17"/>
        <v>11.26723348889996</v>
      </c>
      <c r="L307" s="14">
        <f t="shared" si="18"/>
        <v>2.844635593220334</v>
      </c>
      <c r="M307" s="14">
        <f t="shared" si="19"/>
        <v>1</v>
      </c>
    </row>
    <row r="308" spans="1:13" x14ac:dyDescent="0.25">
      <c r="A308" s="14" t="s">
        <v>862</v>
      </c>
      <c r="B308" s="20"/>
      <c r="C308" s="16">
        <v>0.33333333333333331</v>
      </c>
      <c r="D308" s="17" t="s">
        <v>527</v>
      </c>
      <c r="E308" s="14">
        <v>20.355</v>
      </c>
      <c r="F308" s="14">
        <v>57</v>
      </c>
      <c r="G308" s="14">
        <v>59.8</v>
      </c>
      <c r="H308" s="18">
        <v>100</v>
      </c>
      <c r="I308" s="19">
        <v>101.85859499999999</v>
      </c>
      <c r="J308" s="12">
        <f t="shared" si="16"/>
        <v>1.858594999999994</v>
      </c>
      <c r="K308" s="14">
        <f t="shared" si="17"/>
        <v>3.4543753740249779</v>
      </c>
      <c r="L308" s="14">
        <f t="shared" si="18"/>
        <v>1.8585949999999942</v>
      </c>
      <c r="M308" s="14">
        <f t="shared" si="19"/>
        <v>2</v>
      </c>
    </row>
    <row r="309" spans="1:13" x14ac:dyDescent="0.25">
      <c r="A309" s="14" t="s">
        <v>863</v>
      </c>
      <c r="B309" s="20"/>
      <c r="C309" s="16">
        <v>0.35416666666666669</v>
      </c>
      <c r="D309" s="17" t="s">
        <v>527</v>
      </c>
      <c r="E309" s="14">
        <v>19.734000000000002</v>
      </c>
      <c r="F309" s="14">
        <v>83</v>
      </c>
      <c r="G309" s="14">
        <v>67.8</v>
      </c>
      <c r="H309" s="18">
        <v>97</v>
      </c>
      <c r="I309" s="19">
        <v>98.822526000000011</v>
      </c>
      <c r="J309" s="12">
        <f t="shared" si="16"/>
        <v>1.8225260000000105</v>
      </c>
      <c r="K309" s="14">
        <f t="shared" si="17"/>
        <v>3.3216010206760385</v>
      </c>
      <c r="L309" s="14">
        <f t="shared" si="18"/>
        <v>1.8788927835051654</v>
      </c>
      <c r="M309" s="14">
        <f t="shared" si="19"/>
        <v>3</v>
      </c>
    </row>
    <row r="310" spans="1:13" x14ac:dyDescent="0.25">
      <c r="A310" s="14" t="s">
        <v>864</v>
      </c>
      <c r="B310" s="20"/>
      <c r="C310" s="16">
        <v>0.375</v>
      </c>
      <c r="D310" s="17" t="s">
        <v>527</v>
      </c>
      <c r="E310" s="14">
        <v>20.495999999999999</v>
      </c>
      <c r="F310" s="14">
        <v>42</v>
      </c>
      <c r="G310" s="14">
        <v>84.8</v>
      </c>
      <c r="H310" s="18">
        <v>101</v>
      </c>
      <c r="I310" s="19">
        <v>102.547944</v>
      </c>
      <c r="J310" s="12">
        <f t="shared" si="16"/>
        <v>1.5479440000000011</v>
      </c>
      <c r="K310" s="14">
        <f t="shared" si="17"/>
        <v>2.3961306271360034</v>
      </c>
      <c r="L310" s="14">
        <f t="shared" si="18"/>
        <v>1.5326178217821793</v>
      </c>
      <c r="M310" s="14">
        <f t="shared" si="19"/>
        <v>4</v>
      </c>
    </row>
    <row r="311" spans="1:13" x14ac:dyDescent="0.25">
      <c r="A311" s="14" t="s">
        <v>865</v>
      </c>
      <c r="B311" s="20"/>
      <c r="C311" s="16">
        <v>0.39583333333333331</v>
      </c>
      <c r="D311" s="17" t="s">
        <v>527</v>
      </c>
      <c r="E311" s="14">
        <v>20.933</v>
      </c>
      <c r="F311" s="14">
        <v>39</v>
      </c>
      <c r="G311" s="14">
        <v>77.400000000000006</v>
      </c>
      <c r="H311" s="18">
        <v>104</v>
      </c>
      <c r="I311" s="19">
        <v>104.684437</v>
      </c>
      <c r="J311" s="12">
        <f t="shared" si="16"/>
        <v>0.68443700000000263</v>
      </c>
      <c r="K311" s="14">
        <f t="shared" si="17"/>
        <v>0.46845400696900358</v>
      </c>
      <c r="L311" s="14">
        <f t="shared" si="18"/>
        <v>0.65811250000000254</v>
      </c>
      <c r="M311" s="14">
        <f t="shared" si="19"/>
        <v>5</v>
      </c>
    </row>
    <row r="312" spans="1:13" x14ac:dyDescent="0.25">
      <c r="A312" s="14" t="s">
        <v>866</v>
      </c>
      <c r="B312" s="21"/>
      <c r="C312" s="16">
        <v>0.40625</v>
      </c>
      <c r="D312" s="17" t="s">
        <v>527</v>
      </c>
      <c r="E312" s="14">
        <v>20.478000000000002</v>
      </c>
      <c r="F312" s="14">
        <v>21</v>
      </c>
      <c r="G312" s="14">
        <v>76</v>
      </c>
      <c r="H312" s="18">
        <v>102</v>
      </c>
      <c r="I312" s="19">
        <v>102.459942</v>
      </c>
      <c r="J312" s="12">
        <f t="shared" si="16"/>
        <v>0.45994199999999807</v>
      </c>
      <c r="K312" s="14">
        <f t="shared" si="17"/>
        <v>0.21154664336399823</v>
      </c>
      <c r="L312" s="14">
        <f t="shared" si="18"/>
        <v>0.45092352941176284</v>
      </c>
      <c r="M312" s="14">
        <f t="shared" si="19"/>
        <v>1</v>
      </c>
    </row>
    <row r="313" spans="1:13" x14ac:dyDescent="0.25">
      <c r="A313" s="14" t="s">
        <v>867</v>
      </c>
      <c r="B313" s="15" t="s">
        <v>868</v>
      </c>
      <c r="C313" s="16">
        <v>0.22916666666666671</v>
      </c>
      <c r="D313" s="17" t="s">
        <v>527</v>
      </c>
      <c r="E313" s="14">
        <v>18.768000000000001</v>
      </c>
      <c r="F313" s="14">
        <v>43</v>
      </c>
      <c r="G313" s="14">
        <v>89.4</v>
      </c>
      <c r="H313" s="18">
        <v>92</v>
      </c>
      <c r="I313" s="19">
        <v>94.099752000000009</v>
      </c>
      <c r="J313" s="12">
        <f t="shared" si="16"/>
        <v>2.0997520000000094</v>
      </c>
      <c r="K313" s="14">
        <f t="shared" si="17"/>
        <v>4.4089584615040396</v>
      </c>
      <c r="L313" s="14">
        <f t="shared" si="18"/>
        <v>2.2823391304347926</v>
      </c>
      <c r="M313" s="14">
        <f t="shared" si="19"/>
        <v>2</v>
      </c>
    </row>
    <row r="314" spans="1:13" x14ac:dyDescent="0.25">
      <c r="A314" s="14" t="s">
        <v>869</v>
      </c>
      <c r="B314" s="20"/>
      <c r="C314" s="16">
        <v>0.25</v>
      </c>
      <c r="D314" s="17" t="s">
        <v>527</v>
      </c>
      <c r="E314" s="14">
        <v>17.684999999999999</v>
      </c>
      <c r="F314" s="14">
        <v>75</v>
      </c>
      <c r="G314" s="14">
        <v>94.6</v>
      </c>
      <c r="H314" s="18">
        <v>85</v>
      </c>
      <c r="I314" s="19">
        <v>88.804964999999996</v>
      </c>
      <c r="J314" s="12">
        <f t="shared" si="16"/>
        <v>3.8049649999999957</v>
      </c>
      <c r="K314" s="14">
        <f t="shared" si="17"/>
        <v>14.477758651224967</v>
      </c>
      <c r="L314" s="14">
        <f t="shared" si="18"/>
        <v>4.476429411764701</v>
      </c>
      <c r="M314" s="14">
        <f t="shared" si="19"/>
        <v>3</v>
      </c>
    </row>
    <row r="315" spans="1:13" x14ac:dyDescent="0.25">
      <c r="A315" s="14" t="s">
        <v>870</v>
      </c>
      <c r="B315" s="20"/>
      <c r="C315" s="16">
        <v>0.27083333333333331</v>
      </c>
      <c r="D315" s="17" t="s">
        <v>527</v>
      </c>
      <c r="E315" s="14">
        <v>22.061</v>
      </c>
      <c r="F315" s="14">
        <v>46</v>
      </c>
      <c r="G315" s="14">
        <v>81.900000000000006</v>
      </c>
      <c r="H315" s="18">
        <v>112</v>
      </c>
      <c r="I315" s="19">
        <v>110.199229</v>
      </c>
      <c r="J315" s="12">
        <f t="shared" si="16"/>
        <v>1.8007709999999975</v>
      </c>
      <c r="K315" s="14">
        <f t="shared" si="17"/>
        <v>3.242776194440991</v>
      </c>
      <c r="L315" s="14">
        <f t="shared" si="18"/>
        <v>1.6078312499999976</v>
      </c>
      <c r="M315" s="14">
        <f t="shared" si="19"/>
        <v>4</v>
      </c>
    </row>
    <row r="316" spans="1:13" x14ac:dyDescent="0.25">
      <c r="A316" s="14" t="s">
        <v>871</v>
      </c>
      <c r="B316" s="20"/>
      <c r="C316" s="16">
        <v>0.29166666666666669</v>
      </c>
      <c r="D316" s="17" t="s">
        <v>527</v>
      </c>
      <c r="E316" s="14">
        <v>22.384</v>
      </c>
      <c r="F316" s="14">
        <v>54</v>
      </c>
      <c r="G316" s="14">
        <v>63.8</v>
      </c>
      <c r="H316" s="18">
        <v>110</v>
      </c>
      <c r="I316" s="19">
        <v>111.77837599999999</v>
      </c>
      <c r="J316" s="12">
        <f t="shared" si="16"/>
        <v>1.7783759999999944</v>
      </c>
      <c r="K316" s="14">
        <f t="shared" si="17"/>
        <v>3.1626211973759801</v>
      </c>
      <c r="L316" s="14">
        <f t="shared" si="18"/>
        <v>1.6167054545454493</v>
      </c>
      <c r="M316" s="14">
        <f t="shared" si="19"/>
        <v>5</v>
      </c>
    </row>
    <row r="317" spans="1:13" x14ac:dyDescent="0.25">
      <c r="A317" s="14" t="s">
        <v>872</v>
      </c>
      <c r="B317" s="20"/>
      <c r="C317" s="16">
        <v>0.3125</v>
      </c>
      <c r="D317" s="17" t="s">
        <v>527</v>
      </c>
      <c r="E317" s="14">
        <v>22.568999999999999</v>
      </c>
      <c r="F317" s="14">
        <v>35</v>
      </c>
      <c r="G317" s="14">
        <v>91.1</v>
      </c>
      <c r="H317" s="18">
        <v>113</v>
      </c>
      <c r="I317" s="19">
        <v>112.682841</v>
      </c>
      <c r="J317" s="12">
        <f t="shared" si="16"/>
        <v>0.31715900000000374</v>
      </c>
      <c r="K317" s="14">
        <f t="shared" si="17"/>
        <v>0.10058983128100238</v>
      </c>
      <c r="L317" s="14">
        <f t="shared" si="18"/>
        <v>0.28067168141593252</v>
      </c>
      <c r="M317" s="14">
        <f t="shared" si="19"/>
        <v>1</v>
      </c>
    </row>
    <row r="318" spans="1:13" x14ac:dyDescent="0.25">
      <c r="A318" s="14" t="s">
        <v>873</v>
      </c>
      <c r="B318" s="20"/>
      <c r="C318" s="16">
        <v>0.33333333333333331</v>
      </c>
      <c r="D318" s="17" t="s">
        <v>527</v>
      </c>
      <c r="E318" s="14">
        <v>18.353999999999999</v>
      </c>
      <c r="F318" s="14">
        <v>59</v>
      </c>
      <c r="G318" s="14">
        <v>94.8</v>
      </c>
      <c r="H318" s="18">
        <v>92</v>
      </c>
      <c r="I318" s="19">
        <v>92.075706000000011</v>
      </c>
      <c r="J318" s="12">
        <f t="shared" si="16"/>
        <v>7.5706000000010931E-2</v>
      </c>
      <c r="K318" s="14">
        <f t="shared" si="17"/>
        <v>5.7313984360016553E-3</v>
      </c>
      <c r="L318" s="14">
        <f t="shared" si="18"/>
        <v>8.2289130434794494E-2</v>
      </c>
      <c r="M318" s="14">
        <f t="shared" si="19"/>
        <v>2</v>
      </c>
    </row>
    <row r="319" spans="1:13" x14ac:dyDescent="0.25">
      <c r="A319" s="14" t="s">
        <v>874</v>
      </c>
      <c r="B319" s="20"/>
      <c r="C319" s="16">
        <v>0.35416666666666669</v>
      </c>
      <c r="D319" s="17" t="s">
        <v>527</v>
      </c>
      <c r="E319" s="14">
        <v>18.452999999999999</v>
      </c>
      <c r="F319" s="14">
        <v>58</v>
      </c>
      <c r="G319" s="14">
        <v>84.1</v>
      </c>
      <c r="H319" s="18">
        <v>95</v>
      </c>
      <c r="I319" s="19">
        <v>92.559717000000006</v>
      </c>
      <c r="J319" s="12">
        <f t="shared" si="16"/>
        <v>2.4402829999999938</v>
      </c>
      <c r="K319" s="14">
        <f t="shared" si="17"/>
        <v>5.95498112008897</v>
      </c>
      <c r="L319" s="14">
        <f t="shared" si="18"/>
        <v>2.5687189473684144</v>
      </c>
      <c r="M319" s="14">
        <f t="shared" si="19"/>
        <v>3</v>
      </c>
    </row>
    <row r="320" spans="1:13" x14ac:dyDescent="0.25">
      <c r="A320" s="14" t="s">
        <v>875</v>
      </c>
      <c r="B320" s="20"/>
      <c r="C320" s="16">
        <v>0.375</v>
      </c>
      <c r="D320" s="17" t="s">
        <v>527</v>
      </c>
      <c r="E320" s="14">
        <v>21.699000000000002</v>
      </c>
      <c r="F320" s="14">
        <v>55</v>
      </c>
      <c r="G320" s="14">
        <v>76.400000000000006</v>
      </c>
      <c r="H320" s="18">
        <v>109</v>
      </c>
      <c r="I320" s="19">
        <v>108.429411</v>
      </c>
      <c r="J320" s="12">
        <f t="shared" si="16"/>
        <v>0.57058899999999824</v>
      </c>
      <c r="K320" s="14">
        <f t="shared" si="17"/>
        <v>0.32557180692099796</v>
      </c>
      <c r="L320" s="14">
        <f t="shared" si="18"/>
        <v>0.52347614678898924</v>
      </c>
      <c r="M320" s="14">
        <f t="shared" si="19"/>
        <v>4</v>
      </c>
    </row>
    <row r="321" spans="1:13" x14ac:dyDescent="0.25">
      <c r="A321" s="14" t="s">
        <v>876</v>
      </c>
      <c r="B321" s="20"/>
      <c r="C321" s="16">
        <v>0.39583333333333331</v>
      </c>
      <c r="D321" s="17" t="s">
        <v>527</v>
      </c>
      <c r="E321" s="14">
        <v>20.445</v>
      </c>
      <c r="F321" s="14">
        <v>51</v>
      </c>
      <c r="G321" s="14">
        <v>77</v>
      </c>
      <c r="H321" s="18">
        <v>104</v>
      </c>
      <c r="I321" s="19">
        <v>102.29860499999999</v>
      </c>
      <c r="J321" s="12">
        <f t="shared" si="16"/>
        <v>1.7013950000000051</v>
      </c>
      <c r="K321" s="14">
        <f t="shared" si="17"/>
        <v>2.8947449460250172</v>
      </c>
      <c r="L321" s="14">
        <f t="shared" si="18"/>
        <v>1.6359567307692355</v>
      </c>
      <c r="M321" s="14">
        <f t="shared" si="19"/>
        <v>5</v>
      </c>
    </row>
    <row r="322" spans="1:13" x14ac:dyDescent="0.25">
      <c r="A322" s="14" t="s">
        <v>877</v>
      </c>
      <c r="B322" s="21"/>
      <c r="C322" s="16">
        <v>0.40625</v>
      </c>
      <c r="D322" s="17" t="s">
        <v>527</v>
      </c>
      <c r="E322" s="14">
        <v>18.835000000000001</v>
      </c>
      <c r="F322" s="14">
        <v>34</v>
      </c>
      <c r="G322" s="14">
        <v>57.9</v>
      </c>
      <c r="H322" s="18">
        <v>95</v>
      </c>
      <c r="I322" s="19">
        <v>94.427315000000007</v>
      </c>
      <c r="J322" s="12">
        <f t="shared" si="16"/>
        <v>0.57268499999999278</v>
      </c>
      <c r="K322" s="14">
        <f t="shared" si="17"/>
        <v>0.32796810922499176</v>
      </c>
      <c r="L322" s="14">
        <f t="shared" si="18"/>
        <v>0.60282631578946611</v>
      </c>
      <c r="M322" s="14">
        <f t="shared" si="19"/>
        <v>1</v>
      </c>
    </row>
    <row r="323" spans="1:13" x14ac:dyDescent="0.25">
      <c r="A323" s="14" t="s">
        <v>878</v>
      </c>
      <c r="B323" s="15" t="s">
        <v>879</v>
      </c>
      <c r="C323" s="16">
        <v>0.22916666666666671</v>
      </c>
      <c r="D323" s="17" t="s">
        <v>527</v>
      </c>
      <c r="E323" s="14">
        <v>22.809000000000001</v>
      </c>
      <c r="F323" s="14">
        <v>54</v>
      </c>
      <c r="G323" s="14">
        <v>60.4</v>
      </c>
      <c r="H323" s="18">
        <v>116</v>
      </c>
      <c r="I323" s="19">
        <v>113.856201</v>
      </c>
      <c r="J323" s="12">
        <f t="shared" ref="J323:J386" si="20">IF(OR(H323="",I323=""),"",ABS(H323-I323))</f>
        <v>2.1437990000000013</v>
      </c>
      <c r="K323" s="14">
        <f t="shared" ref="K323:K386" si="21">IF(OR(H323="",I323=""),"",(H323-I323)^2)</f>
        <v>4.5958741524010058</v>
      </c>
      <c r="L323" s="14">
        <f t="shared" ref="L323:L386" si="22">IF(OR(H323="",I323=""),"",IF(H323=0,"",ABS((H323-I323)/H323)*100))</f>
        <v>1.8481025862068976</v>
      </c>
      <c r="M323" s="14">
        <f t="shared" ref="M323:M386" si="23">MOD(ROW()-2,5)+1</f>
        <v>2</v>
      </c>
    </row>
    <row r="324" spans="1:13" x14ac:dyDescent="0.25">
      <c r="A324" s="14" t="s">
        <v>880</v>
      </c>
      <c r="B324" s="20"/>
      <c r="C324" s="16">
        <v>0.25</v>
      </c>
      <c r="D324" s="17" t="s">
        <v>527</v>
      </c>
      <c r="E324" s="14">
        <v>21.84</v>
      </c>
      <c r="F324" s="14">
        <v>42</v>
      </c>
      <c r="G324" s="14">
        <v>80.5</v>
      </c>
      <c r="H324" s="18">
        <v>110</v>
      </c>
      <c r="I324" s="19">
        <v>109.11875999999999</v>
      </c>
      <c r="J324" s="12">
        <f t="shared" si="20"/>
        <v>0.88124000000000535</v>
      </c>
      <c r="K324" s="14">
        <f t="shared" si="21"/>
        <v>0.77658393760000943</v>
      </c>
      <c r="L324" s="14">
        <f t="shared" si="22"/>
        <v>0.80112727272727768</v>
      </c>
      <c r="M324" s="14">
        <f t="shared" si="23"/>
        <v>3</v>
      </c>
    </row>
    <row r="325" spans="1:13" x14ac:dyDescent="0.25">
      <c r="A325" s="14" t="s">
        <v>881</v>
      </c>
      <c r="B325" s="20"/>
      <c r="C325" s="16">
        <v>0.27083333333333331</v>
      </c>
      <c r="D325" s="17" t="s">
        <v>527</v>
      </c>
      <c r="E325" s="14">
        <v>22.055</v>
      </c>
      <c r="F325" s="14">
        <v>44</v>
      </c>
      <c r="G325" s="14">
        <v>84.8</v>
      </c>
      <c r="H325" s="18">
        <v>111</v>
      </c>
      <c r="I325" s="19">
        <v>110.169895</v>
      </c>
      <c r="J325" s="12">
        <f t="shared" si="20"/>
        <v>0.8301050000000032</v>
      </c>
      <c r="K325" s="14">
        <f t="shared" si="21"/>
        <v>0.68907431102500527</v>
      </c>
      <c r="L325" s="14">
        <f t="shared" si="22"/>
        <v>0.74784234234234526</v>
      </c>
      <c r="M325" s="14">
        <f t="shared" si="23"/>
        <v>4</v>
      </c>
    </row>
    <row r="326" spans="1:13" x14ac:dyDescent="0.25">
      <c r="A326" s="14" t="s">
        <v>882</v>
      </c>
      <c r="B326" s="20"/>
      <c r="C326" s="16">
        <v>0.29166666666666669</v>
      </c>
      <c r="D326" s="17" t="s">
        <v>527</v>
      </c>
      <c r="E326" s="14">
        <v>14.634</v>
      </c>
      <c r="F326" s="14">
        <v>74</v>
      </c>
      <c r="G326" s="14">
        <v>67.599999999999994</v>
      </c>
      <c r="H326" s="18">
        <v>73</v>
      </c>
      <c r="I326" s="19">
        <v>73.888626000000002</v>
      </c>
      <c r="J326" s="12">
        <f t="shared" si="20"/>
        <v>0.88862600000000214</v>
      </c>
      <c r="K326" s="14">
        <f t="shared" si="21"/>
        <v>0.78965616787600379</v>
      </c>
      <c r="L326" s="14">
        <f t="shared" si="22"/>
        <v>1.2172958904109619</v>
      </c>
      <c r="M326" s="14">
        <f t="shared" si="23"/>
        <v>5</v>
      </c>
    </row>
    <row r="327" spans="1:13" x14ac:dyDescent="0.25">
      <c r="A327" s="14" t="s">
        <v>883</v>
      </c>
      <c r="B327" s="20"/>
      <c r="C327" s="16">
        <v>0.3125</v>
      </c>
      <c r="D327" s="17" t="s">
        <v>527</v>
      </c>
      <c r="E327" s="14">
        <v>20.425000000000001</v>
      </c>
      <c r="F327" s="14">
        <v>48</v>
      </c>
      <c r="G327" s="14">
        <v>75.900000000000006</v>
      </c>
      <c r="H327" s="18">
        <v>105</v>
      </c>
      <c r="I327" s="19">
        <v>102.20082499999999</v>
      </c>
      <c r="J327" s="12">
        <f t="shared" si="20"/>
        <v>2.7991750000000053</v>
      </c>
      <c r="K327" s="14">
        <f t="shared" si="21"/>
        <v>7.8353806806250299</v>
      </c>
      <c r="L327" s="14">
        <f t="shared" si="22"/>
        <v>2.6658809523809572</v>
      </c>
      <c r="M327" s="14">
        <f t="shared" si="23"/>
        <v>1</v>
      </c>
    </row>
    <row r="328" spans="1:13" x14ac:dyDescent="0.25">
      <c r="A328" s="14" t="s">
        <v>884</v>
      </c>
      <c r="B328" s="20"/>
      <c r="C328" s="16">
        <v>0.33333333333333331</v>
      </c>
      <c r="D328" s="17" t="s">
        <v>527</v>
      </c>
      <c r="E328" s="14">
        <v>19.684999999999999</v>
      </c>
      <c r="F328" s="14">
        <v>23</v>
      </c>
      <c r="G328" s="14">
        <v>61.4</v>
      </c>
      <c r="H328" s="18">
        <v>101</v>
      </c>
      <c r="I328" s="19">
        <v>98.582965000000002</v>
      </c>
      <c r="J328" s="12">
        <f t="shared" si="20"/>
        <v>2.4170349999999985</v>
      </c>
      <c r="K328" s="14">
        <f t="shared" si="21"/>
        <v>5.8420581912249929</v>
      </c>
      <c r="L328" s="14">
        <f t="shared" si="22"/>
        <v>2.3931039603960378</v>
      </c>
      <c r="M328" s="14">
        <f t="shared" si="23"/>
        <v>2</v>
      </c>
    </row>
    <row r="329" spans="1:13" x14ac:dyDescent="0.25">
      <c r="A329" s="14" t="s">
        <v>885</v>
      </c>
      <c r="B329" s="20"/>
      <c r="C329" s="16">
        <v>0.35416666666666669</v>
      </c>
      <c r="D329" s="17" t="s">
        <v>527</v>
      </c>
      <c r="E329" s="14">
        <v>20.728999999999999</v>
      </c>
      <c r="F329" s="14">
        <v>57</v>
      </c>
      <c r="G329" s="14">
        <v>80.099999999999994</v>
      </c>
      <c r="H329" s="18">
        <v>103</v>
      </c>
      <c r="I329" s="19">
        <v>103.68708100000001</v>
      </c>
      <c r="J329" s="12">
        <f t="shared" si="20"/>
        <v>0.68708100000000627</v>
      </c>
      <c r="K329" s="14">
        <f t="shared" si="21"/>
        <v>0.47208030056100864</v>
      </c>
      <c r="L329" s="14">
        <f t="shared" si="22"/>
        <v>0.6670689320388411</v>
      </c>
      <c r="M329" s="14">
        <f t="shared" si="23"/>
        <v>3</v>
      </c>
    </row>
    <row r="330" spans="1:13" x14ac:dyDescent="0.25">
      <c r="A330" s="14" t="s">
        <v>886</v>
      </c>
      <c r="B330" s="20"/>
      <c r="C330" s="16">
        <v>0.375</v>
      </c>
      <c r="D330" s="17" t="s">
        <v>527</v>
      </c>
      <c r="E330" s="14">
        <v>24.116</v>
      </c>
      <c r="F330" s="14">
        <v>29</v>
      </c>
      <c r="G330" s="14">
        <v>90.7</v>
      </c>
      <c r="H330" s="18">
        <v>122</v>
      </c>
      <c r="I330" s="19">
        <v>120.24612399999999</v>
      </c>
      <c r="J330" s="12">
        <f t="shared" si="20"/>
        <v>1.7538760000000053</v>
      </c>
      <c r="K330" s="14">
        <f t="shared" si="21"/>
        <v>3.0760810233760187</v>
      </c>
      <c r="L330" s="14">
        <f t="shared" si="22"/>
        <v>1.4376032786885289</v>
      </c>
      <c r="M330" s="14">
        <f t="shared" si="23"/>
        <v>4</v>
      </c>
    </row>
    <row r="331" spans="1:13" x14ac:dyDescent="0.25">
      <c r="A331" s="14" t="s">
        <v>887</v>
      </c>
      <c r="B331" s="20"/>
      <c r="C331" s="16">
        <v>0.39583333333333331</v>
      </c>
      <c r="D331" s="17" t="s">
        <v>527</v>
      </c>
      <c r="E331" s="14">
        <v>19.582999999999998</v>
      </c>
      <c r="F331" s="14">
        <v>70</v>
      </c>
      <c r="G331" s="14">
        <v>88.5</v>
      </c>
      <c r="H331" s="18">
        <v>96</v>
      </c>
      <c r="I331" s="19">
        <v>98.084287000000003</v>
      </c>
      <c r="J331" s="12">
        <f t="shared" si="20"/>
        <v>2.0842870000000033</v>
      </c>
      <c r="K331" s="14">
        <f t="shared" si="21"/>
        <v>4.3442522983690139</v>
      </c>
      <c r="L331" s="14">
        <f t="shared" si="22"/>
        <v>2.1711322916666704</v>
      </c>
      <c r="M331" s="14">
        <f t="shared" si="23"/>
        <v>5</v>
      </c>
    </row>
    <row r="332" spans="1:13" x14ac:dyDescent="0.25">
      <c r="A332" s="14" t="s">
        <v>888</v>
      </c>
      <c r="B332" s="21"/>
      <c r="C332" s="16">
        <v>0.40625</v>
      </c>
      <c r="D332" s="17" t="s">
        <v>527</v>
      </c>
      <c r="E332" s="14">
        <v>21.08</v>
      </c>
      <c r="F332" s="14">
        <v>27</v>
      </c>
      <c r="G332" s="14">
        <v>55.6</v>
      </c>
      <c r="H332" s="18">
        <v>105</v>
      </c>
      <c r="I332" s="19">
        <v>105.40312</v>
      </c>
      <c r="J332" s="12">
        <f t="shared" si="20"/>
        <v>0.40312000000000126</v>
      </c>
      <c r="K332" s="14">
        <f t="shared" si="21"/>
        <v>0.16250573440000102</v>
      </c>
      <c r="L332" s="14">
        <f t="shared" si="22"/>
        <v>0.38392380952381072</v>
      </c>
      <c r="M332" s="14">
        <f t="shared" si="23"/>
        <v>1</v>
      </c>
    </row>
    <row r="333" spans="1:13" x14ac:dyDescent="0.25">
      <c r="A333" s="14" t="s">
        <v>889</v>
      </c>
      <c r="B333" s="15" t="s">
        <v>890</v>
      </c>
      <c r="C333" s="16">
        <v>0.22916666666666671</v>
      </c>
      <c r="D333" s="17" t="s">
        <v>527</v>
      </c>
      <c r="E333" s="14">
        <v>20.815999999999999</v>
      </c>
      <c r="F333" s="14">
        <v>62</v>
      </c>
      <c r="G333" s="14">
        <v>94.1</v>
      </c>
      <c r="H333" s="18">
        <v>103</v>
      </c>
      <c r="I333" s="19">
        <v>104.112424</v>
      </c>
      <c r="J333" s="12">
        <f t="shared" si="20"/>
        <v>1.1124240000000043</v>
      </c>
      <c r="K333" s="14">
        <f t="shared" si="21"/>
        <v>1.2374871557760097</v>
      </c>
      <c r="L333" s="14">
        <f t="shared" si="22"/>
        <v>1.080023300970878</v>
      </c>
      <c r="M333" s="14">
        <f t="shared" si="23"/>
        <v>2</v>
      </c>
    </row>
    <row r="334" spans="1:13" x14ac:dyDescent="0.25">
      <c r="A334" s="14" t="s">
        <v>891</v>
      </c>
      <c r="B334" s="20"/>
      <c r="C334" s="16">
        <v>0.25</v>
      </c>
      <c r="D334" s="17" t="s">
        <v>527</v>
      </c>
      <c r="E334" s="14">
        <v>22.103000000000002</v>
      </c>
      <c r="F334" s="14">
        <v>34</v>
      </c>
      <c r="G334" s="14">
        <v>72.7</v>
      </c>
      <c r="H334" s="18">
        <v>108</v>
      </c>
      <c r="I334" s="19">
        <v>110.404567</v>
      </c>
      <c r="J334" s="12">
        <f t="shared" si="20"/>
        <v>2.4045670000000001</v>
      </c>
      <c r="K334" s="14">
        <f t="shared" si="21"/>
        <v>5.7819424574890004</v>
      </c>
      <c r="L334" s="14">
        <f t="shared" si="22"/>
        <v>2.226450925925926</v>
      </c>
      <c r="M334" s="14">
        <f t="shared" si="23"/>
        <v>3</v>
      </c>
    </row>
    <row r="335" spans="1:13" x14ac:dyDescent="0.25">
      <c r="A335" s="14" t="s">
        <v>892</v>
      </c>
      <c r="B335" s="20"/>
      <c r="C335" s="16">
        <v>0.27083333333333331</v>
      </c>
      <c r="D335" s="17" t="s">
        <v>527</v>
      </c>
      <c r="E335" s="14">
        <v>21.09</v>
      </c>
      <c r="F335" s="14">
        <v>43</v>
      </c>
      <c r="G335" s="14">
        <v>91.9</v>
      </c>
      <c r="H335" s="18">
        <v>106</v>
      </c>
      <c r="I335" s="19">
        <v>105.45201</v>
      </c>
      <c r="J335" s="12">
        <f t="shared" si="20"/>
        <v>0.54798999999999864</v>
      </c>
      <c r="K335" s="14">
        <f t="shared" si="21"/>
        <v>0.30029304009999852</v>
      </c>
      <c r="L335" s="14">
        <f t="shared" si="22"/>
        <v>0.5169716981132062</v>
      </c>
      <c r="M335" s="14">
        <f t="shared" si="23"/>
        <v>4</v>
      </c>
    </row>
    <row r="336" spans="1:13" x14ac:dyDescent="0.25">
      <c r="A336" s="14" t="s">
        <v>893</v>
      </c>
      <c r="B336" s="20"/>
      <c r="C336" s="16">
        <v>0.29166666666666669</v>
      </c>
      <c r="D336" s="17" t="s">
        <v>527</v>
      </c>
      <c r="E336" s="14">
        <v>22.795000000000002</v>
      </c>
      <c r="F336" s="14">
        <v>79</v>
      </c>
      <c r="G336" s="14">
        <v>56.9</v>
      </c>
      <c r="H336" s="18">
        <v>115</v>
      </c>
      <c r="I336" s="19">
        <v>113.787755</v>
      </c>
      <c r="J336" s="12">
        <f t="shared" si="20"/>
        <v>1.2122449999999958</v>
      </c>
      <c r="K336" s="14">
        <f t="shared" si="21"/>
        <v>1.4695379400249897</v>
      </c>
      <c r="L336" s="14">
        <f t="shared" si="22"/>
        <v>1.0541260869565181</v>
      </c>
      <c r="M336" s="14">
        <f t="shared" si="23"/>
        <v>5</v>
      </c>
    </row>
    <row r="337" spans="1:13" x14ac:dyDescent="0.25">
      <c r="A337" s="14" t="s">
        <v>894</v>
      </c>
      <c r="B337" s="20"/>
      <c r="C337" s="16">
        <v>0.3125</v>
      </c>
      <c r="D337" s="17" t="s">
        <v>527</v>
      </c>
      <c r="E337" s="14">
        <v>24.111000000000001</v>
      </c>
      <c r="F337" s="14">
        <v>63</v>
      </c>
      <c r="G337" s="14">
        <v>74</v>
      </c>
      <c r="H337" s="18">
        <v>119</v>
      </c>
      <c r="I337" s="19">
        <v>120.22167899999999</v>
      </c>
      <c r="J337" s="12">
        <f t="shared" si="20"/>
        <v>1.2216789999999946</v>
      </c>
      <c r="K337" s="14">
        <f t="shared" si="21"/>
        <v>1.492499579040987</v>
      </c>
      <c r="L337" s="14">
        <f t="shared" si="22"/>
        <v>1.0266210084033567</v>
      </c>
      <c r="M337" s="14">
        <f t="shared" si="23"/>
        <v>1</v>
      </c>
    </row>
    <row r="338" spans="1:13" x14ac:dyDescent="0.25">
      <c r="A338" s="14" t="s">
        <v>895</v>
      </c>
      <c r="B338" s="20"/>
      <c r="C338" s="16">
        <v>0.33333333333333331</v>
      </c>
      <c r="D338" s="17" t="s">
        <v>527</v>
      </c>
      <c r="E338" s="14">
        <v>20.782</v>
      </c>
      <c r="F338" s="14">
        <v>81</v>
      </c>
      <c r="G338" s="14">
        <v>91.3</v>
      </c>
      <c r="H338" s="18">
        <v>103</v>
      </c>
      <c r="I338" s="19">
        <v>103.946198</v>
      </c>
      <c r="J338" s="12">
        <f t="shared" si="20"/>
        <v>0.94619799999999543</v>
      </c>
      <c r="K338" s="14">
        <f t="shared" si="21"/>
        <v>0.89529065520399131</v>
      </c>
      <c r="L338" s="14">
        <f t="shared" si="22"/>
        <v>0.91863883495145182</v>
      </c>
      <c r="M338" s="14">
        <f t="shared" si="23"/>
        <v>2</v>
      </c>
    </row>
    <row r="339" spans="1:13" x14ac:dyDescent="0.25">
      <c r="A339" s="14" t="s">
        <v>896</v>
      </c>
      <c r="B339" s="20"/>
      <c r="C339" s="16">
        <v>0.35416666666666669</v>
      </c>
      <c r="D339" s="17" t="s">
        <v>527</v>
      </c>
      <c r="E339" s="14">
        <v>19.933</v>
      </c>
      <c r="F339" s="14">
        <v>24</v>
      </c>
      <c r="G339" s="14">
        <v>92.7</v>
      </c>
      <c r="H339" s="18">
        <v>100</v>
      </c>
      <c r="I339" s="19">
        <v>99.795437000000007</v>
      </c>
      <c r="J339" s="12">
        <f t="shared" si="20"/>
        <v>0.20456299999999317</v>
      </c>
      <c r="K339" s="14">
        <f t="shared" si="21"/>
        <v>4.1846020968997207E-2</v>
      </c>
      <c r="L339" s="14">
        <f t="shared" si="22"/>
        <v>0.20456299999999317</v>
      </c>
      <c r="M339" s="14">
        <f t="shared" si="23"/>
        <v>3</v>
      </c>
    </row>
    <row r="340" spans="1:13" x14ac:dyDescent="0.25">
      <c r="A340" s="14" t="s">
        <v>897</v>
      </c>
      <c r="B340" s="20"/>
      <c r="C340" s="16">
        <v>0.375</v>
      </c>
      <c r="D340" s="17" t="s">
        <v>527</v>
      </c>
      <c r="E340" s="14">
        <v>21.896000000000001</v>
      </c>
      <c r="F340" s="14">
        <v>71</v>
      </c>
      <c r="G340" s="14">
        <v>84</v>
      </c>
      <c r="H340" s="18">
        <v>107</v>
      </c>
      <c r="I340" s="19">
        <v>109.392544</v>
      </c>
      <c r="J340" s="12">
        <f t="shared" si="20"/>
        <v>2.3925440000000009</v>
      </c>
      <c r="K340" s="14">
        <f t="shared" si="21"/>
        <v>5.724266791936004</v>
      </c>
      <c r="L340" s="14">
        <f t="shared" si="22"/>
        <v>2.236022429906543</v>
      </c>
      <c r="M340" s="14">
        <f t="shared" si="23"/>
        <v>4</v>
      </c>
    </row>
    <row r="341" spans="1:13" x14ac:dyDescent="0.25">
      <c r="A341" s="14" t="s">
        <v>898</v>
      </c>
      <c r="B341" s="20"/>
      <c r="C341" s="16">
        <v>0.39583333333333331</v>
      </c>
      <c r="D341" s="17" t="s">
        <v>527</v>
      </c>
      <c r="E341" s="14">
        <v>22.324000000000002</v>
      </c>
      <c r="F341" s="14">
        <v>82</v>
      </c>
      <c r="G341" s="14">
        <v>76.900000000000006</v>
      </c>
      <c r="H341" s="18">
        <v>112</v>
      </c>
      <c r="I341" s="19">
        <v>111.48503599999999</v>
      </c>
      <c r="J341" s="12">
        <f t="shared" si="20"/>
        <v>0.51496400000000619</v>
      </c>
      <c r="K341" s="14">
        <f t="shared" si="21"/>
        <v>0.26518792129600638</v>
      </c>
      <c r="L341" s="14">
        <f t="shared" si="22"/>
        <v>0.45978928571429123</v>
      </c>
      <c r="M341" s="14">
        <f t="shared" si="23"/>
        <v>5</v>
      </c>
    </row>
    <row r="342" spans="1:13" x14ac:dyDescent="0.25">
      <c r="A342" s="14" t="s">
        <v>899</v>
      </c>
      <c r="B342" s="21"/>
      <c r="C342" s="16">
        <v>0.40625</v>
      </c>
      <c r="D342" s="17" t="s">
        <v>527</v>
      </c>
      <c r="E342" s="14">
        <v>22.411999999999999</v>
      </c>
      <c r="F342" s="14">
        <v>68</v>
      </c>
      <c r="G342" s="14">
        <v>87.7</v>
      </c>
      <c r="H342" s="18">
        <v>112</v>
      </c>
      <c r="I342" s="19">
        <v>111.915268</v>
      </c>
      <c r="J342" s="12">
        <f t="shared" si="20"/>
        <v>8.4732000000002472E-2</v>
      </c>
      <c r="K342" s="14">
        <f t="shared" si="21"/>
        <v>7.1795118240004186E-3</v>
      </c>
      <c r="L342" s="14">
        <f t="shared" si="22"/>
        <v>7.5653571428573638E-2</v>
      </c>
      <c r="M342" s="14">
        <f t="shared" si="23"/>
        <v>1</v>
      </c>
    </row>
    <row r="343" spans="1:13" x14ac:dyDescent="0.25">
      <c r="A343" s="14" t="s">
        <v>900</v>
      </c>
      <c r="B343" s="15" t="s">
        <v>901</v>
      </c>
      <c r="C343" s="16">
        <v>0.22916666666666671</v>
      </c>
      <c r="D343" s="17" t="s">
        <v>527</v>
      </c>
      <c r="E343" s="14">
        <v>23.608000000000001</v>
      </c>
      <c r="F343" s="14">
        <v>70</v>
      </c>
      <c r="G343" s="14">
        <v>85.3</v>
      </c>
      <c r="H343" s="18">
        <v>118</v>
      </c>
      <c r="I343" s="19">
        <v>117.762512</v>
      </c>
      <c r="J343" s="12">
        <f t="shared" si="20"/>
        <v>0.23748799999999903</v>
      </c>
      <c r="K343" s="14">
        <f t="shared" si="21"/>
        <v>5.6400550143999542E-2</v>
      </c>
      <c r="L343" s="14">
        <f t="shared" si="22"/>
        <v>0.20126101694915174</v>
      </c>
      <c r="M343" s="14">
        <f t="shared" si="23"/>
        <v>2</v>
      </c>
    </row>
    <row r="344" spans="1:13" x14ac:dyDescent="0.25">
      <c r="A344" s="14" t="s">
        <v>902</v>
      </c>
      <c r="B344" s="20"/>
      <c r="C344" s="16">
        <v>0.25</v>
      </c>
      <c r="D344" s="17" t="s">
        <v>527</v>
      </c>
      <c r="E344" s="14">
        <v>18.067</v>
      </c>
      <c r="F344" s="14">
        <v>53</v>
      </c>
      <c r="G344" s="14">
        <v>71.8</v>
      </c>
      <c r="H344" s="18">
        <v>92</v>
      </c>
      <c r="I344" s="19">
        <v>90.672563000000011</v>
      </c>
      <c r="J344" s="12">
        <f t="shared" si="20"/>
        <v>1.3274369999999891</v>
      </c>
      <c r="K344" s="14">
        <f t="shared" si="21"/>
        <v>1.762088988968971</v>
      </c>
      <c r="L344" s="14">
        <f t="shared" si="22"/>
        <v>1.4428663043478143</v>
      </c>
      <c r="M344" s="14">
        <f t="shared" si="23"/>
        <v>3</v>
      </c>
    </row>
    <row r="345" spans="1:13" x14ac:dyDescent="0.25">
      <c r="A345" s="14" t="s">
        <v>903</v>
      </c>
      <c r="B345" s="20"/>
      <c r="C345" s="16">
        <v>0.27083333333333331</v>
      </c>
      <c r="D345" s="17" t="s">
        <v>527</v>
      </c>
      <c r="E345" s="14">
        <v>24.428000000000001</v>
      </c>
      <c r="F345" s="14">
        <v>43</v>
      </c>
      <c r="G345" s="14">
        <v>66.2</v>
      </c>
      <c r="H345" s="18">
        <v>122</v>
      </c>
      <c r="I345" s="19">
        <v>121.77149199999999</v>
      </c>
      <c r="J345" s="12">
        <f t="shared" si="20"/>
        <v>0.22850800000000504</v>
      </c>
      <c r="K345" s="14">
        <f t="shared" si="21"/>
        <v>5.2215906064002303E-2</v>
      </c>
      <c r="L345" s="14">
        <f t="shared" si="22"/>
        <v>0.18730163934426641</v>
      </c>
      <c r="M345" s="14">
        <f t="shared" si="23"/>
        <v>4</v>
      </c>
    </row>
    <row r="346" spans="1:13" x14ac:dyDescent="0.25">
      <c r="A346" s="14" t="s">
        <v>904</v>
      </c>
      <c r="B346" s="20"/>
      <c r="C346" s="16">
        <v>0.29166666666666669</v>
      </c>
      <c r="D346" s="17" t="s">
        <v>527</v>
      </c>
      <c r="E346" s="14">
        <v>22.297999999999998</v>
      </c>
      <c r="F346" s="14">
        <v>46</v>
      </c>
      <c r="G346" s="14">
        <v>60.9</v>
      </c>
      <c r="H346" s="18">
        <v>109</v>
      </c>
      <c r="I346" s="19">
        <v>111.357922</v>
      </c>
      <c r="J346" s="12">
        <f t="shared" si="20"/>
        <v>2.3579220000000021</v>
      </c>
      <c r="K346" s="14">
        <f t="shared" si="21"/>
        <v>5.5597961580840094</v>
      </c>
      <c r="L346" s="14">
        <f t="shared" si="22"/>
        <v>2.1632311926605521</v>
      </c>
      <c r="M346" s="14">
        <f t="shared" si="23"/>
        <v>5</v>
      </c>
    </row>
    <row r="347" spans="1:13" x14ac:dyDescent="0.25">
      <c r="A347" s="14" t="s">
        <v>905</v>
      </c>
      <c r="B347" s="20"/>
      <c r="C347" s="16">
        <v>0.3125</v>
      </c>
      <c r="D347" s="17" t="s">
        <v>527</v>
      </c>
      <c r="E347" s="14">
        <v>19.359000000000002</v>
      </c>
      <c r="F347" s="14">
        <v>38</v>
      </c>
      <c r="G347" s="14">
        <v>61.3</v>
      </c>
      <c r="H347" s="18">
        <v>96</v>
      </c>
      <c r="I347" s="19">
        <v>96.989151000000021</v>
      </c>
      <c r="J347" s="12">
        <f t="shared" si="20"/>
        <v>0.98915100000002099</v>
      </c>
      <c r="K347" s="14">
        <f t="shared" si="21"/>
        <v>0.97841970080104157</v>
      </c>
      <c r="L347" s="14">
        <f t="shared" si="22"/>
        <v>1.0303656250000217</v>
      </c>
      <c r="M347" s="14">
        <f t="shared" si="23"/>
        <v>1</v>
      </c>
    </row>
    <row r="348" spans="1:13" x14ac:dyDescent="0.25">
      <c r="A348" s="14" t="s">
        <v>906</v>
      </c>
      <c r="B348" s="20"/>
      <c r="C348" s="16">
        <v>0.33333333333333331</v>
      </c>
      <c r="D348" s="17" t="s">
        <v>527</v>
      </c>
      <c r="E348" s="14">
        <v>20.411000000000001</v>
      </c>
      <c r="F348" s="14">
        <v>28</v>
      </c>
      <c r="G348" s="14">
        <v>56.7</v>
      </c>
      <c r="H348" s="18">
        <v>102</v>
      </c>
      <c r="I348" s="19">
        <v>102.132379</v>
      </c>
      <c r="J348" s="12">
        <f t="shared" si="20"/>
        <v>0.13237900000000025</v>
      </c>
      <c r="K348" s="14">
        <f t="shared" si="21"/>
        <v>1.7524199641000066E-2</v>
      </c>
      <c r="L348" s="14">
        <f t="shared" si="22"/>
        <v>0.12978333333333358</v>
      </c>
      <c r="M348" s="14">
        <f t="shared" si="23"/>
        <v>2</v>
      </c>
    </row>
    <row r="349" spans="1:13" x14ac:dyDescent="0.25">
      <c r="A349" s="14" t="s">
        <v>907</v>
      </c>
      <c r="B349" s="20"/>
      <c r="C349" s="16">
        <v>0.35416666666666669</v>
      </c>
      <c r="D349" s="17" t="s">
        <v>527</v>
      </c>
      <c r="E349" s="14">
        <v>21.341999999999999</v>
      </c>
      <c r="F349" s="14">
        <v>57</v>
      </c>
      <c r="G349" s="14">
        <v>68.2</v>
      </c>
      <c r="H349" s="18">
        <v>107</v>
      </c>
      <c r="I349" s="19">
        <v>106.684038</v>
      </c>
      <c r="J349" s="12">
        <f t="shared" si="20"/>
        <v>0.31596199999999897</v>
      </c>
      <c r="K349" s="14">
        <f t="shared" si="21"/>
        <v>9.9831985443999349E-2</v>
      </c>
      <c r="L349" s="14">
        <f t="shared" si="22"/>
        <v>0.29529158878504574</v>
      </c>
      <c r="M349" s="14">
        <f t="shared" si="23"/>
        <v>3</v>
      </c>
    </row>
    <row r="350" spans="1:13" x14ac:dyDescent="0.25">
      <c r="A350" s="14" t="s">
        <v>908</v>
      </c>
      <c r="B350" s="20"/>
      <c r="C350" s="16">
        <v>0.375</v>
      </c>
      <c r="D350" s="17" t="s">
        <v>527</v>
      </c>
      <c r="E350" s="14">
        <v>21.718</v>
      </c>
      <c r="F350" s="14">
        <v>28</v>
      </c>
      <c r="G350" s="14">
        <v>75.400000000000006</v>
      </c>
      <c r="H350" s="18">
        <v>108</v>
      </c>
      <c r="I350" s="19">
        <v>108.522302</v>
      </c>
      <c r="J350" s="12">
        <f t="shared" si="20"/>
        <v>0.52230199999999627</v>
      </c>
      <c r="K350" s="14">
        <f t="shared" si="21"/>
        <v>0.27279937920399611</v>
      </c>
      <c r="L350" s="14">
        <f t="shared" si="22"/>
        <v>0.48361296296295947</v>
      </c>
      <c r="M350" s="14">
        <f t="shared" si="23"/>
        <v>4</v>
      </c>
    </row>
    <row r="351" spans="1:13" x14ac:dyDescent="0.25">
      <c r="A351" s="14" t="s">
        <v>909</v>
      </c>
      <c r="B351" s="20"/>
      <c r="C351" s="16">
        <v>0.39583333333333331</v>
      </c>
      <c r="D351" s="17" t="s">
        <v>527</v>
      </c>
      <c r="E351" s="14">
        <v>22.667000000000002</v>
      </c>
      <c r="F351" s="14">
        <v>53</v>
      </c>
      <c r="G351" s="14">
        <v>88</v>
      </c>
      <c r="H351" s="18">
        <v>112</v>
      </c>
      <c r="I351" s="19">
        <v>113.161963</v>
      </c>
      <c r="J351" s="12">
        <f t="shared" si="20"/>
        <v>1.1619630000000001</v>
      </c>
      <c r="K351" s="14">
        <f t="shared" si="21"/>
        <v>1.3501580133690001</v>
      </c>
      <c r="L351" s="14">
        <f t="shared" si="22"/>
        <v>1.0374669642857144</v>
      </c>
      <c r="M351" s="14">
        <f t="shared" si="23"/>
        <v>5</v>
      </c>
    </row>
    <row r="352" spans="1:13" x14ac:dyDescent="0.25">
      <c r="A352" s="14" t="s">
        <v>910</v>
      </c>
      <c r="B352" s="21"/>
      <c r="C352" s="16">
        <v>0.40625</v>
      </c>
      <c r="D352" s="17" t="s">
        <v>527</v>
      </c>
      <c r="E352" s="14">
        <v>23.216999999999999</v>
      </c>
      <c r="F352" s="14">
        <v>76</v>
      </c>
      <c r="G352" s="14">
        <v>73.2</v>
      </c>
      <c r="H352" s="18">
        <v>115</v>
      </c>
      <c r="I352" s="19">
        <v>115.85091300000001</v>
      </c>
      <c r="J352" s="12">
        <f t="shared" si="20"/>
        <v>0.85091300000000558</v>
      </c>
      <c r="K352" s="14">
        <f t="shared" si="21"/>
        <v>0.72405293356900946</v>
      </c>
      <c r="L352" s="14">
        <f t="shared" si="22"/>
        <v>0.73992434782609184</v>
      </c>
      <c r="M352" s="14">
        <f t="shared" si="23"/>
        <v>1</v>
      </c>
    </row>
    <row r="353" spans="1:13" x14ac:dyDescent="0.25">
      <c r="A353" s="14" t="s">
        <v>911</v>
      </c>
      <c r="B353" s="15" t="s">
        <v>912</v>
      </c>
      <c r="C353" s="16">
        <v>0.22916666666666671</v>
      </c>
      <c r="D353" s="17" t="s">
        <v>527</v>
      </c>
      <c r="E353" s="14">
        <v>21.882000000000001</v>
      </c>
      <c r="F353" s="14">
        <v>56</v>
      </c>
      <c r="G353" s="14">
        <v>62.2</v>
      </c>
      <c r="H353" s="18">
        <v>110</v>
      </c>
      <c r="I353" s="19">
        <v>109.32409800000001</v>
      </c>
      <c r="J353" s="12">
        <f t="shared" si="20"/>
        <v>0.67590199999999356</v>
      </c>
      <c r="K353" s="14">
        <f t="shared" si="21"/>
        <v>0.45684351360399128</v>
      </c>
      <c r="L353" s="14">
        <f t="shared" si="22"/>
        <v>0.61445636363635781</v>
      </c>
      <c r="M353" s="14">
        <f t="shared" si="23"/>
        <v>2</v>
      </c>
    </row>
    <row r="354" spans="1:13" x14ac:dyDescent="0.25">
      <c r="A354" s="14" t="s">
        <v>913</v>
      </c>
      <c r="B354" s="20"/>
      <c r="C354" s="16">
        <v>0.25</v>
      </c>
      <c r="D354" s="17" t="s">
        <v>527</v>
      </c>
      <c r="E354" s="14">
        <v>24.315999999999999</v>
      </c>
      <c r="F354" s="14">
        <v>71</v>
      </c>
      <c r="G354" s="14">
        <v>70.599999999999994</v>
      </c>
      <c r="H354" s="18">
        <v>121</v>
      </c>
      <c r="I354" s="19">
        <v>121.223924</v>
      </c>
      <c r="J354" s="12">
        <f t="shared" si="20"/>
        <v>0.22392399999999668</v>
      </c>
      <c r="K354" s="14">
        <f t="shared" si="21"/>
        <v>5.0141957775998516E-2</v>
      </c>
      <c r="L354" s="14">
        <f t="shared" si="22"/>
        <v>0.18506115702479065</v>
      </c>
      <c r="M354" s="14">
        <f t="shared" si="23"/>
        <v>3</v>
      </c>
    </row>
    <row r="355" spans="1:13" x14ac:dyDescent="0.25">
      <c r="A355" s="14" t="s">
        <v>914</v>
      </c>
      <c r="B355" s="20"/>
      <c r="C355" s="16">
        <v>0.27083333333333331</v>
      </c>
      <c r="D355" s="17" t="s">
        <v>527</v>
      </c>
      <c r="E355" s="14">
        <v>19.170999999999999</v>
      </c>
      <c r="F355" s="14">
        <v>72</v>
      </c>
      <c r="G355" s="14">
        <v>90.3</v>
      </c>
      <c r="H355" s="18">
        <v>95</v>
      </c>
      <c r="I355" s="19">
        <v>96.070019000000002</v>
      </c>
      <c r="J355" s="12">
        <f t="shared" si="20"/>
        <v>1.0700190000000021</v>
      </c>
      <c r="K355" s="14">
        <f t="shared" si="21"/>
        <v>1.1449406603610044</v>
      </c>
      <c r="L355" s="14">
        <f t="shared" si="22"/>
        <v>1.1263357894736865</v>
      </c>
      <c r="M355" s="14">
        <f t="shared" si="23"/>
        <v>4</v>
      </c>
    </row>
    <row r="356" spans="1:13" x14ac:dyDescent="0.25">
      <c r="A356" s="14" t="s">
        <v>915</v>
      </c>
      <c r="B356" s="20"/>
      <c r="C356" s="16">
        <v>0.29166666666666669</v>
      </c>
      <c r="D356" s="17" t="s">
        <v>527</v>
      </c>
      <c r="E356" s="14">
        <v>20.841000000000001</v>
      </c>
      <c r="F356" s="14">
        <v>41</v>
      </c>
      <c r="G356" s="14">
        <v>85.7</v>
      </c>
      <c r="H356" s="18">
        <v>106</v>
      </c>
      <c r="I356" s="19">
        <v>104.234649</v>
      </c>
      <c r="J356" s="12">
        <f t="shared" si="20"/>
        <v>1.7653509999999955</v>
      </c>
      <c r="K356" s="14">
        <f t="shared" si="21"/>
        <v>3.116464153200984</v>
      </c>
      <c r="L356" s="14">
        <f t="shared" si="22"/>
        <v>1.665425471698109</v>
      </c>
      <c r="M356" s="14">
        <f t="shared" si="23"/>
        <v>5</v>
      </c>
    </row>
    <row r="357" spans="1:13" x14ac:dyDescent="0.25">
      <c r="A357" s="14" t="s">
        <v>916</v>
      </c>
      <c r="B357" s="20"/>
      <c r="C357" s="16">
        <v>0.3125</v>
      </c>
      <c r="D357" s="17" t="s">
        <v>527</v>
      </c>
      <c r="E357" s="14">
        <v>24.06</v>
      </c>
      <c r="F357" s="14">
        <v>39</v>
      </c>
      <c r="G357" s="14">
        <v>92.6</v>
      </c>
      <c r="H357" s="18">
        <v>120</v>
      </c>
      <c r="I357" s="19">
        <v>119.97234</v>
      </c>
      <c r="J357" s="12">
        <f t="shared" si="20"/>
        <v>2.7659999999997353E-2</v>
      </c>
      <c r="K357" s="14">
        <f t="shared" si="21"/>
        <v>7.6507559999985356E-4</v>
      </c>
      <c r="L357" s="14">
        <f t="shared" si="22"/>
        <v>2.3049999999997794E-2</v>
      </c>
      <c r="M357" s="14">
        <f t="shared" si="23"/>
        <v>1</v>
      </c>
    </row>
    <row r="358" spans="1:13" x14ac:dyDescent="0.25">
      <c r="A358" s="14" t="s">
        <v>917</v>
      </c>
      <c r="B358" s="20"/>
      <c r="C358" s="16">
        <v>0.33333333333333331</v>
      </c>
      <c r="D358" s="17" t="s">
        <v>527</v>
      </c>
      <c r="E358" s="14">
        <v>23.03</v>
      </c>
      <c r="F358" s="14">
        <v>73</v>
      </c>
      <c r="G358" s="14">
        <v>57</v>
      </c>
      <c r="H358" s="18">
        <v>119</v>
      </c>
      <c r="I358" s="19">
        <v>114.93667000000001</v>
      </c>
      <c r="J358" s="12">
        <f t="shared" si="20"/>
        <v>4.0633299999999934</v>
      </c>
      <c r="K358" s="14">
        <f t="shared" si="21"/>
        <v>16.510650688899947</v>
      </c>
      <c r="L358" s="14">
        <f t="shared" si="22"/>
        <v>3.4145630252100787</v>
      </c>
      <c r="M358" s="14">
        <f t="shared" si="23"/>
        <v>2</v>
      </c>
    </row>
    <row r="359" spans="1:13" x14ac:dyDescent="0.25">
      <c r="A359" s="14" t="s">
        <v>918</v>
      </c>
      <c r="B359" s="20"/>
      <c r="C359" s="16">
        <v>0.35416666666666669</v>
      </c>
      <c r="D359" s="17" t="s">
        <v>527</v>
      </c>
      <c r="E359" s="14">
        <v>26.771999999999998</v>
      </c>
      <c r="F359" s="14">
        <v>50</v>
      </c>
      <c r="G359" s="14">
        <v>81.5</v>
      </c>
      <c r="H359" s="18">
        <v>133</v>
      </c>
      <c r="I359" s="19">
        <v>133.23130800000001</v>
      </c>
      <c r="J359" s="12">
        <f t="shared" si="20"/>
        <v>0.23130800000001273</v>
      </c>
      <c r="K359" s="14">
        <f t="shared" si="21"/>
        <v>5.3503390864005886E-2</v>
      </c>
      <c r="L359" s="14">
        <f t="shared" si="22"/>
        <v>0.17391578947369379</v>
      </c>
      <c r="M359" s="14">
        <f t="shared" si="23"/>
        <v>3</v>
      </c>
    </row>
    <row r="360" spans="1:13" x14ac:dyDescent="0.25">
      <c r="A360" s="14" t="s">
        <v>919</v>
      </c>
      <c r="B360" s="20"/>
      <c r="C360" s="16">
        <v>0.375</v>
      </c>
      <c r="D360" s="17" t="s">
        <v>527</v>
      </c>
      <c r="E360" s="14">
        <v>21.635000000000002</v>
      </c>
      <c r="F360" s="14">
        <v>53</v>
      </c>
      <c r="G360" s="14">
        <v>82.9</v>
      </c>
      <c r="H360" s="18">
        <v>107</v>
      </c>
      <c r="I360" s="19">
        <v>108.11651500000001</v>
      </c>
      <c r="J360" s="12">
        <f t="shared" si="20"/>
        <v>1.1165150000000068</v>
      </c>
      <c r="K360" s="14">
        <f t="shared" si="21"/>
        <v>1.2466057452250152</v>
      </c>
      <c r="L360" s="14">
        <f t="shared" si="22"/>
        <v>1.0434719626168287</v>
      </c>
      <c r="M360" s="14">
        <f t="shared" si="23"/>
        <v>4</v>
      </c>
    </row>
    <row r="361" spans="1:13" x14ac:dyDescent="0.25">
      <c r="A361" s="14" t="s">
        <v>920</v>
      </c>
      <c r="B361" s="20"/>
      <c r="C361" s="16">
        <v>0.39583333333333331</v>
      </c>
      <c r="D361" s="17" t="s">
        <v>527</v>
      </c>
      <c r="E361" s="14">
        <v>22.265999999999998</v>
      </c>
      <c r="F361" s="14">
        <v>37</v>
      </c>
      <c r="G361" s="14">
        <v>92.4</v>
      </c>
      <c r="H361" s="18">
        <v>110</v>
      </c>
      <c r="I361" s="19">
        <v>111.201474</v>
      </c>
      <c r="J361" s="12">
        <f t="shared" si="20"/>
        <v>1.2014740000000046</v>
      </c>
      <c r="K361" s="14">
        <f t="shared" si="21"/>
        <v>1.4435397726760111</v>
      </c>
      <c r="L361" s="14">
        <f t="shared" si="22"/>
        <v>1.0922490909090949</v>
      </c>
      <c r="M361" s="14">
        <f t="shared" si="23"/>
        <v>5</v>
      </c>
    </row>
    <row r="362" spans="1:13" x14ac:dyDescent="0.25">
      <c r="A362" s="14" t="s">
        <v>921</v>
      </c>
      <c r="B362" s="21"/>
      <c r="C362" s="16">
        <v>0.40625</v>
      </c>
      <c r="D362" s="17" t="s">
        <v>527</v>
      </c>
      <c r="E362" s="14">
        <v>19.459</v>
      </c>
      <c r="F362" s="14">
        <v>79</v>
      </c>
      <c r="G362" s="14">
        <v>55.6</v>
      </c>
      <c r="H362" s="18">
        <v>98</v>
      </c>
      <c r="I362" s="19">
        <v>97.478051000000008</v>
      </c>
      <c r="J362" s="12">
        <f t="shared" si="20"/>
        <v>0.52194899999999222</v>
      </c>
      <c r="K362" s="14">
        <f t="shared" si="21"/>
        <v>0.27243075860099186</v>
      </c>
      <c r="L362" s="14">
        <f t="shared" si="22"/>
        <v>0.53260102040815538</v>
      </c>
      <c r="M362" s="14">
        <f t="shared" si="23"/>
        <v>1</v>
      </c>
    </row>
    <row r="363" spans="1:13" x14ac:dyDescent="0.25">
      <c r="A363" s="14" t="s">
        <v>922</v>
      </c>
      <c r="B363" s="15" t="s">
        <v>923</v>
      </c>
      <c r="C363" s="16">
        <v>0.22916666666666671</v>
      </c>
      <c r="D363" s="17" t="s">
        <v>527</v>
      </c>
      <c r="E363" s="14">
        <v>18.71</v>
      </c>
      <c r="F363" s="14">
        <v>43</v>
      </c>
      <c r="G363" s="14">
        <v>80.900000000000006</v>
      </c>
      <c r="H363" s="18">
        <v>93</v>
      </c>
      <c r="I363" s="19">
        <v>93.816190000000006</v>
      </c>
      <c r="J363" s="12">
        <f t="shared" si="20"/>
        <v>0.81619000000000597</v>
      </c>
      <c r="K363" s="14">
        <f t="shared" si="21"/>
        <v>0.66616611610000975</v>
      </c>
      <c r="L363" s="14">
        <f t="shared" si="22"/>
        <v>0.87762365591398483</v>
      </c>
      <c r="M363" s="14">
        <f t="shared" si="23"/>
        <v>2</v>
      </c>
    </row>
    <row r="364" spans="1:13" x14ac:dyDescent="0.25">
      <c r="A364" s="14" t="s">
        <v>924</v>
      </c>
      <c r="B364" s="20"/>
      <c r="C364" s="16">
        <v>0.25</v>
      </c>
      <c r="D364" s="17" t="s">
        <v>527</v>
      </c>
      <c r="E364" s="14">
        <v>18.306999999999999</v>
      </c>
      <c r="F364" s="14">
        <v>83</v>
      </c>
      <c r="G364" s="14">
        <v>75.599999999999994</v>
      </c>
      <c r="H364" s="18">
        <v>89</v>
      </c>
      <c r="I364" s="19">
        <v>91.845922999999999</v>
      </c>
      <c r="J364" s="12">
        <f t="shared" si="20"/>
        <v>2.8459229999999991</v>
      </c>
      <c r="K364" s="14">
        <f t="shared" si="21"/>
        <v>8.0992777219289955</v>
      </c>
      <c r="L364" s="14">
        <f t="shared" si="22"/>
        <v>3.1976662921348304</v>
      </c>
      <c r="M364" s="14">
        <f t="shared" si="23"/>
        <v>3</v>
      </c>
    </row>
    <row r="365" spans="1:13" x14ac:dyDescent="0.25">
      <c r="A365" s="14" t="s">
        <v>925</v>
      </c>
      <c r="B365" s="20"/>
      <c r="C365" s="16">
        <v>0.27083333333333331</v>
      </c>
      <c r="D365" s="17" t="s">
        <v>527</v>
      </c>
      <c r="E365" s="14">
        <v>19.303999999999998</v>
      </c>
      <c r="F365" s="14">
        <v>57</v>
      </c>
      <c r="G365" s="14">
        <v>86.3</v>
      </c>
      <c r="H365" s="18">
        <v>94</v>
      </c>
      <c r="I365" s="19">
        <v>96.720256000000006</v>
      </c>
      <c r="J365" s="12">
        <f t="shared" si="20"/>
        <v>2.7202560000000062</v>
      </c>
      <c r="K365" s="14">
        <f t="shared" si="21"/>
        <v>7.3997927055360337</v>
      </c>
      <c r="L365" s="14">
        <f t="shared" si="22"/>
        <v>2.8938893617021346</v>
      </c>
      <c r="M365" s="14">
        <f t="shared" si="23"/>
        <v>4</v>
      </c>
    </row>
    <row r="366" spans="1:13" x14ac:dyDescent="0.25">
      <c r="A366" s="14" t="s">
        <v>926</v>
      </c>
      <c r="B366" s="20"/>
      <c r="C366" s="16">
        <v>0.29166666666666669</v>
      </c>
      <c r="D366" s="17" t="s">
        <v>527</v>
      </c>
      <c r="E366" s="14">
        <v>23.39</v>
      </c>
      <c r="F366" s="14">
        <v>34</v>
      </c>
      <c r="G366" s="14">
        <v>67.900000000000006</v>
      </c>
      <c r="H366" s="18">
        <v>117</v>
      </c>
      <c r="I366" s="19">
        <v>116.69671</v>
      </c>
      <c r="J366" s="12">
        <f t="shared" si="20"/>
        <v>0.30329000000000406</v>
      </c>
      <c r="K366" s="14">
        <f t="shared" si="21"/>
        <v>9.1984824100002457E-2</v>
      </c>
      <c r="L366" s="14">
        <f t="shared" si="22"/>
        <v>0.25922222222222568</v>
      </c>
      <c r="M366" s="14">
        <f t="shared" si="23"/>
        <v>5</v>
      </c>
    </row>
    <row r="367" spans="1:13" x14ac:dyDescent="0.25">
      <c r="A367" s="14" t="s">
        <v>927</v>
      </c>
      <c r="B367" s="20"/>
      <c r="C367" s="16">
        <v>0.3125</v>
      </c>
      <c r="D367" s="17" t="s">
        <v>527</v>
      </c>
      <c r="E367" s="14">
        <v>18.649999999999999</v>
      </c>
      <c r="F367" s="14">
        <v>63</v>
      </c>
      <c r="G367" s="14">
        <v>93.3</v>
      </c>
      <c r="H367" s="18">
        <v>93</v>
      </c>
      <c r="I367" s="19">
        <v>93.522850000000005</v>
      </c>
      <c r="J367" s="12">
        <f t="shared" si="20"/>
        <v>0.52285000000000537</v>
      </c>
      <c r="K367" s="14">
        <f t="shared" si="21"/>
        <v>0.27337212250000559</v>
      </c>
      <c r="L367" s="14">
        <f t="shared" si="22"/>
        <v>0.56220430107527464</v>
      </c>
      <c r="M367" s="14">
        <f t="shared" si="23"/>
        <v>1</v>
      </c>
    </row>
    <row r="368" spans="1:13" x14ac:dyDescent="0.25">
      <c r="A368" s="14" t="s">
        <v>928</v>
      </c>
      <c r="B368" s="20"/>
      <c r="C368" s="16">
        <v>0.33333333333333331</v>
      </c>
      <c r="D368" s="17" t="s">
        <v>527</v>
      </c>
      <c r="E368" s="14">
        <v>20.396000000000001</v>
      </c>
      <c r="F368" s="14">
        <v>78</v>
      </c>
      <c r="G368" s="14">
        <v>81.099999999999994</v>
      </c>
      <c r="H368" s="18">
        <v>100</v>
      </c>
      <c r="I368" s="19">
        <v>102.059044</v>
      </c>
      <c r="J368" s="12">
        <f t="shared" si="20"/>
        <v>2.0590440000000001</v>
      </c>
      <c r="K368" s="14">
        <f t="shared" si="21"/>
        <v>4.2396621939360006</v>
      </c>
      <c r="L368" s="14">
        <f t="shared" si="22"/>
        <v>2.0590440000000001</v>
      </c>
      <c r="M368" s="14">
        <f t="shared" si="23"/>
        <v>2</v>
      </c>
    </row>
    <row r="369" spans="1:13" x14ac:dyDescent="0.25">
      <c r="A369" s="14" t="s">
        <v>929</v>
      </c>
      <c r="B369" s="20"/>
      <c r="C369" s="16">
        <v>0.35416666666666669</v>
      </c>
      <c r="D369" s="17" t="s">
        <v>527</v>
      </c>
      <c r="E369" s="14">
        <v>24.065000000000001</v>
      </c>
      <c r="F369" s="14">
        <v>60</v>
      </c>
      <c r="G369" s="14">
        <v>65.2</v>
      </c>
      <c r="H369" s="18">
        <v>123</v>
      </c>
      <c r="I369" s="19">
        <v>119.996785</v>
      </c>
      <c r="J369" s="12">
        <f t="shared" si="20"/>
        <v>3.0032149999999973</v>
      </c>
      <c r="K369" s="14">
        <f t="shared" si="21"/>
        <v>9.0193003362249833</v>
      </c>
      <c r="L369" s="14">
        <f t="shared" si="22"/>
        <v>2.4416382113821116</v>
      </c>
      <c r="M369" s="14">
        <f t="shared" si="23"/>
        <v>3</v>
      </c>
    </row>
    <row r="370" spans="1:13" x14ac:dyDescent="0.25">
      <c r="A370" s="14" t="s">
        <v>930</v>
      </c>
      <c r="B370" s="20"/>
      <c r="C370" s="16">
        <v>0.375</v>
      </c>
      <c r="D370" s="17" t="s">
        <v>527</v>
      </c>
      <c r="E370" s="14">
        <v>22.885000000000002</v>
      </c>
      <c r="F370" s="14">
        <v>59</v>
      </c>
      <c r="G370" s="14">
        <v>63.7</v>
      </c>
      <c r="H370" s="18">
        <v>115</v>
      </c>
      <c r="I370" s="19">
        <v>114.22776500000001</v>
      </c>
      <c r="J370" s="12">
        <f t="shared" si="20"/>
        <v>0.7722349999999949</v>
      </c>
      <c r="K370" s="14">
        <f t="shared" si="21"/>
        <v>0.59634689522499207</v>
      </c>
      <c r="L370" s="14">
        <f t="shared" si="22"/>
        <v>0.67150869565216942</v>
      </c>
      <c r="M370" s="14">
        <f t="shared" si="23"/>
        <v>4</v>
      </c>
    </row>
    <row r="371" spans="1:13" x14ac:dyDescent="0.25">
      <c r="A371" s="14" t="s">
        <v>931</v>
      </c>
      <c r="B371" s="20"/>
      <c r="C371" s="16">
        <v>0.39583333333333331</v>
      </c>
      <c r="D371" s="17" t="s">
        <v>527</v>
      </c>
      <c r="E371" s="14">
        <v>22.876000000000001</v>
      </c>
      <c r="F371" s="14">
        <v>42</v>
      </c>
      <c r="G371" s="14">
        <v>68.3</v>
      </c>
      <c r="H371" s="18">
        <v>112</v>
      </c>
      <c r="I371" s="19">
        <v>114.183764</v>
      </c>
      <c r="J371" s="12">
        <f t="shared" si="20"/>
        <v>2.1837639999999965</v>
      </c>
      <c r="K371" s="14">
        <f t="shared" si="21"/>
        <v>4.7688252076959845</v>
      </c>
      <c r="L371" s="14">
        <f t="shared" si="22"/>
        <v>1.9497892857142824</v>
      </c>
      <c r="M371" s="14">
        <f t="shared" si="23"/>
        <v>5</v>
      </c>
    </row>
    <row r="372" spans="1:13" x14ac:dyDescent="0.25">
      <c r="A372" s="14" t="s">
        <v>932</v>
      </c>
      <c r="B372" s="21"/>
      <c r="C372" s="16">
        <v>0.40625</v>
      </c>
      <c r="D372" s="17" t="s">
        <v>527</v>
      </c>
      <c r="E372" s="14">
        <v>19.347000000000001</v>
      </c>
      <c r="F372" s="14">
        <v>56</v>
      </c>
      <c r="G372" s="14">
        <v>57.3</v>
      </c>
      <c r="H372" s="18">
        <v>95</v>
      </c>
      <c r="I372" s="19">
        <v>96.930483000000009</v>
      </c>
      <c r="J372" s="12">
        <f t="shared" si="20"/>
        <v>1.9304830000000095</v>
      </c>
      <c r="K372" s="14">
        <f t="shared" si="21"/>
        <v>3.7267646132890366</v>
      </c>
      <c r="L372" s="14">
        <f t="shared" si="22"/>
        <v>2.0320873684210627</v>
      </c>
      <c r="M372" s="14">
        <f t="shared" si="23"/>
        <v>1</v>
      </c>
    </row>
    <row r="373" spans="1:13" x14ac:dyDescent="0.25">
      <c r="A373" s="14" t="s">
        <v>933</v>
      </c>
      <c r="B373" s="15" t="s">
        <v>934</v>
      </c>
      <c r="C373" s="16">
        <v>0.22916666666666671</v>
      </c>
      <c r="D373" s="17" t="s">
        <v>527</v>
      </c>
      <c r="E373" s="14">
        <v>19.731999999999999</v>
      </c>
      <c r="F373" s="14">
        <v>52</v>
      </c>
      <c r="G373" s="14">
        <v>63.4</v>
      </c>
      <c r="H373" s="18">
        <v>98</v>
      </c>
      <c r="I373" s="19">
        <v>98.812747999999999</v>
      </c>
      <c r="J373" s="12">
        <f t="shared" si="20"/>
        <v>0.81274799999999914</v>
      </c>
      <c r="K373" s="14">
        <f t="shared" si="21"/>
        <v>0.6605593115039986</v>
      </c>
      <c r="L373" s="14">
        <f t="shared" si="22"/>
        <v>0.82933469387755021</v>
      </c>
      <c r="M373" s="14">
        <f t="shared" si="23"/>
        <v>2</v>
      </c>
    </row>
    <row r="374" spans="1:13" x14ac:dyDescent="0.25">
      <c r="A374" s="14" t="s">
        <v>935</v>
      </c>
      <c r="B374" s="20"/>
      <c r="C374" s="16">
        <v>0.25</v>
      </c>
      <c r="D374" s="17" t="s">
        <v>527</v>
      </c>
      <c r="E374" s="14">
        <v>21.263999999999999</v>
      </c>
      <c r="F374" s="14">
        <v>20</v>
      </c>
      <c r="G374" s="14">
        <v>56.6</v>
      </c>
      <c r="H374" s="18">
        <v>109</v>
      </c>
      <c r="I374" s="19">
        <v>106.302696</v>
      </c>
      <c r="J374" s="12">
        <f t="shared" si="20"/>
        <v>2.6973040000000026</v>
      </c>
      <c r="K374" s="14">
        <f t="shared" si="21"/>
        <v>7.2754488684160137</v>
      </c>
      <c r="L374" s="14">
        <f t="shared" si="22"/>
        <v>2.4745908256880758</v>
      </c>
      <c r="M374" s="14">
        <f t="shared" si="23"/>
        <v>3</v>
      </c>
    </row>
    <row r="375" spans="1:13" x14ac:dyDescent="0.25">
      <c r="A375" s="14" t="s">
        <v>936</v>
      </c>
      <c r="B375" s="20"/>
      <c r="C375" s="16">
        <v>0.27083333333333331</v>
      </c>
      <c r="D375" s="17" t="s">
        <v>527</v>
      </c>
      <c r="E375" s="14">
        <v>22.981999999999999</v>
      </c>
      <c r="F375" s="14">
        <v>61</v>
      </c>
      <c r="G375" s="14">
        <v>77.5</v>
      </c>
      <c r="H375" s="18">
        <v>115</v>
      </c>
      <c r="I375" s="19">
        <v>114.701998</v>
      </c>
      <c r="J375" s="12">
        <f t="shared" si="20"/>
        <v>0.29800199999999677</v>
      </c>
      <c r="K375" s="14">
        <f t="shared" si="21"/>
        <v>8.8805192003998071E-2</v>
      </c>
      <c r="L375" s="14">
        <f t="shared" si="22"/>
        <v>0.25913217391304066</v>
      </c>
      <c r="M375" s="14">
        <f t="shared" si="23"/>
        <v>4</v>
      </c>
    </row>
    <row r="376" spans="1:13" x14ac:dyDescent="0.25">
      <c r="A376" s="14" t="s">
        <v>937</v>
      </c>
      <c r="B376" s="20"/>
      <c r="C376" s="16">
        <v>0.29166666666666669</v>
      </c>
      <c r="D376" s="17" t="s">
        <v>527</v>
      </c>
      <c r="E376" s="14">
        <v>18.989999999999998</v>
      </c>
      <c r="F376" s="14">
        <v>68</v>
      </c>
      <c r="G376" s="14">
        <v>74.8</v>
      </c>
      <c r="H376" s="18">
        <v>96</v>
      </c>
      <c r="I376" s="19">
        <v>95.185109999999995</v>
      </c>
      <c r="J376" s="12">
        <f t="shared" si="20"/>
        <v>0.81489000000000544</v>
      </c>
      <c r="K376" s="14">
        <f t="shared" si="21"/>
        <v>0.66404571210000884</v>
      </c>
      <c r="L376" s="14">
        <f t="shared" si="22"/>
        <v>0.84884375000000567</v>
      </c>
      <c r="M376" s="14">
        <f t="shared" si="23"/>
        <v>5</v>
      </c>
    </row>
    <row r="377" spans="1:13" x14ac:dyDescent="0.25">
      <c r="A377" s="14" t="s">
        <v>938</v>
      </c>
      <c r="B377" s="20"/>
      <c r="C377" s="16">
        <v>0.3125</v>
      </c>
      <c r="D377" s="17" t="s">
        <v>527</v>
      </c>
      <c r="E377" s="14">
        <v>18.318000000000001</v>
      </c>
      <c r="F377" s="14">
        <v>29</v>
      </c>
      <c r="G377" s="14">
        <v>58</v>
      </c>
      <c r="H377" s="18">
        <v>91</v>
      </c>
      <c r="I377" s="19">
        <v>91.899702000000019</v>
      </c>
      <c r="J377" s="12">
        <f t="shared" si="20"/>
        <v>0.8997020000000191</v>
      </c>
      <c r="K377" s="14">
        <f t="shared" si="21"/>
        <v>0.80946368880403441</v>
      </c>
      <c r="L377" s="14">
        <f t="shared" si="22"/>
        <v>0.98868351648353747</v>
      </c>
      <c r="M377" s="14">
        <f t="shared" si="23"/>
        <v>1</v>
      </c>
    </row>
    <row r="378" spans="1:13" x14ac:dyDescent="0.25">
      <c r="A378" s="14" t="s">
        <v>939</v>
      </c>
      <c r="B378" s="20"/>
      <c r="C378" s="16">
        <v>0.33333333333333331</v>
      </c>
      <c r="D378" s="17" t="s">
        <v>527</v>
      </c>
      <c r="E378" s="14">
        <v>18.712</v>
      </c>
      <c r="F378" s="14">
        <v>36</v>
      </c>
      <c r="G378" s="14">
        <v>86.3</v>
      </c>
      <c r="H378" s="18">
        <v>95</v>
      </c>
      <c r="I378" s="19">
        <v>93.825968000000003</v>
      </c>
      <c r="J378" s="12">
        <f t="shared" si="20"/>
        <v>1.1740319999999969</v>
      </c>
      <c r="K378" s="14">
        <f t="shared" si="21"/>
        <v>1.3783511370239927</v>
      </c>
      <c r="L378" s="14">
        <f t="shared" si="22"/>
        <v>1.2358231578947336</v>
      </c>
      <c r="M378" s="14">
        <f t="shared" si="23"/>
        <v>2</v>
      </c>
    </row>
    <row r="379" spans="1:13" x14ac:dyDescent="0.25">
      <c r="A379" s="14" t="s">
        <v>940</v>
      </c>
      <c r="B379" s="20"/>
      <c r="C379" s="16">
        <v>0.35416666666666669</v>
      </c>
      <c r="D379" s="17" t="s">
        <v>527</v>
      </c>
      <c r="E379" s="14">
        <v>23.835000000000001</v>
      </c>
      <c r="F379" s="14">
        <v>61</v>
      </c>
      <c r="G379" s="14">
        <v>80.5</v>
      </c>
      <c r="H379" s="18">
        <v>121</v>
      </c>
      <c r="I379" s="19">
        <v>118.872315</v>
      </c>
      <c r="J379" s="12">
        <f t="shared" si="20"/>
        <v>2.1276849999999996</v>
      </c>
      <c r="K379" s="14">
        <f t="shared" si="21"/>
        <v>4.5270434592249984</v>
      </c>
      <c r="L379" s="14">
        <f t="shared" si="22"/>
        <v>1.7584173553719007</v>
      </c>
      <c r="M379" s="14">
        <f t="shared" si="23"/>
        <v>3</v>
      </c>
    </row>
    <row r="380" spans="1:13" x14ac:dyDescent="0.25">
      <c r="A380" s="14" t="s">
        <v>941</v>
      </c>
      <c r="B380" s="20"/>
      <c r="C380" s="16">
        <v>0.375</v>
      </c>
      <c r="D380" s="17" t="s">
        <v>527</v>
      </c>
      <c r="E380" s="14">
        <v>18.864000000000001</v>
      </c>
      <c r="F380" s="14">
        <v>76</v>
      </c>
      <c r="G380" s="14">
        <v>82</v>
      </c>
      <c r="H380" s="18">
        <v>98</v>
      </c>
      <c r="I380" s="19">
        <v>94.569096000000016</v>
      </c>
      <c r="J380" s="12">
        <f t="shared" si="20"/>
        <v>3.430903999999984</v>
      </c>
      <c r="K380" s="14">
        <f t="shared" si="21"/>
        <v>11.77110225721589</v>
      </c>
      <c r="L380" s="14">
        <f t="shared" si="22"/>
        <v>3.5009224489795758</v>
      </c>
      <c r="M380" s="14">
        <f t="shared" si="23"/>
        <v>4</v>
      </c>
    </row>
    <row r="381" spans="1:13" x14ac:dyDescent="0.25">
      <c r="A381" s="14" t="s">
        <v>942</v>
      </c>
      <c r="B381" s="20"/>
      <c r="C381" s="16">
        <v>0.39583333333333331</v>
      </c>
      <c r="D381" s="17" t="s">
        <v>527</v>
      </c>
      <c r="E381" s="14">
        <v>20.234999999999999</v>
      </c>
      <c r="F381" s="14">
        <v>66</v>
      </c>
      <c r="G381" s="14">
        <v>77</v>
      </c>
      <c r="H381" s="18">
        <v>99</v>
      </c>
      <c r="I381" s="19">
        <v>101.27191500000001</v>
      </c>
      <c r="J381" s="12">
        <f t="shared" si="20"/>
        <v>2.271915000000007</v>
      </c>
      <c r="K381" s="14">
        <f t="shared" si="21"/>
        <v>5.1615977672250315</v>
      </c>
      <c r="L381" s="14">
        <f t="shared" si="22"/>
        <v>2.2948636363636434</v>
      </c>
      <c r="M381" s="14">
        <f t="shared" si="23"/>
        <v>5</v>
      </c>
    </row>
    <row r="382" spans="1:13" x14ac:dyDescent="0.25">
      <c r="A382" s="14" t="s">
        <v>943</v>
      </c>
      <c r="B382" s="21"/>
      <c r="C382" s="16">
        <v>0.40625</v>
      </c>
      <c r="D382" s="17" t="s">
        <v>527</v>
      </c>
      <c r="E382" s="14">
        <v>21.457999999999998</v>
      </c>
      <c r="F382" s="14">
        <v>78</v>
      </c>
      <c r="G382" s="14">
        <v>85.2</v>
      </c>
      <c r="H382" s="18">
        <v>108</v>
      </c>
      <c r="I382" s="19">
        <v>107.25116199999999</v>
      </c>
      <c r="J382" s="12">
        <f t="shared" si="20"/>
        <v>0.74883800000000633</v>
      </c>
      <c r="K382" s="14">
        <f t="shared" si="21"/>
        <v>0.56075835024400944</v>
      </c>
      <c r="L382" s="14">
        <f t="shared" si="22"/>
        <v>0.69336851851852443</v>
      </c>
      <c r="M382" s="14">
        <f t="shared" si="23"/>
        <v>1</v>
      </c>
    </row>
    <row r="383" spans="1:13" x14ac:dyDescent="0.25">
      <c r="A383" s="14" t="s">
        <v>944</v>
      </c>
      <c r="B383" s="15" t="s">
        <v>945</v>
      </c>
      <c r="C383" s="16">
        <v>0.22916666666666671</v>
      </c>
      <c r="D383" s="17" t="s">
        <v>527</v>
      </c>
      <c r="E383" s="14">
        <v>17.056000000000001</v>
      </c>
      <c r="F383" s="14">
        <v>34</v>
      </c>
      <c r="G383" s="14">
        <v>92.5</v>
      </c>
      <c r="H383" s="18">
        <v>85</v>
      </c>
      <c r="I383" s="19">
        <v>85.729784000000009</v>
      </c>
      <c r="J383" s="12">
        <f t="shared" si="20"/>
        <v>0.72978400000000931</v>
      </c>
      <c r="K383" s="14">
        <f t="shared" si="21"/>
        <v>0.53258468665601355</v>
      </c>
      <c r="L383" s="14">
        <f t="shared" si="22"/>
        <v>0.85856941176471679</v>
      </c>
      <c r="M383" s="14">
        <f t="shared" si="23"/>
        <v>2</v>
      </c>
    </row>
    <row r="384" spans="1:13" x14ac:dyDescent="0.25">
      <c r="A384" s="14" t="s">
        <v>946</v>
      </c>
      <c r="B384" s="20"/>
      <c r="C384" s="16">
        <v>0.25</v>
      </c>
      <c r="D384" s="17" t="s">
        <v>527</v>
      </c>
      <c r="E384" s="14">
        <v>21.399000000000001</v>
      </c>
      <c r="F384" s="14">
        <v>74</v>
      </c>
      <c r="G384" s="14">
        <v>61.4</v>
      </c>
      <c r="H384" s="18">
        <v>107</v>
      </c>
      <c r="I384" s="19">
        <v>106.962711</v>
      </c>
      <c r="J384" s="12">
        <f t="shared" si="20"/>
        <v>3.7289000000001238E-2</v>
      </c>
      <c r="K384" s="14">
        <f t="shared" si="21"/>
        <v>1.3904695210000923E-3</v>
      </c>
      <c r="L384" s="14">
        <f t="shared" si="22"/>
        <v>3.4849532710281531E-2</v>
      </c>
      <c r="M384" s="14">
        <f t="shared" si="23"/>
        <v>3</v>
      </c>
    </row>
    <row r="385" spans="1:13" x14ac:dyDescent="0.25">
      <c r="A385" s="14" t="s">
        <v>947</v>
      </c>
      <c r="B385" s="20"/>
      <c r="C385" s="16">
        <v>0.27083333333333331</v>
      </c>
      <c r="D385" s="17" t="s">
        <v>527</v>
      </c>
      <c r="E385" s="14">
        <v>22.02</v>
      </c>
      <c r="F385" s="14">
        <v>72</v>
      </c>
      <c r="G385" s="14">
        <v>92.7</v>
      </c>
      <c r="H385" s="18">
        <v>112</v>
      </c>
      <c r="I385" s="19">
        <v>109.99878</v>
      </c>
      <c r="J385" s="12">
        <f t="shared" si="20"/>
        <v>2.0012200000000036</v>
      </c>
      <c r="K385" s="14">
        <f t="shared" si="21"/>
        <v>4.0048814884000139</v>
      </c>
      <c r="L385" s="14">
        <f t="shared" si="22"/>
        <v>1.7868035714285746</v>
      </c>
      <c r="M385" s="14">
        <f t="shared" si="23"/>
        <v>4</v>
      </c>
    </row>
    <row r="386" spans="1:13" x14ac:dyDescent="0.25">
      <c r="A386" s="14" t="s">
        <v>948</v>
      </c>
      <c r="B386" s="20"/>
      <c r="C386" s="16">
        <v>0.29166666666666669</v>
      </c>
      <c r="D386" s="17" t="s">
        <v>527</v>
      </c>
      <c r="E386" s="14">
        <v>18.951000000000001</v>
      </c>
      <c r="F386" s="14">
        <v>64</v>
      </c>
      <c r="G386" s="14">
        <v>61.6</v>
      </c>
      <c r="H386" s="18">
        <v>97</v>
      </c>
      <c r="I386" s="19">
        <v>94.994439000000014</v>
      </c>
      <c r="J386" s="12">
        <f t="shared" si="20"/>
        <v>2.0055609999999859</v>
      </c>
      <c r="K386" s="14">
        <f t="shared" si="21"/>
        <v>4.0222749247209437</v>
      </c>
      <c r="L386" s="14">
        <f t="shared" si="22"/>
        <v>2.0675886597937998</v>
      </c>
      <c r="M386" s="14">
        <f t="shared" si="23"/>
        <v>5</v>
      </c>
    </row>
    <row r="387" spans="1:13" x14ac:dyDescent="0.25">
      <c r="A387" s="14" t="s">
        <v>949</v>
      </c>
      <c r="B387" s="20"/>
      <c r="C387" s="16">
        <v>0.3125</v>
      </c>
      <c r="D387" s="17" t="s">
        <v>527</v>
      </c>
      <c r="E387" s="14">
        <v>21.042000000000002</v>
      </c>
      <c r="F387" s="14">
        <v>29</v>
      </c>
      <c r="G387" s="14">
        <v>57.6</v>
      </c>
      <c r="H387" s="18">
        <v>107</v>
      </c>
      <c r="I387" s="19">
        <v>105.217338</v>
      </c>
      <c r="J387" s="12">
        <f t="shared" ref="J387:J450" si="24">IF(OR(H387="",I387=""),"",ABS(H387-I387))</f>
        <v>1.782662000000002</v>
      </c>
      <c r="K387" s="14">
        <f t="shared" ref="K387:K450" si="25">IF(OR(H387="",I387=""),"",(H387-I387)^2)</f>
        <v>3.1778838062440071</v>
      </c>
      <c r="L387" s="14">
        <f t="shared" ref="L387:L450" si="26">IF(OR(H387="",I387=""),"",IF(H387=0,"",ABS((H387-I387)/H387)*100))</f>
        <v>1.6660392523364504</v>
      </c>
      <c r="M387" s="14">
        <f t="shared" ref="M387:M450" si="27">MOD(ROW()-2,5)+1</f>
        <v>1</v>
      </c>
    </row>
    <row r="388" spans="1:13" x14ac:dyDescent="0.25">
      <c r="A388" s="14" t="s">
        <v>950</v>
      </c>
      <c r="B388" s="20"/>
      <c r="C388" s="16">
        <v>0.33333333333333331</v>
      </c>
      <c r="D388" s="17" t="s">
        <v>527</v>
      </c>
      <c r="E388" s="14">
        <v>21.141999999999999</v>
      </c>
      <c r="F388" s="14">
        <v>79</v>
      </c>
      <c r="G388" s="14">
        <v>60.5</v>
      </c>
      <c r="H388" s="18">
        <v>107</v>
      </c>
      <c r="I388" s="19">
        <v>105.706238</v>
      </c>
      <c r="J388" s="12">
        <f t="shared" si="24"/>
        <v>1.293762000000001</v>
      </c>
      <c r="K388" s="14">
        <f t="shared" si="25"/>
        <v>1.6738201126440024</v>
      </c>
      <c r="L388" s="14">
        <f t="shared" si="26"/>
        <v>1.2091233644859822</v>
      </c>
      <c r="M388" s="14">
        <f t="shared" si="27"/>
        <v>2</v>
      </c>
    </row>
    <row r="389" spans="1:13" x14ac:dyDescent="0.25">
      <c r="A389" s="14" t="s">
        <v>951</v>
      </c>
      <c r="B389" s="20"/>
      <c r="C389" s="16">
        <v>0.35416666666666669</v>
      </c>
      <c r="D389" s="17" t="s">
        <v>527</v>
      </c>
      <c r="E389" s="14">
        <v>19.530999999999999</v>
      </c>
      <c r="F389" s="14">
        <v>25</v>
      </c>
      <c r="G389" s="14">
        <v>75.900000000000006</v>
      </c>
      <c r="H389" s="18">
        <v>97</v>
      </c>
      <c r="I389" s="19">
        <v>97.830059000000006</v>
      </c>
      <c r="J389" s="12">
        <f t="shared" si="24"/>
        <v>0.83005900000000565</v>
      </c>
      <c r="K389" s="14">
        <f t="shared" si="25"/>
        <v>0.6889979434810094</v>
      </c>
      <c r="L389" s="14">
        <f t="shared" si="26"/>
        <v>0.85573092783505744</v>
      </c>
      <c r="M389" s="14">
        <f t="shared" si="27"/>
        <v>3</v>
      </c>
    </row>
    <row r="390" spans="1:13" x14ac:dyDescent="0.25">
      <c r="A390" s="14" t="s">
        <v>952</v>
      </c>
      <c r="B390" s="20"/>
      <c r="C390" s="16">
        <v>0.375</v>
      </c>
      <c r="D390" s="17" t="s">
        <v>527</v>
      </c>
      <c r="E390" s="14">
        <v>22.317</v>
      </c>
      <c r="F390" s="14">
        <v>38</v>
      </c>
      <c r="G390" s="14">
        <v>76.3</v>
      </c>
      <c r="H390" s="18">
        <v>113</v>
      </c>
      <c r="I390" s="19">
        <v>111.450813</v>
      </c>
      <c r="J390" s="12">
        <f t="shared" si="24"/>
        <v>1.5491870000000034</v>
      </c>
      <c r="K390" s="14">
        <f t="shared" si="25"/>
        <v>2.3999803609690105</v>
      </c>
      <c r="L390" s="14">
        <f t="shared" si="26"/>
        <v>1.3709619469026579</v>
      </c>
      <c r="M390" s="14">
        <f t="shared" si="27"/>
        <v>4</v>
      </c>
    </row>
    <row r="391" spans="1:13" x14ac:dyDescent="0.25">
      <c r="A391" s="14" t="s">
        <v>953</v>
      </c>
      <c r="B391" s="20"/>
      <c r="C391" s="16">
        <v>0.39583333333333331</v>
      </c>
      <c r="D391" s="17" t="s">
        <v>527</v>
      </c>
      <c r="E391" s="14">
        <v>20.622</v>
      </c>
      <c r="F391" s="14">
        <v>42</v>
      </c>
      <c r="G391" s="14">
        <v>79</v>
      </c>
      <c r="H391" s="18">
        <v>100</v>
      </c>
      <c r="I391" s="19">
        <v>103.16395799999999</v>
      </c>
      <c r="J391" s="12">
        <f t="shared" si="24"/>
        <v>3.1639579999999938</v>
      </c>
      <c r="K391" s="14">
        <f t="shared" si="25"/>
        <v>10.010630225763961</v>
      </c>
      <c r="L391" s="14">
        <f t="shared" si="26"/>
        <v>3.1639579999999938</v>
      </c>
      <c r="M391" s="14">
        <f t="shared" si="27"/>
        <v>5</v>
      </c>
    </row>
    <row r="392" spans="1:13" x14ac:dyDescent="0.25">
      <c r="A392" s="14" t="s">
        <v>954</v>
      </c>
      <c r="B392" s="21"/>
      <c r="C392" s="16">
        <v>0.40625</v>
      </c>
      <c r="D392" s="17" t="s">
        <v>527</v>
      </c>
      <c r="E392" s="14">
        <v>20.765999999999998</v>
      </c>
      <c r="F392" s="14">
        <v>29</v>
      </c>
      <c r="G392" s="14">
        <v>60.1</v>
      </c>
      <c r="H392" s="18">
        <v>102</v>
      </c>
      <c r="I392" s="19">
        <v>103.867974</v>
      </c>
      <c r="J392" s="12">
        <f t="shared" si="24"/>
        <v>1.8679740000000038</v>
      </c>
      <c r="K392" s="14">
        <f t="shared" si="25"/>
        <v>3.4893268646760141</v>
      </c>
      <c r="L392" s="14">
        <f t="shared" si="26"/>
        <v>1.831347058823533</v>
      </c>
      <c r="M392" s="14">
        <f t="shared" si="27"/>
        <v>1</v>
      </c>
    </row>
    <row r="393" spans="1:13" x14ac:dyDescent="0.25">
      <c r="A393" s="14" t="s">
        <v>955</v>
      </c>
      <c r="B393" s="15" t="s">
        <v>956</v>
      </c>
      <c r="C393" s="16">
        <v>0.22916666666666671</v>
      </c>
      <c r="D393" s="17" t="s">
        <v>527</v>
      </c>
      <c r="E393" s="14">
        <v>24.488</v>
      </c>
      <c r="F393" s="14">
        <v>32</v>
      </c>
      <c r="G393" s="14">
        <v>92.2</v>
      </c>
      <c r="H393" s="18">
        <v>121</v>
      </c>
      <c r="I393" s="19">
        <v>122.064832</v>
      </c>
      <c r="J393" s="12">
        <f t="shared" si="24"/>
        <v>1.0648319999999956</v>
      </c>
      <c r="K393" s="14">
        <f t="shared" si="25"/>
        <v>1.1338671882239906</v>
      </c>
      <c r="L393" s="14">
        <f t="shared" si="26"/>
        <v>0.88002644628098814</v>
      </c>
      <c r="M393" s="14">
        <f t="shared" si="27"/>
        <v>2</v>
      </c>
    </row>
    <row r="394" spans="1:13" x14ac:dyDescent="0.25">
      <c r="A394" s="14" t="s">
        <v>957</v>
      </c>
      <c r="B394" s="20"/>
      <c r="C394" s="16">
        <v>0.25</v>
      </c>
      <c r="D394" s="17" t="s">
        <v>527</v>
      </c>
      <c r="E394" s="14">
        <v>21.957000000000001</v>
      </c>
      <c r="F394" s="14">
        <v>76</v>
      </c>
      <c r="G394" s="14">
        <v>56.5</v>
      </c>
      <c r="H394" s="18">
        <v>110</v>
      </c>
      <c r="I394" s="19">
        <v>109.69077299999999</v>
      </c>
      <c r="J394" s="12">
        <f t="shared" si="24"/>
        <v>0.30922700000000702</v>
      </c>
      <c r="K394" s="14">
        <f t="shared" si="25"/>
        <v>9.5621337529004341E-2</v>
      </c>
      <c r="L394" s="14">
        <f t="shared" si="26"/>
        <v>0.28111545454546094</v>
      </c>
      <c r="M394" s="14">
        <f t="shared" si="27"/>
        <v>3</v>
      </c>
    </row>
    <row r="395" spans="1:13" x14ac:dyDescent="0.25">
      <c r="A395" s="14" t="s">
        <v>958</v>
      </c>
      <c r="B395" s="20"/>
      <c r="C395" s="16">
        <v>0.27083333333333331</v>
      </c>
      <c r="D395" s="17" t="s">
        <v>527</v>
      </c>
      <c r="E395" s="14">
        <v>19.739000000000001</v>
      </c>
      <c r="F395" s="14">
        <v>43</v>
      </c>
      <c r="G395" s="14">
        <v>79.7</v>
      </c>
      <c r="H395" s="18">
        <v>96</v>
      </c>
      <c r="I395" s="19">
        <v>98.846971000000011</v>
      </c>
      <c r="J395" s="12">
        <f t="shared" si="24"/>
        <v>2.8469710000000106</v>
      </c>
      <c r="K395" s="14">
        <f t="shared" si="25"/>
        <v>8.1052438748410598</v>
      </c>
      <c r="L395" s="14">
        <f t="shared" si="26"/>
        <v>2.9655947916666774</v>
      </c>
      <c r="M395" s="14">
        <f t="shared" si="27"/>
        <v>4</v>
      </c>
    </row>
    <row r="396" spans="1:13" x14ac:dyDescent="0.25">
      <c r="A396" s="14" t="s">
        <v>959</v>
      </c>
      <c r="B396" s="20"/>
      <c r="C396" s="16">
        <v>0.29166666666666669</v>
      </c>
      <c r="D396" s="17" t="s">
        <v>527</v>
      </c>
      <c r="E396" s="14">
        <v>22.321999999999999</v>
      </c>
      <c r="F396" s="14">
        <v>43</v>
      </c>
      <c r="G396" s="14">
        <v>78.3</v>
      </c>
      <c r="H396" s="18">
        <v>112</v>
      </c>
      <c r="I396" s="19">
        <v>111.475258</v>
      </c>
      <c r="J396" s="12">
        <f t="shared" si="24"/>
        <v>0.52474200000000337</v>
      </c>
      <c r="K396" s="14">
        <f t="shared" si="25"/>
        <v>0.27535416656400352</v>
      </c>
      <c r="L396" s="14">
        <f t="shared" si="26"/>
        <v>0.46851964285714587</v>
      </c>
      <c r="M396" s="14">
        <f t="shared" si="27"/>
        <v>5</v>
      </c>
    </row>
    <row r="397" spans="1:13" x14ac:dyDescent="0.25">
      <c r="A397" s="14" t="s">
        <v>960</v>
      </c>
      <c r="B397" s="20"/>
      <c r="C397" s="16">
        <v>0.3125</v>
      </c>
      <c r="D397" s="17" t="s">
        <v>527</v>
      </c>
      <c r="E397" s="14">
        <v>21.989000000000001</v>
      </c>
      <c r="F397" s="14">
        <v>64</v>
      </c>
      <c r="G397" s="14">
        <v>82.5</v>
      </c>
      <c r="H397" s="18">
        <v>110</v>
      </c>
      <c r="I397" s="19">
        <v>109.847221</v>
      </c>
      <c r="J397" s="12">
        <f t="shared" si="24"/>
        <v>0.15277899999999534</v>
      </c>
      <c r="K397" s="14">
        <f t="shared" si="25"/>
        <v>2.3341422840998573E-2</v>
      </c>
      <c r="L397" s="14">
        <f t="shared" si="26"/>
        <v>0.13888999999999574</v>
      </c>
      <c r="M397" s="14">
        <f t="shared" si="27"/>
        <v>1</v>
      </c>
    </row>
    <row r="398" spans="1:13" x14ac:dyDescent="0.25">
      <c r="A398" s="14" t="s">
        <v>961</v>
      </c>
      <c r="B398" s="20"/>
      <c r="C398" s="16">
        <v>0.33333333333333331</v>
      </c>
      <c r="D398" s="17" t="s">
        <v>527</v>
      </c>
      <c r="E398" s="14">
        <v>21.061</v>
      </c>
      <c r="F398" s="14">
        <v>49</v>
      </c>
      <c r="G398" s="14">
        <v>66.3</v>
      </c>
      <c r="H398" s="18">
        <v>105</v>
      </c>
      <c r="I398" s="19">
        <v>105.31022900000001</v>
      </c>
      <c r="J398" s="12">
        <f t="shared" si="24"/>
        <v>0.31022900000000675</v>
      </c>
      <c r="K398" s="14">
        <f t="shared" si="25"/>
        <v>9.6242032441004183E-2</v>
      </c>
      <c r="L398" s="14">
        <f t="shared" si="26"/>
        <v>0.29545619047619692</v>
      </c>
      <c r="M398" s="14">
        <f t="shared" si="27"/>
        <v>2</v>
      </c>
    </row>
    <row r="399" spans="1:13" x14ac:dyDescent="0.25">
      <c r="A399" s="14" t="s">
        <v>962</v>
      </c>
      <c r="B399" s="20"/>
      <c r="C399" s="16">
        <v>0.35416666666666669</v>
      </c>
      <c r="D399" s="17" t="s">
        <v>527</v>
      </c>
      <c r="E399" s="14">
        <v>19.25</v>
      </c>
      <c r="F399" s="14">
        <v>27</v>
      </c>
      <c r="G399" s="14">
        <v>93.4</v>
      </c>
      <c r="H399" s="18">
        <v>95</v>
      </c>
      <c r="I399" s="19">
        <v>96.456250000000011</v>
      </c>
      <c r="J399" s="12">
        <f t="shared" si="24"/>
        <v>1.4562500000000114</v>
      </c>
      <c r="K399" s="14">
        <f t="shared" si="25"/>
        <v>2.1206640625000333</v>
      </c>
      <c r="L399" s="14">
        <f t="shared" si="26"/>
        <v>1.5328947368421173</v>
      </c>
      <c r="M399" s="14">
        <f t="shared" si="27"/>
        <v>3</v>
      </c>
    </row>
    <row r="400" spans="1:13" x14ac:dyDescent="0.25">
      <c r="A400" s="14" t="s">
        <v>963</v>
      </c>
      <c r="B400" s="20"/>
      <c r="C400" s="16">
        <v>0.375</v>
      </c>
      <c r="D400" s="17" t="s">
        <v>527</v>
      </c>
      <c r="E400" s="14">
        <v>20.827000000000002</v>
      </c>
      <c r="F400" s="14">
        <v>33</v>
      </c>
      <c r="G400" s="14">
        <v>68.900000000000006</v>
      </c>
      <c r="H400" s="18">
        <v>103</v>
      </c>
      <c r="I400" s="19">
        <v>104.166203</v>
      </c>
      <c r="J400" s="12">
        <f t="shared" si="24"/>
        <v>1.1662029999999959</v>
      </c>
      <c r="K400" s="14">
        <f t="shared" si="25"/>
        <v>1.3600294372089905</v>
      </c>
      <c r="L400" s="14">
        <f t="shared" si="26"/>
        <v>1.1322359223300931</v>
      </c>
      <c r="M400" s="14">
        <f t="shared" si="27"/>
        <v>4</v>
      </c>
    </row>
    <row r="401" spans="1:13" x14ac:dyDescent="0.25">
      <c r="A401" s="14" t="s">
        <v>964</v>
      </c>
      <c r="B401" s="20"/>
      <c r="C401" s="16">
        <v>0.39583333333333331</v>
      </c>
      <c r="D401" s="17" t="s">
        <v>527</v>
      </c>
      <c r="E401" s="14">
        <v>16.831</v>
      </c>
      <c r="F401" s="14">
        <v>34</v>
      </c>
      <c r="G401" s="14">
        <v>75.2</v>
      </c>
      <c r="H401" s="18">
        <v>85</v>
      </c>
      <c r="I401" s="19">
        <v>84.629759000000007</v>
      </c>
      <c r="J401" s="12">
        <f t="shared" si="24"/>
        <v>0.37024099999999294</v>
      </c>
      <c r="K401" s="14">
        <f t="shared" si="25"/>
        <v>0.13707839808099476</v>
      </c>
      <c r="L401" s="14">
        <f t="shared" si="26"/>
        <v>0.43557764705881524</v>
      </c>
      <c r="M401" s="14">
        <f t="shared" si="27"/>
        <v>5</v>
      </c>
    </row>
    <row r="402" spans="1:13" x14ac:dyDescent="0.25">
      <c r="A402" s="14" t="s">
        <v>965</v>
      </c>
      <c r="B402" s="21"/>
      <c r="C402" s="16">
        <v>0.40625</v>
      </c>
      <c r="D402" s="17" t="s">
        <v>527</v>
      </c>
      <c r="E402" s="14">
        <v>20.81</v>
      </c>
      <c r="F402" s="14">
        <v>40</v>
      </c>
      <c r="G402" s="14">
        <v>55.6</v>
      </c>
      <c r="H402" s="18">
        <v>105</v>
      </c>
      <c r="I402" s="19">
        <v>104.08309</v>
      </c>
      <c r="J402" s="12">
        <f t="shared" si="24"/>
        <v>0.91691000000000145</v>
      </c>
      <c r="K402" s="14">
        <f t="shared" si="25"/>
        <v>0.84072394810000262</v>
      </c>
      <c r="L402" s="14">
        <f t="shared" si="26"/>
        <v>0.87324761904762038</v>
      </c>
      <c r="M402" s="14">
        <f t="shared" si="27"/>
        <v>1</v>
      </c>
    </row>
    <row r="403" spans="1:13" x14ac:dyDescent="0.25">
      <c r="A403" s="14" t="s">
        <v>966</v>
      </c>
      <c r="B403" s="15" t="s">
        <v>967</v>
      </c>
      <c r="C403" s="16">
        <v>0.22916666666666671</v>
      </c>
      <c r="D403" s="17" t="s">
        <v>527</v>
      </c>
      <c r="E403" s="14">
        <v>18.628</v>
      </c>
      <c r="F403" s="14">
        <v>43</v>
      </c>
      <c r="G403" s="14">
        <v>68.7</v>
      </c>
      <c r="H403" s="18">
        <v>92</v>
      </c>
      <c r="I403" s="19">
        <v>93.415292000000008</v>
      </c>
      <c r="J403" s="12">
        <f t="shared" si="24"/>
        <v>1.415292000000008</v>
      </c>
      <c r="K403" s="14">
        <f t="shared" si="25"/>
        <v>2.0030514452640227</v>
      </c>
      <c r="L403" s="14">
        <f t="shared" si="26"/>
        <v>1.5383608695652262</v>
      </c>
      <c r="M403" s="14">
        <f t="shared" si="27"/>
        <v>2</v>
      </c>
    </row>
    <row r="404" spans="1:13" x14ac:dyDescent="0.25">
      <c r="A404" s="14" t="s">
        <v>968</v>
      </c>
      <c r="B404" s="20"/>
      <c r="C404" s="16">
        <v>0.25</v>
      </c>
      <c r="D404" s="17" t="s">
        <v>527</v>
      </c>
      <c r="E404" s="14">
        <v>22.055</v>
      </c>
      <c r="F404" s="14">
        <v>24</v>
      </c>
      <c r="G404" s="14">
        <v>92.5</v>
      </c>
      <c r="H404" s="18">
        <v>109</v>
      </c>
      <c r="I404" s="19">
        <v>110.169895</v>
      </c>
      <c r="J404" s="12">
        <f t="shared" si="24"/>
        <v>1.1698949999999968</v>
      </c>
      <c r="K404" s="14">
        <f t="shared" si="25"/>
        <v>1.3686543110249925</v>
      </c>
      <c r="L404" s="14">
        <f t="shared" si="26"/>
        <v>1.0732981651376117</v>
      </c>
      <c r="M404" s="14">
        <f t="shared" si="27"/>
        <v>3</v>
      </c>
    </row>
    <row r="405" spans="1:13" x14ac:dyDescent="0.25">
      <c r="A405" s="14" t="s">
        <v>969</v>
      </c>
      <c r="B405" s="20"/>
      <c r="C405" s="16">
        <v>0.27083333333333331</v>
      </c>
      <c r="D405" s="17" t="s">
        <v>527</v>
      </c>
      <c r="E405" s="14">
        <v>24.06</v>
      </c>
      <c r="F405" s="14">
        <v>31</v>
      </c>
      <c r="G405" s="14">
        <v>75.5</v>
      </c>
      <c r="H405" s="18">
        <v>121</v>
      </c>
      <c r="I405" s="19">
        <v>119.97234</v>
      </c>
      <c r="J405" s="12">
        <f t="shared" si="24"/>
        <v>1.0276599999999974</v>
      </c>
      <c r="K405" s="14">
        <f t="shared" si="25"/>
        <v>1.0560850755999946</v>
      </c>
      <c r="L405" s="14">
        <f t="shared" si="26"/>
        <v>0.84930578512396482</v>
      </c>
      <c r="M405" s="14">
        <f t="shared" si="27"/>
        <v>4</v>
      </c>
    </row>
    <row r="406" spans="1:13" x14ac:dyDescent="0.25">
      <c r="A406" s="14" t="s">
        <v>970</v>
      </c>
      <c r="B406" s="20"/>
      <c r="C406" s="16">
        <v>0.29166666666666669</v>
      </c>
      <c r="D406" s="17" t="s">
        <v>527</v>
      </c>
      <c r="E406" s="14">
        <v>22.635000000000002</v>
      </c>
      <c r="F406" s="14">
        <v>24</v>
      </c>
      <c r="G406" s="14">
        <v>81.5</v>
      </c>
      <c r="H406" s="18">
        <v>116</v>
      </c>
      <c r="I406" s="19">
        <v>113.005515</v>
      </c>
      <c r="J406" s="12">
        <f t="shared" si="24"/>
        <v>2.9944849999999974</v>
      </c>
      <c r="K406" s="14">
        <f t="shared" si="25"/>
        <v>8.9669404152249843</v>
      </c>
      <c r="L406" s="14">
        <f t="shared" si="26"/>
        <v>2.5814525862068942</v>
      </c>
      <c r="M406" s="14">
        <f t="shared" si="27"/>
        <v>5</v>
      </c>
    </row>
    <row r="407" spans="1:13" x14ac:dyDescent="0.25">
      <c r="A407" s="14" t="s">
        <v>971</v>
      </c>
      <c r="B407" s="20"/>
      <c r="C407" s="16">
        <v>0.3125</v>
      </c>
      <c r="D407" s="17" t="s">
        <v>527</v>
      </c>
      <c r="E407" s="14">
        <v>25.725999999999999</v>
      </c>
      <c r="F407" s="14">
        <v>26</v>
      </c>
      <c r="G407" s="14">
        <v>78.2</v>
      </c>
      <c r="H407" s="18">
        <v>129</v>
      </c>
      <c r="I407" s="19">
        <v>128.117414</v>
      </c>
      <c r="J407" s="12">
        <f t="shared" si="24"/>
        <v>0.88258600000000342</v>
      </c>
      <c r="K407" s="14">
        <f t="shared" si="25"/>
        <v>0.77895804739600605</v>
      </c>
      <c r="L407" s="14">
        <f t="shared" si="26"/>
        <v>0.68417519379845226</v>
      </c>
      <c r="M407" s="14">
        <f t="shared" si="27"/>
        <v>1</v>
      </c>
    </row>
    <row r="408" spans="1:13" x14ac:dyDescent="0.25">
      <c r="A408" s="14" t="s">
        <v>972</v>
      </c>
      <c r="B408" s="20"/>
      <c r="C408" s="16">
        <v>0.33333333333333331</v>
      </c>
      <c r="D408" s="17" t="s">
        <v>527</v>
      </c>
      <c r="E408" s="14">
        <v>20.622</v>
      </c>
      <c r="F408" s="14">
        <v>65</v>
      </c>
      <c r="G408" s="14">
        <v>84.4</v>
      </c>
      <c r="H408" s="18">
        <v>102</v>
      </c>
      <c r="I408" s="19">
        <v>103.16395799999999</v>
      </c>
      <c r="J408" s="12">
        <f t="shared" si="24"/>
        <v>1.1639579999999938</v>
      </c>
      <c r="K408" s="14">
        <f t="shared" si="25"/>
        <v>1.3547982257639857</v>
      </c>
      <c r="L408" s="14">
        <f t="shared" si="26"/>
        <v>1.1411352941176411</v>
      </c>
      <c r="M408" s="14">
        <f t="shared" si="27"/>
        <v>2</v>
      </c>
    </row>
    <row r="409" spans="1:13" x14ac:dyDescent="0.25">
      <c r="A409" s="14" t="s">
        <v>973</v>
      </c>
      <c r="B409" s="20"/>
      <c r="C409" s="16">
        <v>0.35416666666666669</v>
      </c>
      <c r="D409" s="17" t="s">
        <v>527</v>
      </c>
      <c r="E409" s="14">
        <v>23.242999999999999</v>
      </c>
      <c r="F409" s="14">
        <v>76</v>
      </c>
      <c r="G409" s="14">
        <v>59.9</v>
      </c>
      <c r="H409" s="18">
        <v>113</v>
      </c>
      <c r="I409" s="19">
        <v>115.978027</v>
      </c>
      <c r="J409" s="12">
        <f t="shared" si="24"/>
        <v>2.9780269999999973</v>
      </c>
      <c r="K409" s="14">
        <f t="shared" si="25"/>
        <v>8.8686448127289843</v>
      </c>
      <c r="L409" s="14">
        <f t="shared" si="26"/>
        <v>2.6354221238938029</v>
      </c>
      <c r="M409" s="14">
        <f t="shared" si="27"/>
        <v>3</v>
      </c>
    </row>
    <row r="410" spans="1:13" x14ac:dyDescent="0.25">
      <c r="A410" s="14" t="s">
        <v>974</v>
      </c>
      <c r="B410" s="20"/>
      <c r="C410" s="16">
        <v>0.375</v>
      </c>
      <c r="D410" s="17" t="s">
        <v>527</v>
      </c>
      <c r="E410" s="14">
        <v>18.972999999999999</v>
      </c>
      <c r="F410" s="14">
        <v>56</v>
      </c>
      <c r="G410" s="14">
        <v>69.3</v>
      </c>
      <c r="H410" s="18">
        <v>97</v>
      </c>
      <c r="I410" s="19">
        <v>95.101996999999997</v>
      </c>
      <c r="J410" s="12">
        <f t="shared" si="24"/>
        <v>1.8980030000000028</v>
      </c>
      <c r="K410" s="14">
        <f t="shared" si="25"/>
        <v>3.6024153880090104</v>
      </c>
      <c r="L410" s="14">
        <f t="shared" si="26"/>
        <v>1.9567041237113429</v>
      </c>
      <c r="M410" s="14">
        <f t="shared" si="27"/>
        <v>4</v>
      </c>
    </row>
    <row r="411" spans="1:13" x14ac:dyDescent="0.25">
      <c r="A411" s="14" t="s">
        <v>975</v>
      </c>
      <c r="B411" s="20"/>
      <c r="C411" s="16">
        <v>0.39583333333333331</v>
      </c>
      <c r="D411" s="17" t="s">
        <v>527</v>
      </c>
      <c r="E411" s="14">
        <v>24.248000000000001</v>
      </c>
      <c r="F411" s="14">
        <v>35</v>
      </c>
      <c r="G411" s="14">
        <v>81.099999999999994</v>
      </c>
      <c r="H411" s="18">
        <v>122</v>
      </c>
      <c r="I411" s="19">
        <v>120.89147199999999</v>
      </c>
      <c r="J411" s="12">
        <f t="shared" si="24"/>
        <v>1.1085280000000068</v>
      </c>
      <c r="K411" s="14">
        <f t="shared" si="25"/>
        <v>1.2288343267840152</v>
      </c>
      <c r="L411" s="14">
        <f t="shared" si="26"/>
        <v>0.90862950819672694</v>
      </c>
      <c r="M411" s="14">
        <f t="shared" si="27"/>
        <v>5</v>
      </c>
    </row>
    <row r="412" spans="1:13" x14ac:dyDescent="0.25">
      <c r="A412" s="14" t="s">
        <v>976</v>
      </c>
      <c r="B412" s="21"/>
      <c r="C412" s="16">
        <v>0.40625</v>
      </c>
      <c r="D412" s="17" t="s">
        <v>527</v>
      </c>
      <c r="E412" s="14">
        <v>20.061</v>
      </c>
      <c r="F412" s="14">
        <v>76</v>
      </c>
      <c r="G412" s="14">
        <v>93.4</v>
      </c>
      <c r="H412" s="18">
        <v>101</v>
      </c>
      <c r="I412" s="19">
        <v>100.421229</v>
      </c>
      <c r="J412" s="12">
        <f t="shared" si="24"/>
        <v>0.57877100000000326</v>
      </c>
      <c r="K412" s="14">
        <f t="shared" si="25"/>
        <v>0.33497587044100374</v>
      </c>
      <c r="L412" s="14">
        <f t="shared" si="26"/>
        <v>0.5730405940594091</v>
      </c>
      <c r="M412" s="14">
        <f t="shared" si="27"/>
        <v>1</v>
      </c>
    </row>
    <row r="413" spans="1:13" x14ac:dyDescent="0.25">
      <c r="A413" s="14" t="s">
        <v>977</v>
      </c>
      <c r="B413" s="15" t="s">
        <v>978</v>
      </c>
      <c r="C413" s="16">
        <v>0.22916666666666671</v>
      </c>
      <c r="D413" s="17" t="s">
        <v>527</v>
      </c>
      <c r="E413" s="14">
        <v>19.082999999999998</v>
      </c>
      <c r="F413" s="14">
        <v>34</v>
      </c>
      <c r="G413" s="14">
        <v>80.2</v>
      </c>
      <c r="H413" s="18">
        <v>93</v>
      </c>
      <c r="I413" s="19">
        <v>95.639786999999998</v>
      </c>
      <c r="J413" s="12">
        <f t="shared" si="24"/>
        <v>2.6397869999999983</v>
      </c>
      <c r="K413" s="14">
        <f t="shared" si="25"/>
        <v>6.9684754053689915</v>
      </c>
      <c r="L413" s="14">
        <f t="shared" si="26"/>
        <v>2.8384806451612885</v>
      </c>
      <c r="M413" s="14">
        <f t="shared" si="27"/>
        <v>2</v>
      </c>
    </row>
    <row r="414" spans="1:13" x14ac:dyDescent="0.25">
      <c r="A414" s="14" t="s">
        <v>979</v>
      </c>
      <c r="B414" s="20"/>
      <c r="C414" s="16">
        <v>0.25</v>
      </c>
      <c r="D414" s="17" t="s">
        <v>527</v>
      </c>
      <c r="E414" s="14">
        <v>19.588000000000001</v>
      </c>
      <c r="F414" s="14">
        <v>31</v>
      </c>
      <c r="G414" s="14">
        <v>89.3</v>
      </c>
      <c r="H414" s="18">
        <v>98</v>
      </c>
      <c r="I414" s="19">
        <v>98.108732000000018</v>
      </c>
      <c r="J414" s="12">
        <f t="shared" si="24"/>
        <v>0.10873200000001759</v>
      </c>
      <c r="K414" s="14">
        <f t="shared" si="25"/>
        <v>1.1822647824003826E-2</v>
      </c>
      <c r="L414" s="14">
        <f t="shared" si="26"/>
        <v>0.11095102040818122</v>
      </c>
      <c r="M414" s="14">
        <f t="shared" si="27"/>
        <v>3</v>
      </c>
    </row>
    <row r="415" spans="1:13" x14ac:dyDescent="0.25">
      <c r="A415" s="14" t="s">
        <v>980</v>
      </c>
      <c r="B415" s="20"/>
      <c r="C415" s="16">
        <v>0.27083333333333331</v>
      </c>
      <c r="D415" s="17" t="s">
        <v>527</v>
      </c>
      <c r="E415" s="14">
        <v>17.677</v>
      </c>
      <c r="F415" s="14">
        <v>48</v>
      </c>
      <c r="G415" s="14">
        <v>67.8</v>
      </c>
      <c r="H415" s="18">
        <v>90</v>
      </c>
      <c r="I415" s="19">
        <v>88.765853000000007</v>
      </c>
      <c r="J415" s="12">
        <f t="shared" si="24"/>
        <v>1.234146999999993</v>
      </c>
      <c r="K415" s="14">
        <f t="shared" si="25"/>
        <v>1.5231188176089827</v>
      </c>
      <c r="L415" s="14">
        <f t="shared" si="26"/>
        <v>1.3712744444444367</v>
      </c>
      <c r="M415" s="14">
        <f t="shared" si="27"/>
        <v>4</v>
      </c>
    </row>
    <row r="416" spans="1:13" x14ac:dyDescent="0.25">
      <c r="A416" s="14" t="s">
        <v>981</v>
      </c>
      <c r="B416" s="20"/>
      <c r="C416" s="16">
        <v>0.29166666666666669</v>
      </c>
      <c r="D416" s="17" t="s">
        <v>527</v>
      </c>
      <c r="E416" s="14">
        <v>17.798999999999999</v>
      </c>
      <c r="F416" s="14">
        <v>41</v>
      </c>
      <c r="G416" s="14">
        <v>94.4</v>
      </c>
      <c r="H416" s="18">
        <v>88</v>
      </c>
      <c r="I416" s="19">
        <v>89.362311000000005</v>
      </c>
      <c r="J416" s="12">
        <f t="shared" si="24"/>
        <v>1.3623110000000054</v>
      </c>
      <c r="K416" s="14">
        <f t="shared" si="25"/>
        <v>1.8558912607210147</v>
      </c>
      <c r="L416" s="14">
        <f t="shared" si="26"/>
        <v>1.548080681818188</v>
      </c>
      <c r="M416" s="14">
        <f t="shared" si="27"/>
        <v>5</v>
      </c>
    </row>
    <row r="417" spans="1:13" x14ac:dyDescent="0.25">
      <c r="A417" s="14" t="s">
        <v>982</v>
      </c>
      <c r="B417" s="20"/>
      <c r="C417" s="16">
        <v>0.3125</v>
      </c>
      <c r="D417" s="17" t="s">
        <v>527</v>
      </c>
      <c r="E417" s="14">
        <v>19.056000000000001</v>
      </c>
      <c r="F417" s="14">
        <v>77</v>
      </c>
      <c r="G417" s="14">
        <v>58.3</v>
      </c>
      <c r="H417" s="18">
        <v>96</v>
      </c>
      <c r="I417" s="19">
        <v>95.507784000000015</v>
      </c>
      <c r="J417" s="12">
        <f t="shared" si="24"/>
        <v>0.49221599999998489</v>
      </c>
      <c r="K417" s="14">
        <f t="shared" si="25"/>
        <v>0.24227659065598511</v>
      </c>
      <c r="L417" s="14">
        <f t="shared" si="26"/>
        <v>0.51272499999998433</v>
      </c>
      <c r="M417" s="14">
        <f t="shared" si="27"/>
        <v>1</v>
      </c>
    </row>
    <row r="418" spans="1:13" x14ac:dyDescent="0.25">
      <c r="A418" s="14" t="s">
        <v>983</v>
      </c>
      <c r="B418" s="20"/>
      <c r="C418" s="16">
        <v>0.33333333333333331</v>
      </c>
      <c r="D418" s="17" t="s">
        <v>527</v>
      </c>
      <c r="E418" s="14">
        <v>19.564</v>
      </c>
      <c r="F418" s="14">
        <v>62</v>
      </c>
      <c r="G418" s="14">
        <v>61.2</v>
      </c>
      <c r="H418" s="18">
        <v>100</v>
      </c>
      <c r="I418" s="19">
        <v>97.991396000000009</v>
      </c>
      <c r="J418" s="12">
        <f t="shared" si="24"/>
        <v>2.0086039999999912</v>
      </c>
      <c r="K418" s="14">
        <f t="shared" si="25"/>
        <v>4.0344900288159646</v>
      </c>
      <c r="L418" s="14">
        <f t="shared" si="26"/>
        <v>2.0086039999999912</v>
      </c>
      <c r="M418" s="14">
        <f t="shared" si="27"/>
        <v>2</v>
      </c>
    </row>
    <row r="419" spans="1:13" x14ac:dyDescent="0.25">
      <c r="A419" s="14" t="s">
        <v>984</v>
      </c>
      <c r="B419" s="20"/>
      <c r="C419" s="16">
        <v>0.35416666666666669</v>
      </c>
      <c r="D419" s="17" t="s">
        <v>527</v>
      </c>
      <c r="E419" s="14">
        <v>14.481999999999999</v>
      </c>
      <c r="F419" s="14">
        <v>20</v>
      </c>
      <c r="G419" s="14">
        <v>71.599999999999994</v>
      </c>
      <c r="H419" s="18">
        <v>74</v>
      </c>
      <c r="I419" s="19">
        <v>73.145498000000003</v>
      </c>
      <c r="J419" s="12">
        <f t="shared" si="24"/>
        <v>0.85450199999999654</v>
      </c>
      <c r="K419" s="14">
        <f t="shared" si="25"/>
        <v>0.73017366800399408</v>
      </c>
      <c r="L419" s="14">
        <f t="shared" si="26"/>
        <v>1.1547324324324277</v>
      </c>
      <c r="M419" s="14">
        <f t="shared" si="27"/>
        <v>3</v>
      </c>
    </row>
    <row r="420" spans="1:13" x14ac:dyDescent="0.25">
      <c r="A420" s="14" t="s">
        <v>985</v>
      </c>
      <c r="B420" s="20"/>
      <c r="C420" s="16">
        <v>0.375</v>
      </c>
      <c r="D420" s="17" t="s">
        <v>527</v>
      </c>
      <c r="E420" s="14">
        <v>25.617999999999999</v>
      </c>
      <c r="F420" s="14">
        <v>54</v>
      </c>
      <c r="G420" s="14">
        <v>74.099999999999994</v>
      </c>
      <c r="H420" s="18">
        <v>125</v>
      </c>
      <c r="I420" s="19">
        <v>127.58940200000001</v>
      </c>
      <c r="J420" s="12">
        <f t="shared" si="24"/>
        <v>2.5894020000000069</v>
      </c>
      <c r="K420" s="14">
        <f t="shared" si="25"/>
        <v>6.7050027176040352</v>
      </c>
      <c r="L420" s="14">
        <f t="shared" si="26"/>
        <v>2.0715216000000054</v>
      </c>
      <c r="M420" s="14">
        <f t="shared" si="27"/>
        <v>4</v>
      </c>
    </row>
    <row r="421" spans="1:13" x14ac:dyDescent="0.25">
      <c r="A421" s="14" t="s">
        <v>986</v>
      </c>
      <c r="B421" s="20"/>
      <c r="C421" s="16">
        <v>0.39583333333333331</v>
      </c>
      <c r="D421" s="17" t="s">
        <v>527</v>
      </c>
      <c r="E421" s="14">
        <v>22.137</v>
      </c>
      <c r="F421" s="14">
        <v>60</v>
      </c>
      <c r="G421" s="14">
        <v>68</v>
      </c>
      <c r="H421" s="18">
        <v>110</v>
      </c>
      <c r="I421" s="19">
        <v>110.57079299999999</v>
      </c>
      <c r="J421" s="12">
        <f t="shared" si="24"/>
        <v>0.57079299999999478</v>
      </c>
      <c r="K421" s="14">
        <f t="shared" si="25"/>
        <v>0.32580464884899402</v>
      </c>
      <c r="L421" s="14">
        <f t="shared" si="26"/>
        <v>0.51890272727272246</v>
      </c>
      <c r="M421" s="14">
        <f t="shared" si="27"/>
        <v>5</v>
      </c>
    </row>
    <row r="422" spans="1:13" x14ac:dyDescent="0.25">
      <c r="A422" s="14" t="s">
        <v>987</v>
      </c>
      <c r="B422" s="21"/>
      <c r="C422" s="16">
        <v>0.40625</v>
      </c>
      <c r="D422" s="17" t="s">
        <v>527</v>
      </c>
      <c r="E422" s="14">
        <v>23.638000000000002</v>
      </c>
      <c r="F422" s="14">
        <v>57</v>
      </c>
      <c r="G422" s="14">
        <v>87.5</v>
      </c>
      <c r="H422" s="18">
        <v>118</v>
      </c>
      <c r="I422" s="19">
        <v>117.909182</v>
      </c>
      <c r="J422" s="12">
        <f t="shared" si="24"/>
        <v>9.0817999999998733E-2</v>
      </c>
      <c r="K422" s="14">
        <f t="shared" si="25"/>
        <v>8.24790912399977E-3</v>
      </c>
      <c r="L422" s="14">
        <f t="shared" si="26"/>
        <v>7.6964406779659933E-2</v>
      </c>
      <c r="M422" s="14">
        <f t="shared" si="27"/>
        <v>1</v>
      </c>
    </row>
    <row r="423" spans="1:13" x14ac:dyDescent="0.25">
      <c r="A423" s="14" t="s">
        <v>988</v>
      </c>
      <c r="B423" s="15" t="s">
        <v>989</v>
      </c>
      <c r="C423" s="16">
        <v>0.22916666666666671</v>
      </c>
      <c r="D423" s="17" t="s">
        <v>527</v>
      </c>
      <c r="E423" s="14">
        <v>21.311</v>
      </c>
      <c r="F423" s="14">
        <v>72</v>
      </c>
      <c r="G423" s="14">
        <v>83.1</v>
      </c>
      <c r="H423" s="18">
        <v>107</v>
      </c>
      <c r="I423" s="19">
        <v>106.532479</v>
      </c>
      <c r="J423" s="12">
        <f t="shared" si="24"/>
        <v>0.46752100000000496</v>
      </c>
      <c r="K423" s="14">
        <f t="shared" si="25"/>
        <v>0.21857588544100465</v>
      </c>
      <c r="L423" s="14">
        <f t="shared" si="26"/>
        <v>0.43693551401869618</v>
      </c>
      <c r="M423" s="14">
        <f t="shared" si="27"/>
        <v>2</v>
      </c>
    </row>
    <row r="424" spans="1:13" x14ac:dyDescent="0.25">
      <c r="A424" s="14" t="s">
        <v>990</v>
      </c>
      <c r="B424" s="20"/>
      <c r="C424" s="16">
        <v>0.25</v>
      </c>
      <c r="D424" s="17" t="s">
        <v>527</v>
      </c>
      <c r="E424" s="14">
        <v>21.904</v>
      </c>
      <c r="F424" s="14">
        <v>56</v>
      </c>
      <c r="G424" s="14">
        <v>59.3</v>
      </c>
      <c r="H424" s="18">
        <v>109</v>
      </c>
      <c r="I424" s="19">
        <v>109.431656</v>
      </c>
      <c r="J424" s="12">
        <f t="shared" si="24"/>
        <v>0.43165600000000381</v>
      </c>
      <c r="K424" s="14">
        <f t="shared" si="25"/>
        <v>0.1863269023360033</v>
      </c>
      <c r="L424" s="14">
        <f t="shared" si="26"/>
        <v>0.39601467889908609</v>
      </c>
      <c r="M424" s="14">
        <f t="shared" si="27"/>
        <v>3</v>
      </c>
    </row>
    <row r="425" spans="1:13" x14ac:dyDescent="0.25">
      <c r="A425" s="14" t="s">
        <v>991</v>
      </c>
      <c r="B425" s="20"/>
      <c r="C425" s="16">
        <v>0.27083333333333331</v>
      </c>
      <c r="D425" s="17" t="s">
        <v>527</v>
      </c>
      <c r="E425" s="14">
        <v>20.3</v>
      </c>
      <c r="F425" s="14">
        <v>32</v>
      </c>
      <c r="G425" s="14">
        <v>81.3</v>
      </c>
      <c r="H425" s="18">
        <v>101</v>
      </c>
      <c r="I425" s="19">
        <v>101.58969999999999</v>
      </c>
      <c r="J425" s="12">
        <f t="shared" si="24"/>
        <v>0.58969999999999345</v>
      </c>
      <c r="K425" s="14">
        <f t="shared" si="25"/>
        <v>0.34774608999999229</v>
      </c>
      <c r="L425" s="14">
        <f t="shared" si="26"/>
        <v>0.58386138613860739</v>
      </c>
      <c r="M425" s="14">
        <f t="shared" si="27"/>
        <v>4</v>
      </c>
    </row>
    <row r="426" spans="1:13" x14ac:dyDescent="0.25">
      <c r="A426" s="14" t="s">
        <v>992</v>
      </c>
      <c r="B426" s="20"/>
      <c r="C426" s="16">
        <v>0.29166666666666669</v>
      </c>
      <c r="D426" s="17" t="s">
        <v>527</v>
      </c>
      <c r="E426" s="14">
        <v>23.103999999999999</v>
      </c>
      <c r="F426" s="14">
        <v>21</v>
      </c>
      <c r="G426" s="14">
        <v>82.7</v>
      </c>
      <c r="H426" s="18">
        <v>115</v>
      </c>
      <c r="I426" s="19">
        <v>115.298456</v>
      </c>
      <c r="J426" s="12">
        <f t="shared" si="24"/>
        <v>0.29845600000000161</v>
      </c>
      <c r="K426" s="14">
        <f t="shared" si="25"/>
        <v>8.9075983936000955E-2</v>
      </c>
      <c r="L426" s="14">
        <f t="shared" si="26"/>
        <v>0.25952695652174051</v>
      </c>
      <c r="M426" s="14">
        <f t="shared" si="27"/>
        <v>5</v>
      </c>
    </row>
    <row r="427" spans="1:13" x14ac:dyDescent="0.25">
      <c r="A427" s="14" t="s">
        <v>993</v>
      </c>
      <c r="B427" s="20"/>
      <c r="C427" s="16">
        <v>0.3125</v>
      </c>
      <c r="D427" s="17" t="s">
        <v>527</v>
      </c>
      <c r="E427" s="14">
        <v>26.241</v>
      </c>
      <c r="F427" s="14">
        <v>42</v>
      </c>
      <c r="G427" s="14">
        <v>87.3</v>
      </c>
      <c r="H427" s="18">
        <v>131</v>
      </c>
      <c r="I427" s="19">
        <v>130.63524899999999</v>
      </c>
      <c r="J427" s="12">
        <f t="shared" si="24"/>
        <v>0.36475100000001248</v>
      </c>
      <c r="K427" s="14">
        <f t="shared" si="25"/>
        <v>0.13304329200100912</v>
      </c>
      <c r="L427" s="14">
        <f t="shared" si="26"/>
        <v>0.27843587786260493</v>
      </c>
      <c r="M427" s="14">
        <f t="shared" si="27"/>
        <v>1</v>
      </c>
    </row>
    <row r="428" spans="1:13" x14ac:dyDescent="0.25">
      <c r="A428" s="14" t="s">
        <v>994</v>
      </c>
      <c r="B428" s="20"/>
      <c r="C428" s="16">
        <v>0.33333333333333331</v>
      </c>
      <c r="D428" s="17" t="s">
        <v>527</v>
      </c>
      <c r="E428" s="14">
        <v>21.109000000000002</v>
      </c>
      <c r="F428" s="14">
        <v>30</v>
      </c>
      <c r="G428" s="14">
        <v>88.8</v>
      </c>
      <c r="H428" s="18">
        <v>104</v>
      </c>
      <c r="I428" s="19">
        <v>105.544901</v>
      </c>
      <c r="J428" s="12">
        <f t="shared" si="24"/>
        <v>1.5449009999999959</v>
      </c>
      <c r="K428" s="14">
        <f t="shared" si="25"/>
        <v>2.3867190998009873</v>
      </c>
      <c r="L428" s="14">
        <f t="shared" si="26"/>
        <v>1.485481730769227</v>
      </c>
      <c r="M428" s="14">
        <f t="shared" si="27"/>
        <v>2</v>
      </c>
    </row>
    <row r="429" spans="1:13" x14ac:dyDescent="0.25">
      <c r="A429" s="14" t="s">
        <v>995</v>
      </c>
      <c r="B429" s="20"/>
      <c r="C429" s="16">
        <v>0.35416666666666669</v>
      </c>
      <c r="D429" s="17" t="s">
        <v>527</v>
      </c>
      <c r="E429" s="14">
        <v>27.007999999999999</v>
      </c>
      <c r="F429" s="14">
        <v>50</v>
      </c>
      <c r="G429" s="14">
        <v>87</v>
      </c>
      <c r="H429" s="18">
        <v>135</v>
      </c>
      <c r="I429" s="19">
        <v>134.38511199999999</v>
      </c>
      <c r="J429" s="12">
        <f t="shared" si="24"/>
        <v>0.61488800000000765</v>
      </c>
      <c r="K429" s="14">
        <f t="shared" si="25"/>
        <v>0.37808725254400943</v>
      </c>
      <c r="L429" s="14">
        <f t="shared" si="26"/>
        <v>0.45547259259259826</v>
      </c>
      <c r="M429" s="14">
        <f t="shared" si="27"/>
        <v>3</v>
      </c>
    </row>
    <row r="430" spans="1:13" x14ac:dyDescent="0.25">
      <c r="A430" s="14" t="s">
        <v>996</v>
      </c>
      <c r="B430" s="20"/>
      <c r="C430" s="16">
        <v>0.375</v>
      </c>
      <c r="D430" s="17" t="s">
        <v>527</v>
      </c>
      <c r="E430" s="14">
        <v>14.852</v>
      </c>
      <c r="F430" s="14">
        <v>33</v>
      </c>
      <c r="G430" s="14">
        <v>59</v>
      </c>
      <c r="H430" s="18">
        <v>76</v>
      </c>
      <c r="I430" s="19">
        <v>74.954428000000007</v>
      </c>
      <c r="J430" s="12">
        <f t="shared" si="24"/>
        <v>1.0455719999999928</v>
      </c>
      <c r="K430" s="14">
        <f t="shared" si="25"/>
        <v>1.0932208071839851</v>
      </c>
      <c r="L430" s="14">
        <f t="shared" si="26"/>
        <v>1.3757526315789379</v>
      </c>
      <c r="M430" s="14">
        <f t="shared" si="27"/>
        <v>4</v>
      </c>
    </row>
    <row r="431" spans="1:13" x14ac:dyDescent="0.25">
      <c r="A431" s="14" t="s">
        <v>997</v>
      </c>
      <c r="B431" s="20"/>
      <c r="C431" s="16">
        <v>0.39583333333333331</v>
      </c>
      <c r="D431" s="17" t="s">
        <v>527</v>
      </c>
      <c r="E431" s="14">
        <v>21.382000000000001</v>
      </c>
      <c r="F431" s="14">
        <v>59</v>
      </c>
      <c r="G431" s="14">
        <v>61.6</v>
      </c>
      <c r="H431" s="18">
        <v>108</v>
      </c>
      <c r="I431" s="19">
        <v>106.879598</v>
      </c>
      <c r="J431" s="12">
        <f t="shared" si="24"/>
        <v>1.1204019999999986</v>
      </c>
      <c r="K431" s="14">
        <f t="shared" si="25"/>
        <v>1.2553006416039967</v>
      </c>
      <c r="L431" s="14">
        <f t="shared" si="26"/>
        <v>1.0374092592592579</v>
      </c>
      <c r="M431" s="14">
        <f t="shared" si="27"/>
        <v>5</v>
      </c>
    </row>
    <row r="432" spans="1:13" x14ac:dyDescent="0.25">
      <c r="A432" s="14" t="s">
        <v>998</v>
      </c>
      <c r="B432" s="21"/>
      <c r="C432" s="16">
        <v>0.40625</v>
      </c>
      <c r="D432" s="17" t="s">
        <v>527</v>
      </c>
      <c r="E432" s="14">
        <v>16.495000000000001</v>
      </c>
      <c r="F432" s="14">
        <v>83</v>
      </c>
      <c r="G432" s="14">
        <v>89.9</v>
      </c>
      <c r="H432" s="18">
        <v>86</v>
      </c>
      <c r="I432" s="19">
        <v>82.987055000000012</v>
      </c>
      <c r="J432" s="12">
        <f t="shared" si="24"/>
        <v>3.0129449999999878</v>
      </c>
      <c r="K432" s="14">
        <f t="shared" si="25"/>
        <v>9.0778375730249259</v>
      </c>
      <c r="L432" s="14">
        <f t="shared" si="26"/>
        <v>3.503424418604637</v>
      </c>
      <c r="M432" s="14">
        <f t="shared" si="27"/>
        <v>1</v>
      </c>
    </row>
    <row r="433" spans="1:13" x14ac:dyDescent="0.25">
      <c r="A433" s="14" t="s">
        <v>999</v>
      </c>
      <c r="B433" s="15" t="s">
        <v>1000</v>
      </c>
      <c r="C433" s="16">
        <v>0.22916666666666671</v>
      </c>
      <c r="D433" s="17" t="s">
        <v>527</v>
      </c>
      <c r="E433" s="14">
        <v>22.521999999999998</v>
      </c>
      <c r="F433" s="14">
        <v>72</v>
      </c>
      <c r="G433" s="14">
        <v>73.599999999999994</v>
      </c>
      <c r="H433" s="18">
        <v>109</v>
      </c>
      <c r="I433" s="19">
        <v>112.453058</v>
      </c>
      <c r="J433" s="12">
        <f t="shared" si="24"/>
        <v>3.4530579999999986</v>
      </c>
      <c r="K433" s="14">
        <f t="shared" si="25"/>
        <v>11.92360955136399</v>
      </c>
      <c r="L433" s="14">
        <f t="shared" si="26"/>
        <v>3.1679431192660541</v>
      </c>
      <c r="M433" s="14">
        <f t="shared" si="27"/>
        <v>2</v>
      </c>
    </row>
    <row r="434" spans="1:13" x14ac:dyDescent="0.25">
      <c r="A434" s="14" t="s">
        <v>1001</v>
      </c>
      <c r="B434" s="20"/>
      <c r="C434" s="16">
        <v>0.25</v>
      </c>
      <c r="D434" s="17" t="s">
        <v>527</v>
      </c>
      <c r="E434" s="14">
        <v>16.106999999999999</v>
      </c>
      <c r="F434" s="14">
        <v>59</v>
      </c>
      <c r="G434" s="14">
        <v>91</v>
      </c>
      <c r="H434" s="18">
        <v>79</v>
      </c>
      <c r="I434" s="19">
        <v>81.090123000000006</v>
      </c>
      <c r="J434" s="12">
        <f t="shared" si="24"/>
        <v>2.0901230000000055</v>
      </c>
      <c r="K434" s="14">
        <f t="shared" si="25"/>
        <v>4.3686141551290234</v>
      </c>
      <c r="L434" s="14">
        <f t="shared" si="26"/>
        <v>2.6457253164557031</v>
      </c>
      <c r="M434" s="14">
        <f t="shared" si="27"/>
        <v>3</v>
      </c>
    </row>
    <row r="435" spans="1:13" x14ac:dyDescent="0.25">
      <c r="A435" s="14" t="s">
        <v>1002</v>
      </c>
      <c r="B435" s="20"/>
      <c r="C435" s="16">
        <v>0.27083333333333331</v>
      </c>
      <c r="D435" s="17" t="s">
        <v>527</v>
      </c>
      <c r="E435" s="14">
        <v>19.103999999999999</v>
      </c>
      <c r="F435" s="14">
        <v>51</v>
      </c>
      <c r="G435" s="14">
        <v>66.3</v>
      </c>
      <c r="H435" s="18">
        <v>97</v>
      </c>
      <c r="I435" s="19">
        <v>95.742456000000004</v>
      </c>
      <c r="J435" s="12">
        <f t="shared" si="24"/>
        <v>1.2575439999999958</v>
      </c>
      <c r="K435" s="14">
        <f t="shared" si="25"/>
        <v>1.5814169119359893</v>
      </c>
      <c r="L435" s="14">
        <f t="shared" si="26"/>
        <v>1.2964371134020576</v>
      </c>
      <c r="M435" s="14">
        <f t="shared" si="27"/>
        <v>4</v>
      </c>
    </row>
    <row r="436" spans="1:13" x14ac:dyDescent="0.25">
      <c r="A436" s="14" t="s">
        <v>1003</v>
      </c>
      <c r="B436" s="20"/>
      <c r="C436" s="16">
        <v>0.29166666666666669</v>
      </c>
      <c r="D436" s="17" t="s">
        <v>527</v>
      </c>
      <c r="E436" s="14">
        <v>16.5</v>
      </c>
      <c r="F436" s="14">
        <v>47</v>
      </c>
      <c r="G436" s="14">
        <v>59.5</v>
      </c>
      <c r="H436" s="18">
        <v>83</v>
      </c>
      <c r="I436" s="19">
        <v>83.011500000000012</v>
      </c>
      <c r="J436" s="12">
        <f t="shared" si="24"/>
        <v>1.1500000000012278E-2</v>
      </c>
      <c r="K436" s="14">
        <f t="shared" si="25"/>
        <v>1.322500000002824E-4</v>
      </c>
      <c r="L436" s="14">
        <f t="shared" si="26"/>
        <v>1.3855421686761783E-2</v>
      </c>
      <c r="M436" s="14">
        <f t="shared" si="27"/>
        <v>5</v>
      </c>
    </row>
    <row r="437" spans="1:13" x14ac:dyDescent="0.25">
      <c r="A437" s="14" t="s">
        <v>1004</v>
      </c>
      <c r="B437" s="20"/>
      <c r="C437" s="16">
        <v>0.3125</v>
      </c>
      <c r="D437" s="17" t="s">
        <v>527</v>
      </c>
      <c r="E437" s="14">
        <v>23.573</v>
      </c>
      <c r="F437" s="14">
        <v>30</v>
      </c>
      <c r="G437" s="14">
        <v>81.7</v>
      </c>
      <c r="H437" s="18">
        <v>119</v>
      </c>
      <c r="I437" s="19">
        <v>117.591397</v>
      </c>
      <c r="J437" s="12">
        <f t="shared" si="24"/>
        <v>1.4086029999999994</v>
      </c>
      <c r="K437" s="14">
        <f t="shared" si="25"/>
        <v>1.9841624116089982</v>
      </c>
      <c r="L437" s="14">
        <f t="shared" si="26"/>
        <v>1.1836999999999995</v>
      </c>
      <c r="M437" s="14">
        <f t="shared" si="27"/>
        <v>1</v>
      </c>
    </row>
    <row r="438" spans="1:13" x14ac:dyDescent="0.25">
      <c r="A438" s="14" t="s">
        <v>1005</v>
      </c>
      <c r="B438" s="20"/>
      <c r="C438" s="16">
        <v>0.33333333333333331</v>
      </c>
      <c r="D438" s="17" t="s">
        <v>527</v>
      </c>
      <c r="E438" s="14">
        <v>24.949000000000002</v>
      </c>
      <c r="F438" s="14">
        <v>30</v>
      </c>
      <c r="G438" s="14">
        <v>93.4</v>
      </c>
      <c r="H438" s="18">
        <v>122</v>
      </c>
      <c r="I438" s="19">
        <v>124.31866100000001</v>
      </c>
      <c r="J438" s="12">
        <f t="shared" si="24"/>
        <v>2.3186610000000059</v>
      </c>
      <c r="K438" s="14">
        <f t="shared" si="25"/>
        <v>5.3761888329210272</v>
      </c>
      <c r="L438" s="14">
        <f t="shared" si="26"/>
        <v>1.9005418032786932</v>
      </c>
      <c r="M438" s="14">
        <f t="shared" si="27"/>
        <v>2</v>
      </c>
    </row>
    <row r="439" spans="1:13" x14ac:dyDescent="0.25">
      <c r="A439" s="14" t="s">
        <v>1006</v>
      </c>
      <c r="B439" s="20"/>
      <c r="C439" s="16">
        <v>0.35416666666666669</v>
      </c>
      <c r="D439" s="17" t="s">
        <v>527</v>
      </c>
      <c r="E439" s="14">
        <v>25.494</v>
      </c>
      <c r="F439" s="14">
        <v>35</v>
      </c>
      <c r="G439" s="14">
        <v>79.099999999999994</v>
      </c>
      <c r="H439" s="18">
        <v>130</v>
      </c>
      <c r="I439" s="19">
        <v>126.983166</v>
      </c>
      <c r="J439" s="12">
        <f t="shared" si="24"/>
        <v>3.0168340000000029</v>
      </c>
      <c r="K439" s="14">
        <f t="shared" si="25"/>
        <v>9.1012873835560182</v>
      </c>
      <c r="L439" s="14">
        <f t="shared" si="26"/>
        <v>2.3206415384615409</v>
      </c>
      <c r="M439" s="14">
        <f t="shared" si="27"/>
        <v>3</v>
      </c>
    </row>
    <row r="440" spans="1:13" x14ac:dyDescent="0.25">
      <c r="A440" s="14" t="s">
        <v>1007</v>
      </c>
      <c r="B440" s="20"/>
      <c r="C440" s="16">
        <v>0.375</v>
      </c>
      <c r="D440" s="17" t="s">
        <v>527</v>
      </c>
      <c r="E440" s="14">
        <v>19.841000000000001</v>
      </c>
      <c r="F440" s="14">
        <v>49</v>
      </c>
      <c r="G440" s="14">
        <v>55.8</v>
      </c>
      <c r="H440" s="18">
        <v>99</v>
      </c>
      <c r="I440" s="19">
        <v>99.345649000000009</v>
      </c>
      <c r="J440" s="12">
        <f t="shared" si="24"/>
        <v>0.34564900000000875</v>
      </c>
      <c r="K440" s="14">
        <f t="shared" si="25"/>
        <v>0.11947323120100606</v>
      </c>
      <c r="L440" s="14">
        <f t="shared" si="26"/>
        <v>0.34914040404041291</v>
      </c>
      <c r="M440" s="14">
        <f t="shared" si="27"/>
        <v>4</v>
      </c>
    </row>
    <row r="441" spans="1:13" x14ac:dyDescent="0.25">
      <c r="A441" s="14" t="s">
        <v>1008</v>
      </c>
      <c r="B441" s="20"/>
      <c r="C441" s="16">
        <v>0.39583333333333331</v>
      </c>
      <c r="D441" s="17" t="s">
        <v>527</v>
      </c>
      <c r="E441" s="14">
        <v>18.760999999999999</v>
      </c>
      <c r="F441" s="14">
        <v>56</v>
      </c>
      <c r="G441" s="14">
        <v>77.900000000000006</v>
      </c>
      <c r="H441" s="18">
        <v>94</v>
      </c>
      <c r="I441" s="19">
        <v>94.065528999999998</v>
      </c>
      <c r="J441" s="12">
        <f t="shared" si="24"/>
        <v>6.552899999999795E-2</v>
      </c>
      <c r="K441" s="14">
        <f t="shared" si="25"/>
        <v>4.2940498409997311E-3</v>
      </c>
      <c r="L441" s="14">
        <f t="shared" si="26"/>
        <v>6.9711702127657399E-2</v>
      </c>
      <c r="M441" s="14">
        <f t="shared" si="27"/>
        <v>5</v>
      </c>
    </row>
    <row r="442" spans="1:13" x14ac:dyDescent="0.25">
      <c r="A442" s="14" t="s">
        <v>1009</v>
      </c>
      <c r="B442" s="21"/>
      <c r="C442" s="16">
        <v>0.40625</v>
      </c>
      <c r="D442" s="17" t="s">
        <v>527</v>
      </c>
      <c r="E442" s="14">
        <v>17.895</v>
      </c>
      <c r="F442" s="14">
        <v>63</v>
      </c>
      <c r="G442" s="14">
        <v>85.7</v>
      </c>
      <c r="H442" s="18">
        <v>88</v>
      </c>
      <c r="I442" s="19">
        <v>89.831655000000012</v>
      </c>
      <c r="J442" s="12">
        <f t="shared" si="24"/>
        <v>1.831655000000012</v>
      </c>
      <c r="K442" s="14">
        <f t="shared" si="25"/>
        <v>3.3549600390250442</v>
      </c>
      <c r="L442" s="14">
        <f t="shared" si="26"/>
        <v>2.0814261363636501</v>
      </c>
      <c r="M442" s="14">
        <f t="shared" si="27"/>
        <v>1</v>
      </c>
    </row>
    <row r="443" spans="1:13" x14ac:dyDescent="0.25">
      <c r="A443" s="14" t="s">
        <v>1010</v>
      </c>
      <c r="B443" s="15" t="s">
        <v>1011</v>
      </c>
      <c r="C443" s="16">
        <v>0.22916666666666671</v>
      </c>
      <c r="D443" s="17" t="s">
        <v>527</v>
      </c>
      <c r="E443" s="14">
        <v>21.763000000000002</v>
      </c>
      <c r="F443" s="14">
        <v>46</v>
      </c>
      <c r="G443" s="14">
        <v>82.9</v>
      </c>
      <c r="H443" s="18">
        <v>109</v>
      </c>
      <c r="I443" s="19">
        <v>108.742307</v>
      </c>
      <c r="J443" s="12">
        <f t="shared" si="24"/>
        <v>0.25769300000000328</v>
      </c>
      <c r="K443" s="14">
        <f t="shared" si="25"/>
        <v>6.6405682249001688E-2</v>
      </c>
      <c r="L443" s="14">
        <f t="shared" si="26"/>
        <v>0.23641559633027823</v>
      </c>
      <c r="M443" s="14">
        <f t="shared" si="27"/>
        <v>2</v>
      </c>
    </row>
    <row r="444" spans="1:13" x14ac:dyDescent="0.25">
      <c r="A444" s="14" t="s">
        <v>1012</v>
      </c>
      <c r="B444" s="20"/>
      <c r="C444" s="16">
        <v>0.25</v>
      </c>
      <c r="D444" s="17" t="s">
        <v>527</v>
      </c>
      <c r="E444" s="14">
        <v>22.173999999999999</v>
      </c>
      <c r="F444" s="14">
        <v>79</v>
      </c>
      <c r="G444" s="14">
        <v>82.2</v>
      </c>
      <c r="H444" s="18">
        <v>114</v>
      </c>
      <c r="I444" s="19">
        <v>110.75168600000001</v>
      </c>
      <c r="J444" s="12">
        <f t="shared" si="24"/>
        <v>3.2483139999999935</v>
      </c>
      <c r="K444" s="14">
        <f t="shared" si="25"/>
        <v>10.551543842595958</v>
      </c>
      <c r="L444" s="14">
        <f t="shared" si="26"/>
        <v>2.8493982456140294</v>
      </c>
      <c r="M444" s="14">
        <f t="shared" si="27"/>
        <v>3</v>
      </c>
    </row>
    <row r="445" spans="1:13" x14ac:dyDescent="0.25">
      <c r="A445" s="14" t="s">
        <v>1013</v>
      </c>
      <c r="B445" s="20"/>
      <c r="C445" s="16">
        <v>0.27083333333333331</v>
      </c>
      <c r="D445" s="17" t="s">
        <v>527</v>
      </c>
      <c r="E445" s="14">
        <v>23.311</v>
      </c>
      <c r="F445" s="14">
        <v>79</v>
      </c>
      <c r="G445" s="14">
        <v>81.599999999999994</v>
      </c>
      <c r="H445" s="18">
        <v>117</v>
      </c>
      <c r="I445" s="19">
        <v>116.310479</v>
      </c>
      <c r="J445" s="12">
        <f t="shared" si="24"/>
        <v>0.68952099999999916</v>
      </c>
      <c r="K445" s="14">
        <f t="shared" si="25"/>
        <v>0.47543920944099882</v>
      </c>
      <c r="L445" s="14">
        <f t="shared" si="26"/>
        <v>0.58933418803418736</v>
      </c>
      <c r="M445" s="14">
        <f t="shared" si="27"/>
        <v>4</v>
      </c>
    </row>
    <row r="446" spans="1:13" x14ac:dyDescent="0.25">
      <c r="A446" s="14" t="s">
        <v>1014</v>
      </c>
      <c r="B446" s="20"/>
      <c r="C446" s="16">
        <v>0.29166666666666669</v>
      </c>
      <c r="D446" s="17" t="s">
        <v>527</v>
      </c>
      <c r="E446" s="14">
        <v>22.454000000000001</v>
      </c>
      <c r="F446" s="14">
        <v>74</v>
      </c>
      <c r="G446" s="14">
        <v>79.5</v>
      </c>
      <c r="H446" s="18">
        <v>114</v>
      </c>
      <c r="I446" s="19">
        <v>112.120606</v>
      </c>
      <c r="J446" s="12">
        <f t="shared" si="24"/>
        <v>1.8793940000000049</v>
      </c>
      <c r="K446" s="14">
        <f t="shared" si="25"/>
        <v>3.5321218072360185</v>
      </c>
      <c r="L446" s="14">
        <f t="shared" si="26"/>
        <v>1.6485912280701798</v>
      </c>
      <c r="M446" s="14">
        <f t="shared" si="27"/>
        <v>5</v>
      </c>
    </row>
    <row r="447" spans="1:13" x14ac:dyDescent="0.25">
      <c r="A447" s="14" t="s">
        <v>1015</v>
      </c>
      <c r="B447" s="20"/>
      <c r="C447" s="16">
        <v>0.3125</v>
      </c>
      <c r="D447" s="17" t="s">
        <v>527</v>
      </c>
      <c r="E447" s="14">
        <v>20.827999999999999</v>
      </c>
      <c r="F447" s="14">
        <v>33</v>
      </c>
      <c r="G447" s="14">
        <v>66.8</v>
      </c>
      <c r="H447" s="18">
        <v>104</v>
      </c>
      <c r="I447" s="19">
        <v>104.171092</v>
      </c>
      <c r="J447" s="12">
        <f t="shared" si="24"/>
        <v>0.17109200000000158</v>
      </c>
      <c r="K447" s="14">
        <f t="shared" si="25"/>
        <v>2.927247246400054E-2</v>
      </c>
      <c r="L447" s="14">
        <f t="shared" si="26"/>
        <v>0.16451153846153999</v>
      </c>
      <c r="M447" s="14">
        <f t="shared" si="27"/>
        <v>1</v>
      </c>
    </row>
    <row r="448" spans="1:13" x14ac:dyDescent="0.25">
      <c r="A448" s="14" t="s">
        <v>1016</v>
      </c>
      <c r="B448" s="20"/>
      <c r="C448" s="16">
        <v>0.33333333333333331</v>
      </c>
      <c r="D448" s="17" t="s">
        <v>527</v>
      </c>
      <c r="E448" s="14">
        <v>27.710999999999999</v>
      </c>
      <c r="F448" s="14">
        <v>73</v>
      </c>
      <c r="G448" s="14">
        <v>59.4</v>
      </c>
      <c r="H448" s="18">
        <v>136</v>
      </c>
      <c r="I448" s="19">
        <v>137.822079</v>
      </c>
      <c r="J448" s="12">
        <f t="shared" si="24"/>
        <v>1.8220790000000022</v>
      </c>
      <c r="K448" s="14">
        <f t="shared" si="25"/>
        <v>3.319971882241008</v>
      </c>
      <c r="L448" s="14">
        <f t="shared" si="26"/>
        <v>1.3397639705882369</v>
      </c>
      <c r="M448" s="14">
        <f t="shared" si="27"/>
        <v>2</v>
      </c>
    </row>
    <row r="449" spans="1:13" x14ac:dyDescent="0.25">
      <c r="A449" s="14" t="s">
        <v>1017</v>
      </c>
      <c r="B449" s="20"/>
      <c r="C449" s="16">
        <v>0.35416666666666669</v>
      </c>
      <c r="D449" s="17" t="s">
        <v>527</v>
      </c>
      <c r="E449" s="14">
        <v>19.98</v>
      </c>
      <c r="F449" s="14">
        <v>27</v>
      </c>
      <c r="G449" s="14">
        <v>82.9</v>
      </c>
      <c r="H449" s="18">
        <v>103</v>
      </c>
      <c r="I449" s="19">
        <v>100.02522</v>
      </c>
      <c r="J449" s="12">
        <f t="shared" si="24"/>
        <v>2.9747799999999955</v>
      </c>
      <c r="K449" s="14">
        <f t="shared" si="25"/>
        <v>8.8493160483999738</v>
      </c>
      <c r="L449" s="14">
        <f t="shared" si="26"/>
        <v>2.8881359223300929</v>
      </c>
      <c r="M449" s="14">
        <f t="shared" si="27"/>
        <v>3</v>
      </c>
    </row>
    <row r="450" spans="1:13" x14ac:dyDescent="0.25">
      <c r="A450" s="14" t="s">
        <v>1018</v>
      </c>
      <c r="B450" s="20"/>
      <c r="C450" s="16">
        <v>0.375</v>
      </c>
      <c r="D450" s="17" t="s">
        <v>527</v>
      </c>
      <c r="E450" s="14">
        <v>20.315000000000001</v>
      </c>
      <c r="F450" s="14">
        <v>47</v>
      </c>
      <c r="G450" s="14">
        <v>55.8</v>
      </c>
      <c r="H450" s="18">
        <v>103</v>
      </c>
      <c r="I450" s="19">
        <v>101.66303499999999</v>
      </c>
      <c r="J450" s="12">
        <f t="shared" si="24"/>
        <v>1.3369650000000064</v>
      </c>
      <c r="K450" s="14">
        <f t="shared" si="25"/>
        <v>1.7874754112250171</v>
      </c>
      <c r="L450" s="14">
        <f t="shared" si="26"/>
        <v>1.2980242718446664</v>
      </c>
      <c r="M450" s="14">
        <f t="shared" si="27"/>
        <v>4</v>
      </c>
    </row>
    <row r="451" spans="1:13" x14ac:dyDescent="0.25">
      <c r="A451" s="14" t="s">
        <v>1019</v>
      </c>
      <c r="B451" s="20"/>
      <c r="C451" s="16">
        <v>0.39583333333333331</v>
      </c>
      <c r="D451" s="17" t="s">
        <v>527</v>
      </c>
      <c r="E451" s="14">
        <v>19.803000000000001</v>
      </c>
      <c r="F451" s="14">
        <v>42</v>
      </c>
      <c r="G451" s="14">
        <v>58</v>
      </c>
      <c r="H451" s="18">
        <v>100</v>
      </c>
      <c r="I451" s="19">
        <v>99.159867000000006</v>
      </c>
      <c r="J451" s="12">
        <f t="shared" ref="J451:J514" si="28">IF(OR(H451="",I451=""),"",ABS(H451-I451))</f>
        <v>0.84013299999999447</v>
      </c>
      <c r="K451" s="14">
        <f t="shared" ref="K451:K514" si="29">IF(OR(H451="",I451=""),"",(H451-I451)^2)</f>
        <v>0.70582345768899069</v>
      </c>
      <c r="L451" s="14">
        <f t="shared" ref="L451:L514" si="30">IF(OR(H451="",I451=""),"",IF(H451=0,"",ABS((H451-I451)/H451)*100))</f>
        <v>0.84013299999999447</v>
      </c>
      <c r="M451" s="14">
        <f t="shared" ref="M451:M514" si="31">MOD(ROW()-2,5)+1</f>
        <v>5</v>
      </c>
    </row>
    <row r="452" spans="1:13" x14ac:dyDescent="0.25">
      <c r="A452" s="14" t="s">
        <v>1020</v>
      </c>
      <c r="B452" s="21"/>
      <c r="C452" s="16">
        <v>0.40625</v>
      </c>
      <c r="D452" s="17" t="s">
        <v>527</v>
      </c>
      <c r="E452" s="14">
        <v>16.664000000000001</v>
      </c>
      <c r="F452" s="14">
        <v>22</v>
      </c>
      <c r="G452" s="14">
        <v>67.8</v>
      </c>
      <c r="H452" s="18">
        <v>84</v>
      </c>
      <c r="I452" s="19">
        <v>83.813296000000008</v>
      </c>
      <c r="J452" s="12">
        <f t="shared" si="28"/>
        <v>0.18670399999999177</v>
      </c>
      <c r="K452" s="14">
        <f t="shared" si="29"/>
        <v>3.4858383615996927E-2</v>
      </c>
      <c r="L452" s="14">
        <f t="shared" si="30"/>
        <v>0.22226666666665687</v>
      </c>
      <c r="M452" s="14">
        <f t="shared" si="31"/>
        <v>1</v>
      </c>
    </row>
    <row r="453" spans="1:13" x14ac:dyDescent="0.25">
      <c r="A453" s="14" t="s">
        <v>1021</v>
      </c>
      <c r="B453" s="15" t="s">
        <v>1022</v>
      </c>
      <c r="C453" s="16">
        <v>0.22916666666666671</v>
      </c>
      <c r="D453" s="17" t="s">
        <v>527</v>
      </c>
      <c r="E453" s="14">
        <v>24.864000000000001</v>
      </c>
      <c r="F453" s="14">
        <v>82</v>
      </c>
      <c r="G453" s="14">
        <v>91.3</v>
      </c>
      <c r="H453" s="18">
        <v>123</v>
      </c>
      <c r="I453" s="19">
        <v>123.90309600000001</v>
      </c>
      <c r="J453" s="12">
        <f t="shared" si="28"/>
        <v>0.90309600000000501</v>
      </c>
      <c r="K453" s="14">
        <f t="shared" si="29"/>
        <v>0.81558238521600901</v>
      </c>
      <c r="L453" s="14">
        <f t="shared" si="30"/>
        <v>0.73422439024390651</v>
      </c>
      <c r="M453" s="14">
        <f t="shared" si="31"/>
        <v>2</v>
      </c>
    </row>
    <row r="454" spans="1:13" x14ac:dyDescent="0.25">
      <c r="A454" s="14" t="s">
        <v>1023</v>
      </c>
      <c r="B454" s="20"/>
      <c r="C454" s="16">
        <v>0.25</v>
      </c>
      <c r="D454" s="17" t="s">
        <v>527</v>
      </c>
      <c r="E454" s="14">
        <v>20.138000000000002</v>
      </c>
      <c r="F454" s="14">
        <v>66</v>
      </c>
      <c r="G454" s="14">
        <v>92.4</v>
      </c>
      <c r="H454" s="18">
        <v>101</v>
      </c>
      <c r="I454" s="19">
        <v>100.79768199999999</v>
      </c>
      <c r="J454" s="12">
        <f t="shared" si="28"/>
        <v>0.20231800000000533</v>
      </c>
      <c r="K454" s="14">
        <f t="shared" si="29"/>
        <v>4.0932573124002156E-2</v>
      </c>
      <c r="L454" s="14">
        <f t="shared" si="30"/>
        <v>0.20031485148515379</v>
      </c>
      <c r="M454" s="14">
        <f t="shared" si="31"/>
        <v>3</v>
      </c>
    </row>
    <row r="455" spans="1:13" x14ac:dyDescent="0.25">
      <c r="A455" s="14" t="s">
        <v>1024</v>
      </c>
      <c r="B455" s="20"/>
      <c r="C455" s="16">
        <v>0.27083333333333331</v>
      </c>
      <c r="D455" s="17" t="s">
        <v>527</v>
      </c>
      <c r="E455" s="14">
        <v>20.148</v>
      </c>
      <c r="F455" s="14">
        <v>20</v>
      </c>
      <c r="G455" s="14">
        <v>74.3</v>
      </c>
      <c r="H455" s="18">
        <v>100</v>
      </c>
      <c r="I455" s="19">
        <v>100.84657199999999</v>
      </c>
      <c r="J455" s="12">
        <f t="shared" si="28"/>
        <v>0.84657199999999477</v>
      </c>
      <c r="K455" s="14">
        <f t="shared" si="29"/>
        <v>0.7166841511839912</v>
      </c>
      <c r="L455" s="14">
        <f t="shared" si="30"/>
        <v>0.84657199999999477</v>
      </c>
      <c r="M455" s="14">
        <f t="shared" si="31"/>
        <v>4</v>
      </c>
    </row>
    <row r="456" spans="1:13" x14ac:dyDescent="0.25">
      <c r="A456" s="14" t="s">
        <v>1025</v>
      </c>
      <c r="B456" s="20"/>
      <c r="C456" s="16">
        <v>0.29166666666666669</v>
      </c>
      <c r="D456" s="17" t="s">
        <v>527</v>
      </c>
      <c r="E456" s="14">
        <v>21.777000000000001</v>
      </c>
      <c r="F456" s="14">
        <v>62</v>
      </c>
      <c r="G456" s="14">
        <v>91.8</v>
      </c>
      <c r="H456" s="18">
        <v>110</v>
      </c>
      <c r="I456" s="19">
        <v>108.81075300000001</v>
      </c>
      <c r="J456" s="12">
        <f t="shared" si="28"/>
        <v>1.1892469999999946</v>
      </c>
      <c r="K456" s="14">
        <f t="shared" si="29"/>
        <v>1.4143084270089872</v>
      </c>
      <c r="L456" s="14">
        <f t="shared" si="30"/>
        <v>1.0811336363636315</v>
      </c>
      <c r="M456" s="14">
        <f t="shared" si="31"/>
        <v>5</v>
      </c>
    </row>
    <row r="457" spans="1:13" x14ac:dyDescent="0.25">
      <c r="A457" s="14" t="s">
        <v>1026</v>
      </c>
      <c r="B457" s="20"/>
      <c r="C457" s="16">
        <v>0.3125</v>
      </c>
      <c r="D457" s="17" t="s">
        <v>527</v>
      </c>
      <c r="E457" s="14">
        <v>21.681999999999999</v>
      </c>
      <c r="F457" s="14">
        <v>31</v>
      </c>
      <c r="G457" s="14">
        <v>72.7</v>
      </c>
      <c r="H457" s="18">
        <v>108</v>
      </c>
      <c r="I457" s="19">
        <v>108.346298</v>
      </c>
      <c r="J457" s="12">
        <f t="shared" si="28"/>
        <v>0.34629800000000444</v>
      </c>
      <c r="K457" s="14">
        <f t="shared" si="29"/>
        <v>0.11992230480400307</v>
      </c>
      <c r="L457" s="14">
        <f t="shared" si="30"/>
        <v>0.32064629629630043</v>
      </c>
      <c r="M457" s="14">
        <f t="shared" si="31"/>
        <v>1</v>
      </c>
    </row>
    <row r="458" spans="1:13" x14ac:dyDescent="0.25">
      <c r="A458" s="14" t="s">
        <v>1027</v>
      </c>
      <c r="B458" s="20"/>
      <c r="C458" s="16">
        <v>0.33333333333333331</v>
      </c>
      <c r="D458" s="17" t="s">
        <v>527</v>
      </c>
      <c r="E458" s="14">
        <v>21.539000000000001</v>
      </c>
      <c r="F458" s="14">
        <v>84</v>
      </c>
      <c r="G458" s="14">
        <v>74</v>
      </c>
      <c r="H458" s="18">
        <v>109</v>
      </c>
      <c r="I458" s="19">
        <v>107.647171</v>
      </c>
      <c r="J458" s="12">
        <f t="shared" si="28"/>
        <v>1.3528289999999998</v>
      </c>
      <c r="K458" s="14">
        <f t="shared" si="29"/>
        <v>1.8301463032409995</v>
      </c>
      <c r="L458" s="14">
        <f t="shared" si="30"/>
        <v>1.2411275229357797</v>
      </c>
      <c r="M458" s="14">
        <f t="shared" si="31"/>
        <v>2</v>
      </c>
    </row>
    <row r="459" spans="1:13" x14ac:dyDescent="0.25">
      <c r="A459" s="14" t="s">
        <v>1028</v>
      </c>
      <c r="B459" s="20"/>
      <c r="C459" s="16">
        <v>0.35416666666666669</v>
      </c>
      <c r="D459" s="17" t="s">
        <v>527</v>
      </c>
      <c r="E459" s="14">
        <v>19.678000000000001</v>
      </c>
      <c r="F459" s="14">
        <v>35</v>
      </c>
      <c r="G459" s="14">
        <v>82</v>
      </c>
      <c r="H459" s="18">
        <v>97</v>
      </c>
      <c r="I459" s="19">
        <v>98.548742000000018</v>
      </c>
      <c r="J459" s="12">
        <f t="shared" si="28"/>
        <v>1.5487420000000185</v>
      </c>
      <c r="K459" s="14">
        <f t="shared" si="29"/>
        <v>2.3986017825640573</v>
      </c>
      <c r="L459" s="14">
        <f t="shared" si="30"/>
        <v>1.5966412371134213</v>
      </c>
      <c r="M459" s="14">
        <f t="shared" si="31"/>
        <v>3</v>
      </c>
    </row>
    <row r="460" spans="1:13" x14ac:dyDescent="0.25">
      <c r="A460" s="14" t="s">
        <v>1029</v>
      </c>
      <c r="B460" s="20"/>
      <c r="C460" s="16">
        <v>0.375</v>
      </c>
      <c r="D460" s="17" t="s">
        <v>527</v>
      </c>
      <c r="E460" s="14">
        <v>23.619</v>
      </c>
      <c r="F460" s="14">
        <v>79</v>
      </c>
      <c r="G460" s="14">
        <v>61.2</v>
      </c>
      <c r="H460" s="18">
        <v>118</v>
      </c>
      <c r="I460" s="19">
        <v>117.81629100000001</v>
      </c>
      <c r="J460" s="12">
        <f t="shared" si="28"/>
        <v>0.18370899999999324</v>
      </c>
      <c r="K460" s="14">
        <f t="shared" si="29"/>
        <v>3.3748996680997519E-2</v>
      </c>
      <c r="L460" s="14">
        <f t="shared" si="30"/>
        <v>0.15568559322033326</v>
      </c>
      <c r="M460" s="14">
        <f t="shared" si="31"/>
        <v>4</v>
      </c>
    </row>
    <row r="461" spans="1:13" x14ac:dyDescent="0.25">
      <c r="A461" s="14" t="s">
        <v>1030</v>
      </c>
      <c r="B461" s="20"/>
      <c r="C461" s="16">
        <v>0.39583333333333331</v>
      </c>
      <c r="D461" s="17" t="s">
        <v>527</v>
      </c>
      <c r="E461" s="14">
        <v>19.372</v>
      </c>
      <c r="F461" s="14">
        <v>54</v>
      </c>
      <c r="G461" s="14">
        <v>72</v>
      </c>
      <c r="H461" s="18">
        <v>95</v>
      </c>
      <c r="I461" s="19">
        <v>97.05270800000001</v>
      </c>
      <c r="J461" s="12">
        <f t="shared" si="28"/>
        <v>2.0527080000000097</v>
      </c>
      <c r="K461" s="14">
        <f t="shared" si="29"/>
        <v>4.2136101332640399</v>
      </c>
      <c r="L461" s="14">
        <f t="shared" si="30"/>
        <v>2.1607452631579047</v>
      </c>
      <c r="M461" s="14">
        <f t="shared" si="31"/>
        <v>5</v>
      </c>
    </row>
    <row r="462" spans="1:13" x14ac:dyDescent="0.25">
      <c r="A462" s="14" t="s">
        <v>1031</v>
      </c>
      <c r="B462" s="21"/>
      <c r="C462" s="16">
        <v>0.40625</v>
      </c>
      <c r="D462" s="17" t="s">
        <v>527</v>
      </c>
      <c r="E462" s="14">
        <v>18.928000000000001</v>
      </c>
      <c r="F462" s="14">
        <v>42</v>
      </c>
      <c r="G462" s="14">
        <v>56.4</v>
      </c>
      <c r="H462" s="18">
        <v>95</v>
      </c>
      <c r="I462" s="19">
        <v>94.881992000000011</v>
      </c>
      <c r="J462" s="12">
        <f t="shared" si="28"/>
        <v>0.11800799999998901</v>
      </c>
      <c r="K462" s="14">
        <f t="shared" si="29"/>
        <v>1.3925888063997407E-2</v>
      </c>
      <c r="L462" s="14">
        <f t="shared" si="30"/>
        <v>0.12421894736840949</v>
      </c>
      <c r="M462" s="14">
        <f t="shared" si="31"/>
        <v>1</v>
      </c>
    </row>
    <row r="463" spans="1:13" x14ac:dyDescent="0.25">
      <c r="A463" s="14" t="s">
        <v>1032</v>
      </c>
      <c r="B463" s="15" t="s">
        <v>1033</v>
      </c>
      <c r="C463" s="16">
        <v>0.22916666666666671</v>
      </c>
      <c r="D463" s="17" t="s">
        <v>527</v>
      </c>
      <c r="E463" s="14">
        <v>19.736000000000001</v>
      </c>
      <c r="F463" s="14">
        <v>65</v>
      </c>
      <c r="G463" s="14">
        <v>64.8</v>
      </c>
      <c r="H463" s="18">
        <v>98</v>
      </c>
      <c r="I463" s="19">
        <v>98.832304000000008</v>
      </c>
      <c r="J463" s="12">
        <f t="shared" si="28"/>
        <v>0.8323040000000077</v>
      </c>
      <c r="K463" s="14">
        <f t="shared" si="29"/>
        <v>0.69272994841601288</v>
      </c>
      <c r="L463" s="14">
        <f t="shared" si="30"/>
        <v>0.84928979591837528</v>
      </c>
      <c r="M463" s="14">
        <f t="shared" si="31"/>
        <v>2</v>
      </c>
    </row>
    <row r="464" spans="1:13" x14ac:dyDescent="0.25">
      <c r="A464" s="14" t="s">
        <v>1034</v>
      </c>
      <c r="B464" s="20"/>
      <c r="C464" s="16">
        <v>0.25</v>
      </c>
      <c r="D464" s="17" t="s">
        <v>527</v>
      </c>
      <c r="E464" s="14">
        <v>25.986000000000001</v>
      </c>
      <c r="F464" s="14">
        <v>82</v>
      </c>
      <c r="G464" s="14">
        <v>57.2</v>
      </c>
      <c r="H464" s="18">
        <v>130</v>
      </c>
      <c r="I464" s="19">
        <v>129.388554</v>
      </c>
      <c r="J464" s="12">
        <f t="shared" si="28"/>
        <v>0.61144600000000082</v>
      </c>
      <c r="K464" s="14">
        <f t="shared" si="29"/>
        <v>0.37386621091600103</v>
      </c>
      <c r="L464" s="14">
        <f t="shared" si="30"/>
        <v>0.47034307692307753</v>
      </c>
      <c r="M464" s="14">
        <f t="shared" si="31"/>
        <v>3</v>
      </c>
    </row>
    <row r="465" spans="1:13" x14ac:dyDescent="0.25">
      <c r="A465" s="14" t="s">
        <v>1035</v>
      </c>
      <c r="B465" s="20"/>
      <c r="C465" s="16">
        <v>0.27083333333333331</v>
      </c>
      <c r="D465" s="17" t="s">
        <v>527</v>
      </c>
      <c r="E465" s="14">
        <v>19.366</v>
      </c>
      <c r="F465" s="14">
        <v>70</v>
      </c>
      <c r="G465" s="14">
        <v>68.8</v>
      </c>
      <c r="H465" s="18">
        <v>97</v>
      </c>
      <c r="I465" s="19">
        <v>97.023374000000004</v>
      </c>
      <c r="J465" s="12">
        <f t="shared" si="28"/>
        <v>2.3374000000004003E-2</v>
      </c>
      <c r="K465" s="14">
        <f t="shared" si="29"/>
        <v>5.4634387600018713E-4</v>
      </c>
      <c r="L465" s="14">
        <f t="shared" si="30"/>
        <v>2.4096907216498972E-2</v>
      </c>
      <c r="M465" s="14">
        <f t="shared" si="31"/>
        <v>4</v>
      </c>
    </row>
    <row r="466" spans="1:13" x14ac:dyDescent="0.25">
      <c r="A466" s="14" t="s">
        <v>1036</v>
      </c>
      <c r="B466" s="20"/>
      <c r="C466" s="16">
        <v>0.29166666666666669</v>
      </c>
      <c r="D466" s="17" t="s">
        <v>527</v>
      </c>
      <c r="E466" s="14">
        <v>22.891999999999999</v>
      </c>
      <c r="F466" s="14">
        <v>32</v>
      </c>
      <c r="G466" s="14">
        <v>76.900000000000006</v>
      </c>
      <c r="H466" s="18">
        <v>114</v>
      </c>
      <c r="I466" s="19">
        <v>114.261988</v>
      </c>
      <c r="J466" s="12">
        <f t="shared" si="28"/>
        <v>0.26198800000000233</v>
      </c>
      <c r="K466" s="14">
        <f t="shared" si="29"/>
        <v>6.8637712144001217E-2</v>
      </c>
      <c r="L466" s="14">
        <f t="shared" si="30"/>
        <v>0.22981403508772133</v>
      </c>
      <c r="M466" s="14">
        <f t="shared" si="31"/>
        <v>5</v>
      </c>
    </row>
    <row r="467" spans="1:13" x14ac:dyDescent="0.25">
      <c r="A467" s="14" t="s">
        <v>1037</v>
      </c>
      <c r="B467" s="20"/>
      <c r="C467" s="16">
        <v>0.3125</v>
      </c>
      <c r="D467" s="17" t="s">
        <v>527</v>
      </c>
      <c r="E467" s="14">
        <v>23.991</v>
      </c>
      <c r="F467" s="14">
        <v>66</v>
      </c>
      <c r="G467" s="14">
        <v>90.2</v>
      </c>
      <c r="H467" s="18">
        <v>119</v>
      </c>
      <c r="I467" s="19">
        <v>119.63499899999999</v>
      </c>
      <c r="J467" s="12">
        <f t="shared" si="28"/>
        <v>0.63499899999999343</v>
      </c>
      <c r="K467" s="14">
        <f t="shared" si="29"/>
        <v>0.40322373000099165</v>
      </c>
      <c r="L467" s="14">
        <f t="shared" si="30"/>
        <v>0.53361260504201125</v>
      </c>
      <c r="M467" s="14">
        <f t="shared" si="31"/>
        <v>1</v>
      </c>
    </row>
    <row r="468" spans="1:13" x14ac:dyDescent="0.25">
      <c r="A468" s="14" t="s">
        <v>1038</v>
      </c>
      <c r="B468" s="20"/>
      <c r="C468" s="16">
        <v>0.33333333333333331</v>
      </c>
      <c r="D468" s="17" t="s">
        <v>527</v>
      </c>
      <c r="E468" s="14">
        <v>17.754999999999999</v>
      </c>
      <c r="F468" s="14">
        <v>79</v>
      </c>
      <c r="G468" s="14">
        <v>64.400000000000006</v>
      </c>
      <c r="H468" s="18">
        <v>91</v>
      </c>
      <c r="I468" s="19">
        <v>89.147194999999996</v>
      </c>
      <c r="J468" s="12">
        <f t="shared" si="28"/>
        <v>1.8528050000000036</v>
      </c>
      <c r="K468" s="14">
        <f t="shared" si="29"/>
        <v>3.4328863680250135</v>
      </c>
      <c r="L468" s="14">
        <f t="shared" si="30"/>
        <v>2.0360494505494544</v>
      </c>
      <c r="M468" s="14">
        <f t="shared" si="31"/>
        <v>2</v>
      </c>
    </row>
    <row r="469" spans="1:13" x14ac:dyDescent="0.25">
      <c r="A469" s="14" t="s">
        <v>1039</v>
      </c>
      <c r="B469" s="20"/>
      <c r="C469" s="16">
        <v>0.35416666666666669</v>
      </c>
      <c r="D469" s="17" t="s">
        <v>527</v>
      </c>
      <c r="E469" s="14">
        <v>21.510999999999999</v>
      </c>
      <c r="F469" s="14">
        <v>29</v>
      </c>
      <c r="G469" s="14">
        <v>63.5</v>
      </c>
      <c r="H469" s="18">
        <v>105</v>
      </c>
      <c r="I469" s="19">
        <v>107.510279</v>
      </c>
      <c r="J469" s="12">
        <f t="shared" si="28"/>
        <v>2.510278999999997</v>
      </c>
      <c r="K469" s="14">
        <f t="shared" si="29"/>
        <v>6.3015006578409851</v>
      </c>
      <c r="L469" s="14">
        <f t="shared" si="30"/>
        <v>2.3907419047619021</v>
      </c>
      <c r="M469" s="14">
        <f t="shared" si="31"/>
        <v>3</v>
      </c>
    </row>
    <row r="470" spans="1:13" x14ac:dyDescent="0.25">
      <c r="A470" s="14" t="s">
        <v>1040</v>
      </c>
      <c r="B470" s="20"/>
      <c r="C470" s="16">
        <v>0.375</v>
      </c>
      <c r="D470" s="17" t="s">
        <v>527</v>
      </c>
      <c r="E470" s="14">
        <v>17.538</v>
      </c>
      <c r="F470" s="14">
        <v>76</v>
      </c>
      <c r="G470" s="14">
        <v>75.599999999999994</v>
      </c>
      <c r="H470" s="18">
        <v>91</v>
      </c>
      <c r="I470" s="19">
        <v>88.086282000000011</v>
      </c>
      <c r="J470" s="12">
        <f t="shared" si="28"/>
        <v>2.9137179999999887</v>
      </c>
      <c r="K470" s="14">
        <f t="shared" si="29"/>
        <v>8.4897525835239342</v>
      </c>
      <c r="L470" s="14">
        <f t="shared" si="30"/>
        <v>3.2018879120878996</v>
      </c>
      <c r="M470" s="14">
        <f t="shared" si="31"/>
        <v>4</v>
      </c>
    </row>
    <row r="471" spans="1:13" x14ac:dyDescent="0.25">
      <c r="A471" s="14" t="s">
        <v>1041</v>
      </c>
      <c r="B471" s="20"/>
      <c r="C471" s="16">
        <v>0.39583333333333331</v>
      </c>
      <c r="D471" s="17" t="s">
        <v>527</v>
      </c>
      <c r="E471" s="14">
        <v>24.956</v>
      </c>
      <c r="F471" s="14">
        <v>54</v>
      </c>
      <c r="G471" s="14">
        <v>77</v>
      </c>
      <c r="H471" s="18">
        <v>126</v>
      </c>
      <c r="I471" s="19">
        <v>124.352884</v>
      </c>
      <c r="J471" s="12">
        <f t="shared" si="28"/>
        <v>1.6471159999999969</v>
      </c>
      <c r="K471" s="14">
        <f t="shared" si="29"/>
        <v>2.71299111745599</v>
      </c>
      <c r="L471" s="14">
        <f t="shared" si="30"/>
        <v>1.3072349206349181</v>
      </c>
      <c r="M471" s="14">
        <f t="shared" si="31"/>
        <v>5</v>
      </c>
    </row>
    <row r="472" spans="1:13" x14ac:dyDescent="0.25">
      <c r="A472" s="14" t="s">
        <v>1042</v>
      </c>
      <c r="B472" s="21"/>
      <c r="C472" s="16">
        <v>0.40625</v>
      </c>
      <c r="D472" s="17" t="s">
        <v>527</v>
      </c>
      <c r="E472" s="14">
        <v>19.166</v>
      </c>
      <c r="F472" s="14">
        <v>78</v>
      </c>
      <c r="G472" s="14">
        <v>72</v>
      </c>
      <c r="H472" s="18">
        <v>96</v>
      </c>
      <c r="I472" s="19">
        <v>96.045574000000016</v>
      </c>
      <c r="J472" s="12">
        <f t="shared" si="28"/>
        <v>4.5574000000016213E-2</v>
      </c>
      <c r="K472" s="14">
        <f t="shared" si="29"/>
        <v>2.0769894760014778E-3</v>
      </c>
      <c r="L472" s="14">
        <f t="shared" si="30"/>
        <v>4.7472916666683559E-2</v>
      </c>
      <c r="M472" s="14">
        <f t="shared" si="31"/>
        <v>1</v>
      </c>
    </row>
    <row r="473" spans="1:13" x14ac:dyDescent="0.25">
      <c r="A473" s="14" t="s">
        <v>1043</v>
      </c>
      <c r="B473" s="15" t="s">
        <v>1044</v>
      </c>
      <c r="C473" s="16">
        <v>0.22916666666666671</v>
      </c>
      <c r="D473" s="17" t="s">
        <v>527</v>
      </c>
      <c r="E473" s="14">
        <v>22.547000000000001</v>
      </c>
      <c r="F473" s="14">
        <v>60</v>
      </c>
      <c r="G473" s="14">
        <v>89.7</v>
      </c>
      <c r="H473" s="18">
        <v>112</v>
      </c>
      <c r="I473" s="19">
        <v>112.575283</v>
      </c>
      <c r="J473" s="12">
        <f t="shared" si="28"/>
        <v>0.57528299999999888</v>
      </c>
      <c r="K473" s="14">
        <f t="shared" si="29"/>
        <v>0.33095053008899872</v>
      </c>
      <c r="L473" s="14">
        <f t="shared" si="30"/>
        <v>0.51364553571428473</v>
      </c>
      <c r="M473" s="14">
        <f t="shared" si="31"/>
        <v>2</v>
      </c>
    </row>
    <row r="474" spans="1:13" x14ac:dyDescent="0.25">
      <c r="A474" s="14" t="s">
        <v>1045</v>
      </c>
      <c r="B474" s="20"/>
      <c r="C474" s="16">
        <v>0.25</v>
      </c>
      <c r="D474" s="17" t="s">
        <v>527</v>
      </c>
      <c r="E474" s="14">
        <v>21.361000000000001</v>
      </c>
      <c r="F474" s="14">
        <v>56</v>
      </c>
      <c r="G474" s="14">
        <v>87.2</v>
      </c>
      <c r="H474" s="18">
        <v>104</v>
      </c>
      <c r="I474" s="19">
        <v>106.776929</v>
      </c>
      <c r="J474" s="12">
        <f t="shared" si="28"/>
        <v>2.7769289999999955</v>
      </c>
      <c r="K474" s="14">
        <f t="shared" si="29"/>
        <v>7.7113346710409756</v>
      </c>
      <c r="L474" s="14">
        <f t="shared" si="30"/>
        <v>2.6701240384615339</v>
      </c>
      <c r="M474" s="14">
        <f t="shared" si="31"/>
        <v>3</v>
      </c>
    </row>
    <row r="475" spans="1:13" x14ac:dyDescent="0.25">
      <c r="A475" s="14" t="s">
        <v>1046</v>
      </c>
      <c r="B475" s="20"/>
      <c r="C475" s="16">
        <v>0.27083333333333331</v>
      </c>
      <c r="D475" s="17" t="s">
        <v>527</v>
      </c>
      <c r="E475" s="14">
        <v>20.738</v>
      </c>
      <c r="F475" s="14">
        <v>73</v>
      </c>
      <c r="G475" s="14">
        <v>79.5</v>
      </c>
      <c r="H475" s="18">
        <v>107</v>
      </c>
      <c r="I475" s="19">
        <v>103.731082</v>
      </c>
      <c r="J475" s="12">
        <f t="shared" si="28"/>
        <v>3.2689179999999993</v>
      </c>
      <c r="K475" s="14">
        <f t="shared" si="29"/>
        <v>10.685824890723996</v>
      </c>
      <c r="L475" s="14">
        <f t="shared" si="30"/>
        <v>3.0550635514018687</v>
      </c>
      <c r="M475" s="14">
        <f t="shared" si="31"/>
        <v>4</v>
      </c>
    </row>
    <row r="476" spans="1:13" x14ac:dyDescent="0.25">
      <c r="A476" s="14" t="s">
        <v>1047</v>
      </c>
      <c r="B476" s="20"/>
      <c r="C476" s="16">
        <v>0.29166666666666669</v>
      </c>
      <c r="D476" s="17" t="s">
        <v>527</v>
      </c>
      <c r="E476" s="14">
        <v>19.419</v>
      </c>
      <c r="F476" s="14">
        <v>80</v>
      </c>
      <c r="G476" s="14">
        <v>85.5</v>
      </c>
      <c r="H476" s="18">
        <v>98</v>
      </c>
      <c r="I476" s="19">
        <v>97.282491000000007</v>
      </c>
      <c r="J476" s="12">
        <f t="shared" si="28"/>
        <v>0.71750899999999262</v>
      </c>
      <c r="K476" s="14">
        <f t="shared" si="29"/>
        <v>0.51481916508098946</v>
      </c>
      <c r="L476" s="14">
        <f t="shared" si="30"/>
        <v>0.73215204081631902</v>
      </c>
      <c r="M476" s="14">
        <f t="shared" si="31"/>
        <v>5</v>
      </c>
    </row>
    <row r="477" spans="1:13" x14ac:dyDescent="0.25">
      <c r="A477" s="14" t="s">
        <v>1048</v>
      </c>
      <c r="B477" s="20"/>
      <c r="C477" s="16">
        <v>0.3125</v>
      </c>
      <c r="D477" s="17" t="s">
        <v>527</v>
      </c>
      <c r="E477" s="14">
        <v>15.842000000000001</v>
      </c>
      <c r="F477" s="14">
        <v>63</v>
      </c>
      <c r="G477" s="14">
        <v>62.7</v>
      </c>
      <c r="H477" s="18">
        <v>83</v>
      </c>
      <c r="I477" s="19">
        <v>79.794538000000003</v>
      </c>
      <c r="J477" s="12">
        <f t="shared" si="28"/>
        <v>3.2054619999999971</v>
      </c>
      <c r="K477" s="14">
        <f t="shared" si="29"/>
        <v>10.274986633443982</v>
      </c>
      <c r="L477" s="14">
        <f t="shared" si="30"/>
        <v>3.8620024096385506</v>
      </c>
      <c r="M477" s="14">
        <f t="shared" si="31"/>
        <v>1</v>
      </c>
    </row>
    <row r="478" spans="1:13" x14ac:dyDescent="0.25">
      <c r="A478" s="14" t="s">
        <v>1049</v>
      </c>
      <c r="B478" s="20"/>
      <c r="C478" s="16">
        <v>0.33333333333333331</v>
      </c>
      <c r="D478" s="17" t="s">
        <v>527</v>
      </c>
      <c r="E478" s="14">
        <v>22.811</v>
      </c>
      <c r="F478" s="14">
        <v>28</v>
      </c>
      <c r="G478" s="14">
        <v>60</v>
      </c>
      <c r="H478" s="18">
        <v>114</v>
      </c>
      <c r="I478" s="19">
        <v>113.865979</v>
      </c>
      <c r="J478" s="12">
        <f t="shared" si="28"/>
        <v>0.13402100000000416</v>
      </c>
      <c r="K478" s="14">
        <f t="shared" si="29"/>
        <v>1.7961628441001118E-2</v>
      </c>
      <c r="L478" s="14">
        <f t="shared" si="30"/>
        <v>0.11756228070175805</v>
      </c>
      <c r="M478" s="14">
        <f t="shared" si="31"/>
        <v>2</v>
      </c>
    </row>
    <row r="479" spans="1:13" x14ac:dyDescent="0.25">
      <c r="A479" s="14" t="s">
        <v>1050</v>
      </c>
      <c r="B479" s="20"/>
      <c r="C479" s="16">
        <v>0.35416666666666669</v>
      </c>
      <c r="D479" s="17" t="s">
        <v>527</v>
      </c>
      <c r="E479" s="14">
        <v>21.097000000000001</v>
      </c>
      <c r="F479" s="14">
        <v>79</v>
      </c>
      <c r="G479" s="14">
        <v>63</v>
      </c>
      <c r="H479" s="18">
        <v>105</v>
      </c>
      <c r="I479" s="19">
        <v>105.486233</v>
      </c>
      <c r="J479" s="12">
        <f t="shared" si="28"/>
        <v>0.48623299999999858</v>
      </c>
      <c r="K479" s="14">
        <f t="shared" si="29"/>
        <v>0.23642253028899862</v>
      </c>
      <c r="L479" s="14">
        <f t="shared" si="30"/>
        <v>0.46307904761904628</v>
      </c>
      <c r="M479" s="14">
        <f t="shared" si="31"/>
        <v>3</v>
      </c>
    </row>
    <row r="480" spans="1:13" x14ac:dyDescent="0.25">
      <c r="A480" s="14" t="s">
        <v>1051</v>
      </c>
      <c r="B480" s="20"/>
      <c r="C480" s="16">
        <v>0.375</v>
      </c>
      <c r="D480" s="17" t="s">
        <v>527</v>
      </c>
      <c r="E480" s="14">
        <v>21.766999999999999</v>
      </c>
      <c r="F480" s="14">
        <v>42</v>
      </c>
      <c r="G480" s="14">
        <v>69.3</v>
      </c>
      <c r="H480" s="18">
        <v>106</v>
      </c>
      <c r="I480" s="19">
        <v>108.76186300000001</v>
      </c>
      <c r="J480" s="12">
        <f t="shared" si="28"/>
        <v>2.7618630000000053</v>
      </c>
      <c r="K480" s="14">
        <f t="shared" si="29"/>
        <v>7.6278872307690291</v>
      </c>
      <c r="L480" s="14">
        <f t="shared" si="30"/>
        <v>2.6055311320754768</v>
      </c>
      <c r="M480" s="14">
        <f t="shared" si="31"/>
        <v>4</v>
      </c>
    </row>
    <row r="481" spans="1:13" x14ac:dyDescent="0.25">
      <c r="A481" s="14" t="s">
        <v>1052</v>
      </c>
      <c r="B481" s="20"/>
      <c r="C481" s="16">
        <v>0.39583333333333331</v>
      </c>
      <c r="D481" s="17" t="s">
        <v>527</v>
      </c>
      <c r="E481" s="14">
        <v>25.242999999999999</v>
      </c>
      <c r="F481" s="14">
        <v>69</v>
      </c>
      <c r="G481" s="14">
        <v>83.9</v>
      </c>
      <c r="H481" s="18">
        <v>126</v>
      </c>
      <c r="I481" s="19">
        <v>125.756027</v>
      </c>
      <c r="J481" s="12">
        <f t="shared" si="28"/>
        <v>0.24397299999999689</v>
      </c>
      <c r="K481" s="14">
        <f t="shared" si="29"/>
        <v>5.9522824728998482E-2</v>
      </c>
      <c r="L481" s="14">
        <f t="shared" si="30"/>
        <v>0.19362936507936263</v>
      </c>
      <c r="M481" s="14">
        <f t="shared" si="31"/>
        <v>5</v>
      </c>
    </row>
    <row r="482" spans="1:13" x14ac:dyDescent="0.25">
      <c r="A482" s="14" t="s">
        <v>1053</v>
      </c>
      <c r="B482" s="21"/>
      <c r="C482" s="16">
        <v>0.40625</v>
      </c>
      <c r="D482" s="17" t="s">
        <v>527</v>
      </c>
      <c r="E482" s="14">
        <v>20.571999999999999</v>
      </c>
      <c r="F482" s="14">
        <v>21</v>
      </c>
      <c r="G482" s="14">
        <v>92.4</v>
      </c>
      <c r="H482" s="18">
        <v>101</v>
      </c>
      <c r="I482" s="19">
        <v>102.91950799999999</v>
      </c>
      <c r="J482" s="12">
        <f t="shared" si="28"/>
        <v>1.9195079999999933</v>
      </c>
      <c r="K482" s="14">
        <f t="shared" si="29"/>
        <v>3.6845109620639742</v>
      </c>
      <c r="L482" s="14">
        <f t="shared" si="30"/>
        <v>1.9005029702970231</v>
      </c>
      <c r="M482" s="14">
        <f t="shared" si="31"/>
        <v>1</v>
      </c>
    </row>
    <row r="483" spans="1:13" x14ac:dyDescent="0.25">
      <c r="A483" s="14" t="s">
        <v>1054</v>
      </c>
      <c r="B483" s="15" t="s">
        <v>1055</v>
      </c>
      <c r="C483" s="16">
        <v>0.22916666666666671</v>
      </c>
      <c r="D483" s="17" t="s">
        <v>527</v>
      </c>
      <c r="E483" s="14">
        <v>17.408000000000001</v>
      </c>
      <c r="F483" s="14">
        <v>76</v>
      </c>
      <c r="G483" s="14">
        <v>77.400000000000006</v>
      </c>
      <c r="H483" s="18">
        <v>86</v>
      </c>
      <c r="I483" s="19">
        <v>87.45071200000001</v>
      </c>
      <c r="J483" s="12">
        <f t="shared" si="28"/>
        <v>1.45071200000001</v>
      </c>
      <c r="K483" s="14">
        <f t="shared" si="29"/>
        <v>2.1045653069440289</v>
      </c>
      <c r="L483" s="14">
        <f t="shared" si="30"/>
        <v>1.6868744186046627</v>
      </c>
      <c r="M483" s="14">
        <f t="shared" si="31"/>
        <v>2</v>
      </c>
    </row>
    <row r="484" spans="1:13" x14ac:dyDescent="0.25">
      <c r="A484" s="14" t="s">
        <v>1056</v>
      </c>
      <c r="B484" s="20"/>
      <c r="C484" s="16">
        <v>0.25</v>
      </c>
      <c r="D484" s="17" t="s">
        <v>527</v>
      </c>
      <c r="E484" s="14">
        <v>20.045000000000002</v>
      </c>
      <c r="F484" s="14">
        <v>37</v>
      </c>
      <c r="G484" s="14">
        <v>94.3</v>
      </c>
      <c r="H484" s="18">
        <v>101</v>
      </c>
      <c r="I484" s="19">
        <v>100.34300500000001</v>
      </c>
      <c r="J484" s="12">
        <f t="shared" si="28"/>
        <v>0.65699499999999489</v>
      </c>
      <c r="K484" s="14">
        <f t="shared" si="29"/>
        <v>0.43164243002499331</v>
      </c>
      <c r="L484" s="14">
        <f t="shared" si="30"/>
        <v>0.65049009900989596</v>
      </c>
      <c r="M484" s="14">
        <f t="shared" si="31"/>
        <v>3</v>
      </c>
    </row>
    <row r="485" spans="1:13" x14ac:dyDescent="0.25">
      <c r="A485" s="14" t="s">
        <v>1057</v>
      </c>
      <c r="B485" s="20"/>
      <c r="C485" s="16">
        <v>0.27083333333333331</v>
      </c>
      <c r="D485" s="17" t="s">
        <v>527</v>
      </c>
      <c r="E485" s="14">
        <v>24.297999999999998</v>
      </c>
      <c r="F485" s="14">
        <v>80</v>
      </c>
      <c r="G485" s="14">
        <v>77.3</v>
      </c>
      <c r="H485" s="18">
        <v>124</v>
      </c>
      <c r="I485" s="19">
        <v>121.13592199999999</v>
      </c>
      <c r="J485" s="12">
        <f t="shared" si="28"/>
        <v>2.8640780000000063</v>
      </c>
      <c r="K485" s="14">
        <f t="shared" si="29"/>
        <v>8.2029427900840357</v>
      </c>
      <c r="L485" s="14">
        <f t="shared" si="30"/>
        <v>2.3097403225806503</v>
      </c>
      <c r="M485" s="14">
        <f t="shared" si="31"/>
        <v>4</v>
      </c>
    </row>
    <row r="486" spans="1:13" x14ac:dyDescent="0.25">
      <c r="A486" s="14" t="s">
        <v>1058</v>
      </c>
      <c r="B486" s="20"/>
      <c r="C486" s="16">
        <v>0.29166666666666669</v>
      </c>
      <c r="D486" s="17" t="s">
        <v>527</v>
      </c>
      <c r="E486" s="14">
        <v>24.097999999999999</v>
      </c>
      <c r="F486" s="14">
        <v>71</v>
      </c>
      <c r="G486" s="14">
        <v>67.2</v>
      </c>
      <c r="H486" s="18">
        <v>120</v>
      </c>
      <c r="I486" s="19">
        <v>120.15812200000001</v>
      </c>
      <c r="J486" s="12">
        <f t="shared" si="28"/>
        <v>0.15812200000000587</v>
      </c>
      <c r="K486" s="14">
        <f t="shared" si="29"/>
        <v>2.5002566884001855E-2</v>
      </c>
      <c r="L486" s="14">
        <f t="shared" si="30"/>
        <v>0.13176833333333823</v>
      </c>
      <c r="M486" s="14">
        <f t="shared" si="31"/>
        <v>5</v>
      </c>
    </row>
    <row r="487" spans="1:13" x14ac:dyDescent="0.25">
      <c r="A487" s="14" t="s">
        <v>1059</v>
      </c>
      <c r="B487" s="20"/>
      <c r="C487" s="16">
        <v>0.3125</v>
      </c>
      <c r="D487" s="17" t="s">
        <v>527</v>
      </c>
      <c r="E487" s="14">
        <v>22.867999999999999</v>
      </c>
      <c r="F487" s="14">
        <v>74</v>
      </c>
      <c r="G487" s="14">
        <v>74.900000000000006</v>
      </c>
      <c r="H487" s="18">
        <v>117</v>
      </c>
      <c r="I487" s="19">
        <v>114.14465199999999</v>
      </c>
      <c r="J487" s="12">
        <f t="shared" si="28"/>
        <v>2.8553480000000064</v>
      </c>
      <c r="K487" s="14">
        <f t="shared" si="29"/>
        <v>8.1530122011040369</v>
      </c>
      <c r="L487" s="14">
        <f t="shared" si="30"/>
        <v>2.4404683760683814</v>
      </c>
      <c r="M487" s="14">
        <f t="shared" si="31"/>
        <v>1</v>
      </c>
    </row>
    <row r="488" spans="1:13" x14ac:dyDescent="0.25">
      <c r="A488" s="14" t="s">
        <v>1060</v>
      </c>
      <c r="B488" s="20"/>
      <c r="C488" s="16">
        <v>0.33333333333333331</v>
      </c>
      <c r="D488" s="17" t="s">
        <v>527</v>
      </c>
      <c r="E488" s="14">
        <v>24.661000000000001</v>
      </c>
      <c r="F488" s="14">
        <v>58</v>
      </c>
      <c r="G488" s="14">
        <v>61.1</v>
      </c>
      <c r="H488" s="18">
        <v>121</v>
      </c>
      <c r="I488" s="19">
        <v>122.910629</v>
      </c>
      <c r="J488" s="12">
        <f t="shared" si="28"/>
        <v>1.9106290000000001</v>
      </c>
      <c r="K488" s="14">
        <f t="shared" si="29"/>
        <v>3.6505031756410005</v>
      </c>
      <c r="L488" s="14">
        <f t="shared" si="30"/>
        <v>1.5790322314049587</v>
      </c>
      <c r="M488" s="14">
        <f t="shared" si="31"/>
        <v>2</v>
      </c>
    </row>
    <row r="489" spans="1:13" x14ac:dyDescent="0.25">
      <c r="A489" s="14" t="s">
        <v>1061</v>
      </c>
      <c r="B489" s="20"/>
      <c r="C489" s="16">
        <v>0.35416666666666669</v>
      </c>
      <c r="D489" s="17" t="s">
        <v>527</v>
      </c>
      <c r="E489" s="14">
        <v>21.141999999999999</v>
      </c>
      <c r="F489" s="14">
        <v>20</v>
      </c>
      <c r="G489" s="14">
        <v>59.6</v>
      </c>
      <c r="H489" s="18">
        <v>106</v>
      </c>
      <c r="I489" s="19">
        <v>105.706238</v>
      </c>
      <c r="J489" s="12">
        <f t="shared" si="28"/>
        <v>0.29376200000000097</v>
      </c>
      <c r="K489" s="14">
        <f t="shared" si="29"/>
        <v>8.6296112644000569E-2</v>
      </c>
      <c r="L489" s="14">
        <f t="shared" si="30"/>
        <v>0.27713396226415182</v>
      </c>
      <c r="M489" s="14">
        <f t="shared" si="31"/>
        <v>3</v>
      </c>
    </row>
    <row r="490" spans="1:13" x14ac:dyDescent="0.25">
      <c r="A490" s="14" t="s">
        <v>1062</v>
      </c>
      <c r="B490" s="20"/>
      <c r="C490" s="16">
        <v>0.375</v>
      </c>
      <c r="D490" s="17" t="s">
        <v>527</v>
      </c>
      <c r="E490" s="14">
        <v>19.826000000000001</v>
      </c>
      <c r="F490" s="14">
        <v>23</v>
      </c>
      <c r="G490" s="14">
        <v>82.2</v>
      </c>
      <c r="H490" s="18">
        <v>97</v>
      </c>
      <c r="I490" s="19">
        <v>99.272314000000009</v>
      </c>
      <c r="J490" s="12">
        <f t="shared" si="28"/>
        <v>2.2723140000000086</v>
      </c>
      <c r="K490" s="14">
        <f t="shared" si="29"/>
        <v>5.1634109145960387</v>
      </c>
      <c r="L490" s="14">
        <f t="shared" si="30"/>
        <v>2.3425917525773285</v>
      </c>
      <c r="M490" s="14">
        <f t="shared" si="31"/>
        <v>4</v>
      </c>
    </row>
    <row r="491" spans="1:13" x14ac:dyDescent="0.25">
      <c r="A491" s="14" t="s">
        <v>1063</v>
      </c>
      <c r="B491" s="20"/>
      <c r="C491" s="16">
        <v>0.39583333333333331</v>
      </c>
      <c r="D491" s="17" t="s">
        <v>527</v>
      </c>
      <c r="E491" s="14">
        <v>22.228999999999999</v>
      </c>
      <c r="F491" s="14">
        <v>22</v>
      </c>
      <c r="G491" s="14">
        <v>67.3</v>
      </c>
      <c r="H491" s="18">
        <v>112</v>
      </c>
      <c r="I491" s="19">
        <v>111.02058100000001</v>
      </c>
      <c r="J491" s="12">
        <f t="shared" si="28"/>
        <v>0.97941899999999293</v>
      </c>
      <c r="K491" s="14">
        <f t="shared" si="29"/>
        <v>0.95926157756098618</v>
      </c>
      <c r="L491" s="14">
        <f t="shared" si="30"/>
        <v>0.87448124999999366</v>
      </c>
      <c r="M491" s="14">
        <f t="shared" si="31"/>
        <v>5</v>
      </c>
    </row>
    <row r="492" spans="1:13" x14ac:dyDescent="0.25">
      <c r="A492" s="14" t="s">
        <v>1064</v>
      </c>
      <c r="B492" s="21"/>
      <c r="C492" s="16">
        <v>0.40625</v>
      </c>
      <c r="D492" s="17" t="s">
        <v>527</v>
      </c>
      <c r="E492" s="14">
        <v>19.295999999999999</v>
      </c>
      <c r="F492" s="14">
        <v>22</v>
      </c>
      <c r="G492" s="14">
        <v>66</v>
      </c>
      <c r="H492" s="18">
        <v>96</v>
      </c>
      <c r="I492" s="19">
        <v>96.681144000000003</v>
      </c>
      <c r="J492" s="12">
        <f t="shared" si="28"/>
        <v>0.6811440000000033</v>
      </c>
      <c r="K492" s="14">
        <f t="shared" si="29"/>
        <v>0.46395714873600452</v>
      </c>
      <c r="L492" s="14">
        <f t="shared" si="30"/>
        <v>0.70952500000000351</v>
      </c>
      <c r="M492" s="14">
        <f t="shared" si="31"/>
        <v>1</v>
      </c>
    </row>
    <row r="493" spans="1:13" x14ac:dyDescent="0.25">
      <c r="A493" s="14" t="s">
        <v>1065</v>
      </c>
      <c r="B493" s="15" t="s">
        <v>1066</v>
      </c>
      <c r="C493" s="16">
        <v>0.22916666666666671</v>
      </c>
      <c r="D493" s="17" t="s">
        <v>527</v>
      </c>
      <c r="E493" s="14">
        <v>17.675000000000001</v>
      </c>
      <c r="F493" s="14">
        <v>71</v>
      </c>
      <c r="G493" s="14">
        <v>71.7</v>
      </c>
      <c r="H493" s="18">
        <v>88</v>
      </c>
      <c r="I493" s="19">
        <v>88.75607500000001</v>
      </c>
      <c r="J493" s="12">
        <f t="shared" si="28"/>
        <v>0.75607500000000982</v>
      </c>
      <c r="K493" s="14">
        <f t="shared" si="29"/>
        <v>0.57164940562501487</v>
      </c>
      <c r="L493" s="14">
        <f t="shared" si="30"/>
        <v>0.85917613636364754</v>
      </c>
      <c r="M493" s="14">
        <f t="shared" si="31"/>
        <v>2</v>
      </c>
    </row>
    <row r="494" spans="1:13" x14ac:dyDescent="0.25">
      <c r="A494" s="14" t="s">
        <v>1067</v>
      </c>
      <c r="B494" s="20"/>
      <c r="C494" s="16">
        <v>0.25</v>
      </c>
      <c r="D494" s="17" t="s">
        <v>527</v>
      </c>
      <c r="E494" s="14">
        <v>21.184000000000001</v>
      </c>
      <c r="F494" s="14">
        <v>64</v>
      </c>
      <c r="G494" s="14">
        <v>69.2</v>
      </c>
      <c r="H494" s="18">
        <v>106</v>
      </c>
      <c r="I494" s="19">
        <v>105.911576</v>
      </c>
      <c r="J494" s="12">
        <f t="shared" si="28"/>
        <v>8.8424000000003389E-2</v>
      </c>
      <c r="K494" s="14">
        <f t="shared" si="29"/>
        <v>7.8188037760005998E-3</v>
      </c>
      <c r="L494" s="14">
        <f t="shared" si="30"/>
        <v>8.3418867924531501E-2</v>
      </c>
      <c r="M494" s="14">
        <f t="shared" si="31"/>
        <v>3</v>
      </c>
    </row>
    <row r="495" spans="1:13" x14ac:dyDescent="0.25">
      <c r="A495" s="14" t="s">
        <v>1068</v>
      </c>
      <c r="B495" s="20"/>
      <c r="C495" s="16">
        <v>0.27083333333333331</v>
      </c>
      <c r="D495" s="17" t="s">
        <v>527</v>
      </c>
      <c r="E495" s="14">
        <v>19.646000000000001</v>
      </c>
      <c r="F495" s="14">
        <v>66</v>
      </c>
      <c r="G495" s="14">
        <v>90.3</v>
      </c>
      <c r="H495" s="18">
        <v>99</v>
      </c>
      <c r="I495" s="19">
        <v>98.392294000000007</v>
      </c>
      <c r="J495" s="12">
        <f t="shared" si="28"/>
        <v>0.6077059999999932</v>
      </c>
      <c r="K495" s="14">
        <f t="shared" si="29"/>
        <v>0.36930658243599174</v>
      </c>
      <c r="L495" s="14">
        <f t="shared" si="30"/>
        <v>0.61384444444443764</v>
      </c>
      <c r="M495" s="14">
        <f t="shared" si="31"/>
        <v>4</v>
      </c>
    </row>
    <row r="496" spans="1:13" x14ac:dyDescent="0.25">
      <c r="A496" s="14" t="s">
        <v>1069</v>
      </c>
      <c r="B496" s="20"/>
      <c r="C496" s="16">
        <v>0.29166666666666669</v>
      </c>
      <c r="D496" s="17" t="s">
        <v>527</v>
      </c>
      <c r="E496" s="14">
        <v>20.54</v>
      </c>
      <c r="F496" s="14">
        <v>26</v>
      </c>
      <c r="G496" s="14">
        <v>62.5</v>
      </c>
      <c r="H496" s="18">
        <v>102</v>
      </c>
      <c r="I496" s="19">
        <v>102.76306</v>
      </c>
      <c r="J496" s="12">
        <f t="shared" si="28"/>
        <v>0.76305999999999585</v>
      </c>
      <c r="K496" s="14">
        <f t="shared" si="29"/>
        <v>0.58226056359999367</v>
      </c>
      <c r="L496" s="14">
        <f t="shared" si="30"/>
        <v>0.74809803921568219</v>
      </c>
      <c r="M496" s="14">
        <f t="shared" si="31"/>
        <v>5</v>
      </c>
    </row>
    <row r="497" spans="1:13" x14ac:dyDescent="0.25">
      <c r="A497" s="14" t="s">
        <v>1070</v>
      </c>
      <c r="B497" s="20"/>
      <c r="C497" s="16">
        <v>0.3125</v>
      </c>
      <c r="D497" s="17" t="s">
        <v>527</v>
      </c>
      <c r="E497" s="14">
        <v>19.670000000000002</v>
      </c>
      <c r="F497" s="14">
        <v>37</v>
      </c>
      <c r="G497" s="14">
        <v>67.2</v>
      </c>
      <c r="H497" s="18">
        <v>100</v>
      </c>
      <c r="I497" s="19">
        <v>98.509630000000016</v>
      </c>
      <c r="J497" s="12">
        <f t="shared" si="28"/>
        <v>1.4903699999999844</v>
      </c>
      <c r="K497" s="14">
        <f t="shared" si="29"/>
        <v>2.2212027368999534</v>
      </c>
      <c r="L497" s="14">
        <f t="shared" si="30"/>
        <v>1.4903699999999844</v>
      </c>
      <c r="M497" s="14">
        <f t="shared" si="31"/>
        <v>1</v>
      </c>
    </row>
    <row r="498" spans="1:13" x14ac:dyDescent="0.25">
      <c r="A498" s="14" t="s">
        <v>1071</v>
      </c>
      <c r="B498" s="20"/>
      <c r="C498" s="16">
        <v>0.33333333333333331</v>
      </c>
      <c r="D498" s="17" t="s">
        <v>527</v>
      </c>
      <c r="E498" s="14">
        <v>21.969000000000001</v>
      </c>
      <c r="F498" s="14">
        <v>78</v>
      </c>
      <c r="G498" s="14">
        <v>71.099999999999994</v>
      </c>
      <c r="H498" s="18">
        <v>112</v>
      </c>
      <c r="I498" s="19">
        <v>109.749441</v>
      </c>
      <c r="J498" s="12">
        <f t="shared" si="28"/>
        <v>2.2505589999999955</v>
      </c>
      <c r="K498" s="14">
        <f t="shared" si="29"/>
        <v>5.0650158124809801</v>
      </c>
      <c r="L498" s="14">
        <f t="shared" si="30"/>
        <v>2.0094276785714245</v>
      </c>
      <c r="M498" s="14">
        <f t="shared" si="31"/>
        <v>2</v>
      </c>
    </row>
    <row r="499" spans="1:13" x14ac:dyDescent="0.25">
      <c r="A499" s="14" t="s">
        <v>1072</v>
      </c>
      <c r="B499" s="20"/>
      <c r="C499" s="16">
        <v>0.35416666666666669</v>
      </c>
      <c r="D499" s="17" t="s">
        <v>527</v>
      </c>
      <c r="E499" s="14">
        <v>19.242999999999999</v>
      </c>
      <c r="F499" s="14">
        <v>52</v>
      </c>
      <c r="G499" s="14">
        <v>77.2</v>
      </c>
      <c r="H499" s="18">
        <v>94</v>
      </c>
      <c r="I499" s="19">
        <v>96.422027</v>
      </c>
      <c r="J499" s="12">
        <f t="shared" si="28"/>
        <v>2.4220269999999999</v>
      </c>
      <c r="K499" s="14">
        <f t="shared" si="29"/>
        <v>5.8662147887289997</v>
      </c>
      <c r="L499" s="14">
        <f t="shared" si="30"/>
        <v>2.5766244680851065</v>
      </c>
      <c r="M499" s="14">
        <f t="shared" si="31"/>
        <v>3</v>
      </c>
    </row>
    <row r="500" spans="1:13" x14ac:dyDescent="0.25">
      <c r="A500" s="14" t="s">
        <v>1073</v>
      </c>
      <c r="B500" s="20"/>
      <c r="C500" s="16">
        <v>0.375</v>
      </c>
      <c r="D500" s="17" t="s">
        <v>527</v>
      </c>
      <c r="E500" s="14">
        <v>21.259</v>
      </c>
      <c r="F500" s="14">
        <v>67</v>
      </c>
      <c r="G500" s="14">
        <v>73.900000000000006</v>
      </c>
      <c r="H500" s="18">
        <v>105</v>
      </c>
      <c r="I500" s="19">
        <v>106.278251</v>
      </c>
      <c r="J500" s="12">
        <f t="shared" si="28"/>
        <v>1.2782509999999974</v>
      </c>
      <c r="K500" s="14">
        <f t="shared" si="29"/>
        <v>1.6339256190009932</v>
      </c>
      <c r="L500" s="14">
        <f t="shared" si="30"/>
        <v>1.2173819047619023</v>
      </c>
      <c r="M500" s="14">
        <f t="shared" si="31"/>
        <v>4</v>
      </c>
    </row>
    <row r="501" spans="1:13" x14ac:dyDescent="0.25">
      <c r="A501" s="14" t="s">
        <v>1074</v>
      </c>
      <c r="B501" s="20"/>
      <c r="C501" s="16">
        <v>0.39583333333333331</v>
      </c>
      <c r="D501" s="17" t="s">
        <v>527</v>
      </c>
      <c r="E501" s="14">
        <v>19.623000000000001</v>
      </c>
      <c r="F501" s="14">
        <v>79</v>
      </c>
      <c r="G501" s="14">
        <v>92.7</v>
      </c>
      <c r="H501" s="18">
        <v>98</v>
      </c>
      <c r="I501" s="19">
        <v>98.279847000000018</v>
      </c>
      <c r="J501" s="12">
        <f t="shared" si="28"/>
        <v>0.27984700000001794</v>
      </c>
      <c r="K501" s="14">
        <f t="shared" si="29"/>
        <v>7.8314343409010043E-2</v>
      </c>
      <c r="L501" s="14">
        <f t="shared" si="30"/>
        <v>0.28555816326532441</v>
      </c>
      <c r="M501" s="14">
        <f t="shared" si="31"/>
        <v>5</v>
      </c>
    </row>
    <row r="502" spans="1:13" x14ac:dyDescent="0.25">
      <c r="A502" s="14" t="s">
        <v>1075</v>
      </c>
      <c r="B502" s="21"/>
      <c r="C502" s="16">
        <v>0.40625</v>
      </c>
      <c r="D502" s="17" t="s">
        <v>527</v>
      </c>
      <c r="E502" s="14">
        <v>18.992999999999999</v>
      </c>
      <c r="F502" s="14">
        <v>34</v>
      </c>
      <c r="G502" s="14">
        <v>75.599999999999994</v>
      </c>
      <c r="H502" s="18">
        <v>92</v>
      </c>
      <c r="I502" s="19">
        <v>95.199776999999997</v>
      </c>
      <c r="J502" s="12">
        <f t="shared" si="28"/>
        <v>3.1997769999999974</v>
      </c>
      <c r="K502" s="14">
        <f t="shared" si="29"/>
        <v>10.238572849728984</v>
      </c>
      <c r="L502" s="14">
        <f t="shared" si="30"/>
        <v>3.478018478260867</v>
      </c>
      <c r="M502" s="14">
        <f t="shared" si="31"/>
        <v>1</v>
      </c>
    </row>
    <row r="503" spans="1:13" x14ac:dyDescent="0.25">
      <c r="A503" s="14" t="s">
        <v>525</v>
      </c>
      <c r="B503" s="15" t="s">
        <v>526</v>
      </c>
      <c r="C503" s="16">
        <v>0.375</v>
      </c>
      <c r="D503" s="17" t="s">
        <v>1076</v>
      </c>
      <c r="E503" s="14">
        <v>31.545999999999999</v>
      </c>
      <c r="F503" s="14">
        <v>43</v>
      </c>
      <c r="G503" s="14">
        <v>69.400000000000006</v>
      </c>
      <c r="H503" s="18">
        <v>248</v>
      </c>
      <c r="I503" s="19">
        <v>245.04061999999999</v>
      </c>
      <c r="J503" s="14">
        <f t="shared" si="28"/>
        <v>2.9593800000000101</v>
      </c>
      <c r="K503" s="14">
        <f t="shared" si="29"/>
        <v>8.7579299844000591</v>
      </c>
      <c r="L503" s="14">
        <f t="shared" si="30"/>
        <v>1.1932983870967784</v>
      </c>
      <c r="M503" s="14">
        <f t="shared" si="31"/>
        <v>2</v>
      </c>
    </row>
    <row r="504" spans="1:13" x14ac:dyDescent="0.25">
      <c r="A504" s="14" t="s">
        <v>528</v>
      </c>
      <c r="B504" s="20"/>
      <c r="C504" s="16">
        <v>0.3888888888888889</v>
      </c>
      <c r="D504" s="17" t="s">
        <v>1076</v>
      </c>
      <c r="E504" s="14">
        <v>33.225000000000001</v>
      </c>
      <c r="F504" s="14">
        <v>81</v>
      </c>
      <c r="G504" s="14">
        <v>64.400000000000006</v>
      </c>
      <c r="H504" s="18">
        <v>342</v>
      </c>
      <c r="I504" s="19">
        <v>342.89075000000003</v>
      </c>
      <c r="J504" s="14">
        <f t="shared" si="28"/>
        <v>0.89075000000002547</v>
      </c>
      <c r="K504" s="14">
        <f t="shared" si="29"/>
        <v>0.79343556250004532</v>
      </c>
      <c r="L504" s="14">
        <f t="shared" si="30"/>
        <v>0.26045321637427649</v>
      </c>
      <c r="M504" s="14">
        <f t="shared" si="31"/>
        <v>3</v>
      </c>
    </row>
    <row r="505" spans="1:13" x14ac:dyDescent="0.25">
      <c r="A505" s="14" t="s">
        <v>529</v>
      </c>
      <c r="B505" s="20"/>
      <c r="C505" s="16">
        <v>0.40277777777777779</v>
      </c>
      <c r="D505" s="17" t="s">
        <v>1076</v>
      </c>
      <c r="E505" s="14">
        <v>31.437000000000001</v>
      </c>
      <c r="F505" s="14">
        <v>29</v>
      </c>
      <c r="G505" s="14">
        <v>82.3</v>
      </c>
      <c r="H505" s="18">
        <v>243</v>
      </c>
      <c r="I505" s="19">
        <v>246.55839</v>
      </c>
      <c r="J505" s="14">
        <f t="shared" si="28"/>
        <v>3.5583900000000028</v>
      </c>
      <c r="K505" s="14">
        <f t="shared" si="29"/>
        <v>12.66213939210002</v>
      </c>
      <c r="L505" s="14">
        <f t="shared" si="30"/>
        <v>1.4643580246913592</v>
      </c>
      <c r="M505" s="14">
        <f t="shared" si="31"/>
        <v>4</v>
      </c>
    </row>
    <row r="506" spans="1:13" x14ac:dyDescent="0.25">
      <c r="A506" s="14" t="s">
        <v>530</v>
      </c>
      <c r="B506" s="20"/>
      <c r="C506" s="16">
        <v>0.41666666666666669</v>
      </c>
      <c r="D506" s="17" t="s">
        <v>1076</v>
      </c>
      <c r="E506" s="14">
        <v>31.085000000000001</v>
      </c>
      <c r="F506" s="14">
        <v>21</v>
      </c>
      <c r="G506" s="14">
        <v>59.4</v>
      </c>
      <c r="H506" s="18">
        <v>230</v>
      </c>
      <c r="I506" s="19">
        <v>229.56</v>
      </c>
      <c r="J506" s="14">
        <f t="shared" si="28"/>
        <v>0.43999999999999773</v>
      </c>
      <c r="K506" s="14">
        <f t="shared" si="29"/>
        <v>0.193599999999998</v>
      </c>
      <c r="L506" s="14">
        <f t="shared" si="30"/>
        <v>0.19130434782608596</v>
      </c>
      <c r="M506" s="14">
        <f t="shared" si="31"/>
        <v>5</v>
      </c>
    </row>
    <row r="507" spans="1:13" x14ac:dyDescent="0.25">
      <c r="A507" s="14" t="s">
        <v>531</v>
      </c>
      <c r="B507" s="20"/>
      <c r="C507" s="16">
        <v>0.43055555555555558</v>
      </c>
      <c r="D507" s="17" t="s">
        <v>1076</v>
      </c>
      <c r="E507" s="14">
        <v>31.349</v>
      </c>
      <c r="F507" s="14">
        <v>23</v>
      </c>
      <c r="G507" s="14">
        <v>85.9</v>
      </c>
      <c r="H507" s="18">
        <v>229</v>
      </c>
      <c r="I507" s="19">
        <v>231.3250300000002</v>
      </c>
      <c r="J507" s="14">
        <f t="shared" si="28"/>
        <v>2.3250300000001971</v>
      </c>
      <c r="K507" s="14">
        <f t="shared" si="29"/>
        <v>5.4057645009009168</v>
      </c>
      <c r="L507" s="14">
        <f t="shared" si="30"/>
        <v>1.0152969432315271</v>
      </c>
      <c r="M507" s="14">
        <f t="shared" si="31"/>
        <v>1</v>
      </c>
    </row>
    <row r="508" spans="1:13" x14ac:dyDescent="0.25">
      <c r="A508" s="14" t="s">
        <v>532</v>
      </c>
      <c r="B508" s="20"/>
      <c r="C508" s="16">
        <v>0.44444444444444442</v>
      </c>
      <c r="D508" s="17" t="s">
        <v>1076</v>
      </c>
      <c r="E508" s="14">
        <v>31.622</v>
      </c>
      <c r="F508" s="14">
        <v>23</v>
      </c>
      <c r="G508" s="14">
        <v>70.400000000000006</v>
      </c>
      <c r="H508" s="18">
        <v>246</v>
      </c>
      <c r="I508" s="19">
        <v>247.5603400000002</v>
      </c>
      <c r="J508" s="14">
        <f t="shared" si="28"/>
        <v>1.5603400000001955</v>
      </c>
      <c r="K508" s="14">
        <f t="shared" si="29"/>
        <v>2.43466091560061</v>
      </c>
      <c r="L508" s="14">
        <f t="shared" si="30"/>
        <v>0.63428455284560792</v>
      </c>
      <c r="M508" s="14">
        <f t="shared" si="31"/>
        <v>2</v>
      </c>
    </row>
    <row r="509" spans="1:13" x14ac:dyDescent="0.25">
      <c r="A509" s="14" t="s">
        <v>533</v>
      </c>
      <c r="B509" s="20"/>
      <c r="C509" s="16">
        <v>0.45833333333333331</v>
      </c>
      <c r="D509" s="17" t="s">
        <v>1076</v>
      </c>
      <c r="E509" s="14">
        <v>31.635999999999999</v>
      </c>
      <c r="F509" s="14">
        <v>47</v>
      </c>
      <c r="G509" s="14">
        <v>65.900000000000006</v>
      </c>
      <c r="H509" s="18">
        <v>263</v>
      </c>
      <c r="I509" s="19">
        <v>262.51</v>
      </c>
      <c r="J509" s="12">
        <f t="shared" si="28"/>
        <v>0.49000000000000909</v>
      </c>
      <c r="K509" s="14">
        <f t="shared" si="29"/>
        <v>0.24010000000000892</v>
      </c>
      <c r="L509" s="14">
        <f t="shared" si="30"/>
        <v>0.1863117870722468</v>
      </c>
      <c r="M509" s="14">
        <f t="shared" si="31"/>
        <v>3</v>
      </c>
    </row>
    <row r="510" spans="1:13" x14ac:dyDescent="0.25">
      <c r="A510" s="14" t="s">
        <v>534</v>
      </c>
      <c r="B510" s="20"/>
      <c r="C510" s="16">
        <v>0.47222222222222221</v>
      </c>
      <c r="D510" s="17" t="s">
        <v>1076</v>
      </c>
      <c r="E510" s="14">
        <v>32.372999999999998</v>
      </c>
      <c r="F510" s="14">
        <v>84</v>
      </c>
      <c r="G510" s="14">
        <v>58.3</v>
      </c>
      <c r="H510" s="18">
        <v>300</v>
      </c>
      <c r="I510" s="19">
        <v>299.22230999999999</v>
      </c>
      <c r="J510" s="12">
        <f t="shared" si="28"/>
        <v>0.77769000000000688</v>
      </c>
      <c r="K510" s="14">
        <f t="shared" si="29"/>
        <v>0.60480173610001065</v>
      </c>
      <c r="L510" s="14">
        <f t="shared" si="30"/>
        <v>0.25923000000000229</v>
      </c>
      <c r="M510" s="14">
        <f t="shared" si="31"/>
        <v>4</v>
      </c>
    </row>
    <row r="511" spans="1:13" x14ac:dyDescent="0.25">
      <c r="A511" s="14" t="s">
        <v>535</v>
      </c>
      <c r="B511" s="20"/>
      <c r="C511" s="16">
        <v>0.4861111111111111</v>
      </c>
      <c r="D511" s="17" t="s">
        <v>1076</v>
      </c>
      <c r="E511" s="14">
        <v>31.196999999999999</v>
      </c>
      <c r="F511" s="14">
        <v>68</v>
      </c>
      <c r="G511" s="14">
        <v>58.6</v>
      </c>
      <c r="H511" s="18">
        <v>218</v>
      </c>
      <c r="I511" s="19">
        <v>221.28559000000001</v>
      </c>
      <c r="J511" s="12">
        <f t="shared" si="28"/>
        <v>3.2855900000000133</v>
      </c>
      <c r="K511" s="14">
        <f t="shared" si="29"/>
        <v>10.795101648100088</v>
      </c>
      <c r="L511" s="14">
        <f t="shared" si="30"/>
        <v>1.5071513761467952</v>
      </c>
      <c r="M511" s="14">
        <f t="shared" si="31"/>
        <v>5</v>
      </c>
    </row>
    <row r="512" spans="1:13" x14ac:dyDescent="0.25">
      <c r="A512" s="14" t="s">
        <v>536</v>
      </c>
      <c r="B512" s="21"/>
      <c r="C512" s="16">
        <v>0.5</v>
      </c>
      <c r="D512" s="17" t="s">
        <v>1076</v>
      </c>
      <c r="E512" s="14">
        <v>32.781000000000013</v>
      </c>
      <c r="F512" s="14">
        <v>43</v>
      </c>
      <c r="G512" s="14">
        <v>73.7</v>
      </c>
      <c r="H512" s="18">
        <v>322</v>
      </c>
      <c r="I512" s="19">
        <v>321.48606999999998</v>
      </c>
      <c r="J512" s="12">
        <f t="shared" si="28"/>
        <v>0.51393000000001621</v>
      </c>
      <c r="K512" s="14">
        <f t="shared" si="29"/>
        <v>0.26412404490001667</v>
      </c>
      <c r="L512" s="14">
        <f t="shared" si="30"/>
        <v>0.15960559006211683</v>
      </c>
      <c r="M512" s="14">
        <f t="shared" si="31"/>
        <v>1</v>
      </c>
    </row>
    <row r="513" spans="1:13" x14ac:dyDescent="0.25">
      <c r="A513" s="14" t="s">
        <v>537</v>
      </c>
      <c r="B513" s="15" t="s">
        <v>538</v>
      </c>
      <c r="C513" s="16">
        <v>0.375</v>
      </c>
      <c r="D513" s="17" t="s">
        <v>1076</v>
      </c>
      <c r="E513" s="14">
        <v>31.343</v>
      </c>
      <c r="F513" s="14">
        <v>76</v>
      </c>
      <c r="G513" s="14">
        <v>62.3</v>
      </c>
      <c r="H513" s="18">
        <v>227</v>
      </c>
      <c r="I513" s="19">
        <v>230.9682100000002</v>
      </c>
      <c r="J513" s="12">
        <f t="shared" si="28"/>
        <v>3.9682100000001981</v>
      </c>
      <c r="K513" s="14">
        <f t="shared" si="29"/>
        <v>15.746690604101572</v>
      </c>
      <c r="L513" s="14">
        <f t="shared" si="30"/>
        <v>1.7481101321586776</v>
      </c>
      <c r="M513" s="14">
        <f t="shared" si="31"/>
        <v>2</v>
      </c>
    </row>
    <row r="514" spans="1:13" x14ac:dyDescent="0.25">
      <c r="A514" s="14" t="s">
        <v>539</v>
      </c>
      <c r="B514" s="20"/>
      <c r="C514" s="16">
        <v>0.3888888888888889</v>
      </c>
      <c r="D514" s="17" t="s">
        <v>1076</v>
      </c>
      <c r="E514" s="14">
        <v>32.994999999999997</v>
      </c>
      <c r="F514" s="14">
        <v>76</v>
      </c>
      <c r="G514" s="14">
        <v>62.2</v>
      </c>
      <c r="H514" s="18">
        <v>325</v>
      </c>
      <c r="I514" s="19">
        <v>327.21265</v>
      </c>
      <c r="J514" s="12">
        <f t="shared" si="28"/>
        <v>2.2126499999999965</v>
      </c>
      <c r="K514" s="14">
        <f t="shared" si="29"/>
        <v>4.8958200224999846</v>
      </c>
      <c r="L514" s="14">
        <f t="shared" si="30"/>
        <v>0.68081538461538349</v>
      </c>
      <c r="M514" s="14">
        <f t="shared" si="31"/>
        <v>3</v>
      </c>
    </row>
    <row r="515" spans="1:13" x14ac:dyDescent="0.25">
      <c r="A515" s="14" t="s">
        <v>540</v>
      </c>
      <c r="B515" s="20"/>
      <c r="C515" s="16">
        <v>0.40277777777777779</v>
      </c>
      <c r="D515" s="17" t="s">
        <v>1076</v>
      </c>
      <c r="E515" s="14">
        <v>30.294</v>
      </c>
      <c r="F515" s="14">
        <v>50</v>
      </c>
      <c r="G515" s="14">
        <v>87.8</v>
      </c>
      <c r="H515" s="18">
        <v>171</v>
      </c>
      <c r="I515" s="19">
        <v>168.58418000000029</v>
      </c>
      <c r="J515" s="12">
        <f t="shared" ref="J515:J578" si="32">IF(OR(H515="",I515=""),"",ABS(H515-I515))</f>
        <v>2.4158199999997123</v>
      </c>
      <c r="K515" s="14">
        <f t="shared" ref="K515:K578" si="33">IF(OR(H515="",I515=""),"",(H515-I515)^2)</f>
        <v>5.83618627239861</v>
      </c>
      <c r="L515" s="14">
        <f t="shared" ref="L515:L578" si="34">IF(OR(H515="",I515=""),"",IF(H515=0,"",ABS((H515-I515)/H515)*100))</f>
        <v>1.4127602339179604</v>
      </c>
      <c r="M515" s="14">
        <f t="shared" ref="M515:M578" si="35">MOD(ROW()-2,5)+1</f>
        <v>4</v>
      </c>
    </row>
    <row r="516" spans="1:13" x14ac:dyDescent="0.25">
      <c r="A516" s="14" t="s">
        <v>541</v>
      </c>
      <c r="B516" s="20"/>
      <c r="C516" s="16">
        <v>0.41666666666666669</v>
      </c>
      <c r="D516" s="17" t="s">
        <v>1076</v>
      </c>
      <c r="E516" s="14">
        <v>33.070999999999998</v>
      </c>
      <c r="F516" s="14">
        <v>70</v>
      </c>
      <c r="G516" s="14">
        <v>58.9</v>
      </c>
      <c r="H516" s="18">
        <v>316</v>
      </c>
      <c r="I516" s="19">
        <v>315.52</v>
      </c>
      <c r="J516" s="12">
        <f t="shared" si="32"/>
        <v>0.48000000000001819</v>
      </c>
      <c r="K516" s="14">
        <f t="shared" si="33"/>
        <v>0.23040000000001745</v>
      </c>
      <c r="L516" s="14">
        <f t="shared" si="34"/>
        <v>0.15189873417722097</v>
      </c>
      <c r="M516" s="14">
        <f t="shared" si="35"/>
        <v>5</v>
      </c>
    </row>
    <row r="517" spans="1:13" x14ac:dyDescent="0.25">
      <c r="A517" s="14" t="s">
        <v>542</v>
      </c>
      <c r="B517" s="20"/>
      <c r="C517" s="16">
        <v>0.43055555555555558</v>
      </c>
      <c r="D517" s="17" t="s">
        <v>1076</v>
      </c>
      <c r="E517" s="14">
        <v>31.952000000000002</v>
      </c>
      <c r="F517" s="14">
        <v>39</v>
      </c>
      <c r="G517" s="14">
        <v>80.2</v>
      </c>
      <c r="H517" s="18">
        <v>251</v>
      </c>
      <c r="I517" s="19">
        <v>251.69</v>
      </c>
      <c r="J517" s="12">
        <f t="shared" si="32"/>
        <v>0.68999999999999773</v>
      </c>
      <c r="K517" s="14">
        <f t="shared" si="33"/>
        <v>0.47609999999999686</v>
      </c>
      <c r="L517" s="14">
        <f t="shared" si="34"/>
        <v>0.27490039840637359</v>
      </c>
      <c r="M517" s="14">
        <f t="shared" si="35"/>
        <v>1</v>
      </c>
    </row>
    <row r="518" spans="1:13" x14ac:dyDescent="0.25">
      <c r="A518" s="14" t="s">
        <v>543</v>
      </c>
      <c r="B518" s="20"/>
      <c r="C518" s="16">
        <v>0.44444444444444442</v>
      </c>
      <c r="D518" s="17" t="s">
        <v>1076</v>
      </c>
      <c r="E518" s="14">
        <v>32.362000000000002</v>
      </c>
      <c r="F518" s="14">
        <v>38</v>
      </c>
      <c r="G518" s="14">
        <v>89.9</v>
      </c>
      <c r="H518" s="18">
        <v>287</v>
      </c>
      <c r="I518" s="19">
        <v>290.56814000000003</v>
      </c>
      <c r="J518" s="12">
        <f t="shared" si="32"/>
        <v>3.5681400000000281</v>
      </c>
      <c r="K518" s="14">
        <f t="shared" si="33"/>
        <v>12.731623059600201</v>
      </c>
      <c r="L518" s="14">
        <f t="shared" si="34"/>
        <v>1.2432543554007067</v>
      </c>
      <c r="M518" s="14">
        <f t="shared" si="35"/>
        <v>2</v>
      </c>
    </row>
    <row r="519" spans="1:13" x14ac:dyDescent="0.25">
      <c r="A519" s="14" t="s">
        <v>544</v>
      </c>
      <c r="B519" s="20"/>
      <c r="C519" s="16">
        <v>0.45833333333333331</v>
      </c>
      <c r="D519" s="17" t="s">
        <v>1076</v>
      </c>
      <c r="E519" s="14">
        <v>30.23</v>
      </c>
      <c r="F519" s="14">
        <v>21</v>
      </c>
      <c r="G519" s="14">
        <v>68.099999999999994</v>
      </c>
      <c r="H519" s="18">
        <v>155</v>
      </c>
      <c r="I519" s="19">
        <v>154.77809999999999</v>
      </c>
      <c r="J519" s="12">
        <f t="shared" si="32"/>
        <v>0.22190000000000509</v>
      </c>
      <c r="K519" s="14">
        <f t="shared" si="33"/>
        <v>4.9239610000002258E-2</v>
      </c>
      <c r="L519" s="14">
        <f t="shared" si="34"/>
        <v>0.14316129032258393</v>
      </c>
      <c r="M519" s="14">
        <f t="shared" si="35"/>
        <v>3</v>
      </c>
    </row>
    <row r="520" spans="1:13" x14ac:dyDescent="0.25">
      <c r="A520" s="14" t="s">
        <v>545</v>
      </c>
      <c r="B520" s="20"/>
      <c r="C520" s="16">
        <v>0.47222222222222221</v>
      </c>
      <c r="D520" s="17" t="s">
        <v>1076</v>
      </c>
      <c r="E520" s="14">
        <v>30.925000000000001</v>
      </c>
      <c r="F520" s="14">
        <v>79</v>
      </c>
      <c r="G520" s="14">
        <v>71.2</v>
      </c>
      <c r="H520" s="18">
        <v>209</v>
      </c>
      <c r="I520" s="19">
        <v>206.1097500000003</v>
      </c>
      <c r="J520" s="12">
        <f t="shared" si="32"/>
        <v>2.8902499999996962</v>
      </c>
      <c r="K520" s="14">
        <f t="shared" si="33"/>
        <v>8.3535450624982435</v>
      </c>
      <c r="L520" s="14">
        <f t="shared" si="34"/>
        <v>1.38289473684196</v>
      </c>
      <c r="M520" s="14">
        <f t="shared" si="35"/>
        <v>4</v>
      </c>
    </row>
    <row r="521" spans="1:13" x14ac:dyDescent="0.25">
      <c r="A521" s="14" t="s">
        <v>546</v>
      </c>
      <c r="B521" s="20"/>
      <c r="C521" s="16">
        <v>0.4861111111111111</v>
      </c>
      <c r="D521" s="17" t="s">
        <v>1076</v>
      </c>
      <c r="E521" s="14">
        <v>33.369999999999997</v>
      </c>
      <c r="F521" s="14">
        <v>79</v>
      </c>
      <c r="G521" s="14">
        <v>83.1</v>
      </c>
      <c r="H521" s="18">
        <v>343</v>
      </c>
      <c r="I521" s="19">
        <v>344.51389999999998</v>
      </c>
      <c r="J521" s="12">
        <f t="shared" si="32"/>
        <v>1.5138999999999783</v>
      </c>
      <c r="K521" s="14">
        <f t="shared" si="33"/>
        <v>2.2918932099999343</v>
      </c>
      <c r="L521" s="14">
        <f t="shared" si="34"/>
        <v>0.44137026239066418</v>
      </c>
      <c r="M521" s="14">
        <f t="shared" si="35"/>
        <v>5</v>
      </c>
    </row>
    <row r="522" spans="1:13" x14ac:dyDescent="0.25">
      <c r="A522" s="14" t="s">
        <v>547</v>
      </c>
      <c r="B522" s="21"/>
      <c r="C522" s="16">
        <v>0.5</v>
      </c>
      <c r="D522" s="17" t="s">
        <v>1076</v>
      </c>
      <c r="E522" s="14">
        <v>34.223999999999997</v>
      </c>
      <c r="F522" s="14">
        <v>41</v>
      </c>
      <c r="G522" s="14">
        <v>94.4</v>
      </c>
      <c r="H522" s="18">
        <v>389</v>
      </c>
      <c r="I522" s="19">
        <v>389.30128000000002</v>
      </c>
      <c r="J522" s="12">
        <f t="shared" si="32"/>
        <v>0.30128000000001975</v>
      </c>
      <c r="K522" s="14">
        <f t="shared" si="33"/>
        <v>9.0769638400011898E-2</v>
      </c>
      <c r="L522" s="14">
        <f t="shared" si="34"/>
        <v>7.7449871465300718E-2</v>
      </c>
      <c r="M522" s="14">
        <f t="shared" si="35"/>
        <v>1</v>
      </c>
    </row>
    <row r="523" spans="1:13" x14ac:dyDescent="0.25">
      <c r="A523" s="14" t="s">
        <v>548</v>
      </c>
      <c r="B523" s="15" t="s">
        <v>549</v>
      </c>
      <c r="C523" s="16">
        <v>0.375</v>
      </c>
      <c r="D523" s="17" t="s">
        <v>1076</v>
      </c>
      <c r="E523" s="14">
        <v>31.92</v>
      </c>
      <c r="F523" s="14">
        <v>72</v>
      </c>
      <c r="G523" s="14">
        <v>60.5</v>
      </c>
      <c r="H523" s="18">
        <v>279</v>
      </c>
      <c r="I523" s="19">
        <v>278.52</v>
      </c>
      <c r="J523" s="12">
        <f t="shared" si="32"/>
        <v>0.48000000000001819</v>
      </c>
      <c r="K523" s="14">
        <f t="shared" si="33"/>
        <v>0.23040000000001745</v>
      </c>
      <c r="L523" s="14">
        <f t="shared" si="34"/>
        <v>0.17204301075269471</v>
      </c>
      <c r="M523" s="14">
        <f t="shared" si="35"/>
        <v>2</v>
      </c>
    </row>
    <row r="524" spans="1:13" x14ac:dyDescent="0.25">
      <c r="A524" s="14" t="s">
        <v>550</v>
      </c>
      <c r="B524" s="20"/>
      <c r="C524" s="16">
        <v>0.3888888888888889</v>
      </c>
      <c r="D524" s="17" t="s">
        <v>1076</v>
      </c>
      <c r="E524" s="14">
        <v>32.799000000000007</v>
      </c>
      <c r="F524" s="14">
        <v>26</v>
      </c>
      <c r="G524" s="14">
        <v>87.2</v>
      </c>
      <c r="H524" s="18">
        <v>316</v>
      </c>
      <c r="I524" s="19">
        <v>317.55653000000029</v>
      </c>
      <c r="J524" s="12">
        <f t="shared" si="32"/>
        <v>1.5565300000002935</v>
      </c>
      <c r="K524" s="14">
        <f t="shared" si="33"/>
        <v>2.4227856409009139</v>
      </c>
      <c r="L524" s="14">
        <f t="shared" si="34"/>
        <v>0.49257278481021949</v>
      </c>
      <c r="M524" s="14">
        <f t="shared" si="35"/>
        <v>3</v>
      </c>
    </row>
    <row r="525" spans="1:13" x14ac:dyDescent="0.25">
      <c r="A525" s="14" t="s">
        <v>551</v>
      </c>
      <c r="B525" s="20"/>
      <c r="C525" s="16">
        <v>0.40277777777777779</v>
      </c>
      <c r="D525" s="17" t="s">
        <v>1076</v>
      </c>
      <c r="E525" s="14">
        <v>33.975999999999999</v>
      </c>
      <c r="F525" s="14">
        <v>20</v>
      </c>
      <c r="G525" s="14">
        <v>67.3</v>
      </c>
      <c r="H525" s="18">
        <v>388</v>
      </c>
      <c r="I525" s="19">
        <v>387.55271999999991</v>
      </c>
      <c r="J525" s="12">
        <f t="shared" si="32"/>
        <v>0.4472800000000916</v>
      </c>
      <c r="K525" s="14">
        <f t="shared" si="33"/>
        <v>0.20005939840008194</v>
      </c>
      <c r="L525" s="14">
        <f t="shared" si="34"/>
        <v>0.11527835051548753</v>
      </c>
      <c r="M525" s="14">
        <f t="shared" si="35"/>
        <v>4</v>
      </c>
    </row>
    <row r="526" spans="1:13" x14ac:dyDescent="0.25">
      <c r="A526" s="14" t="s">
        <v>552</v>
      </c>
      <c r="B526" s="20"/>
      <c r="C526" s="16">
        <v>0.41666666666666669</v>
      </c>
      <c r="D526" s="17" t="s">
        <v>1076</v>
      </c>
      <c r="E526" s="14">
        <v>33.969000000000001</v>
      </c>
      <c r="F526" s="14">
        <v>48</v>
      </c>
      <c r="G526" s="14">
        <v>74.599999999999994</v>
      </c>
      <c r="H526" s="18">
        <v>374</v>
      </c>
      <c r="I526" s="19">
        <v>377.13643000000002</v>
      </c>
      <c r="J526" s="12">
        <f t="shared" si="32"/>
        <v>3.1364300000000185</v>
      </c>
      <c r="K526" s="14">
        <f t="shared" si="33"/>
        <v>9.837193144900116</v>
      </c>
      <c r="L526" s="14">
        <f t="shared" si="34"/>
        <v>0.83861764705882835</v>
      </c>
      <c r="M526" s="14">
        <f t="shared" si="35"/>
        <v>5</v>
      </c>
    </row>
    <row r="527" spans="1:13" x14ac:dyDescent="0.25">
      <c r="A527" s="14" t="s">
        <v>553</v>
      </c>
      <c r="B527" s="20"/>
      <c r="C527" s="16">
        <v>0.43055555555555558</v>
      </c>
      <c r="D527" s="17" t="s">
        <v>1076</v>
      </c>
      <c r="E527" s="14">
        <v>30.33</v>
      </c>
      <c r="F527" s="14">
        <v>57</v>
      </c>
      <c r="G527" s="14">
        <v>66.5</v>
      </c>
      <c r="H527" s="18">
        <v>166</v>
      </c>
      <c r="I527" s="19">
        <v>168.7251</v>
      </c>
      <c r="J527" s="12">
        <f t="shared" si="32"/>
        <v>2.7250999999999976</v>
      </c>
      <c r="K527" s="14">
        <f t="shared" si="33"/>
        <v>7.4261700099999874</v>
      </c>
      <c r="L527" s="14">
        <f t="shared" si="34"/>
        <v>1.6416265060240951</v>
      </c>
      <c r="M527" s="14">
        <f t="shared" si="35"/>
        <v>1</v>
      </c>
    </row>
    <row r="528" spans="1:13" x14ac:dyDescent="0.25">
      <c r="A528" s="14" t="s">
        <v>554</v>
      </c>
      <c r="B528" s="20"/>
      <c r="C528" s="16">
        <v>0.44444444444444442</v>
      </c>
      <c r="D528" s="17" t="s">
        <v>1076</v>
      </c>
      <c r="E528" s="14">
        <v>31.143999999999998</v>
      </c>
      <c r="F528" s="14">
        <v>53</v>
      </c>
      <c r="G528" s="14">
        <v>76.900000000000006</v>
      </c>
      <c r="H528" s="18">
        <v>220</v>
      </c>
      <c r="I528" s="19">
        <v>219.13368000000011</v>
      </c>
      <c r="J528" s="12">
        <f t="shared" si="32"/>
        <v>0.86631999999988807</v>
      </c>
      <c r="K528" s="14">
        <f t="shared" si="33"/>
        <v>0.75051034239980607</v>
      </c>
      <c r="L528" s="14">
        <f t="shared" si="34"/>
        <v>0.39378181818176727</v>
      </c>
      <c r="M528" s="14">
        <f t="shared" si="35"/>
        <v>2</v>
      </c>
    </row>
    <row r="529" spans="1:13" x14ac:dyDescent="0.25">
      <c r="A529" s="14" t="s">
        <v>555</v>
      </c>
      <c r="B529" s="20"/>
      <c r="C529" s="16">
        <v>0.45833333333333331</v>
      </c>
      <c r="D529" s="17" t="s">
        <v>1076</v>
      </c>
      <c r="E529" s="14">
        <v>31.777999999999999</v>
      </c>
      <c r="F529" s="14">
        <v>41</v>
      </c>
      <c r="G529" s="14">
        <v>75</v>
      </c>
      <c r="H529" s="18">
        <v>246</v>
      </c>
      <c r="I529" s="19">
        <v>246.83766</v>
      </c>
      <c r="J529" s="12">
        <f t="shared" si="32"/>
        <v>0.83765999999999963</v>
      </c>
      <c r="K529" s="14">
        <f t="shared" si="33"/>
        <v>0.7016742755999994</v>
      </c>
      <c r="L529" s="14">
        <f t="shared" si="34"/>
        <v>0.34051219512195108</v>
      </c>
      <c r="M529" s="14">
        <f t="shared" si="35"/>
        <v>3</v>
      </c>
    </row>
    <row r="530" spans="1:13" x14ac:dyDescent="0.25">
      <c r="A530" s="14" t="s">
        <v>556</v>
      </c>
      <c r="B530" s="20"/>
      <c r="C530" s="16">
        <v>0.47222222222222221</v>
      </c>
      <c r="D530" s="17" t="s">
        <v>1076</v>
      </c>
      <c r="E530" s="14">
        <v>33.597000000000001</v>
      </c>
      <c r="F530" s="14">
        <v>23</v>
      </c>
      <c r="G530" s="14">
        <v>69.400000000000006</v>
      </c>
      <c r="H530" s="18">
        <v>369</v>
      </c>
      <c r="I530" s="19">
        <v>365.01359000000002</v>
      </c>
      <c r="J530" s="12">
        <f t="shared" si="32"/>
        <v>3.986409999999978</v>
      </c>
      <c r="K530" s="14">
        <f t="shared" si="33"/>
        <v>15.891464688099825</v>
      </c>
      <c r="L530" s="14">
        <f t="shared" si="34"/>
        <v>1.0803279132791268</v>
      </c>
      <c r="M530" s="14">
        <f t="shared" si="35"/>
        <v>4</v>
      </c>
    </row>
    <row r="531" spans="1:13" x14ac:dyDescent="0.25">
      <c r="A531" s="14" t="s">
        <v>557</v>
      </c>
      <c r="B531" s="20"/>
      <c r="C531" s="16">
        <v>0.4861111111111111</v>
      </c>
      <c r="D531" s="17" t="s">
        <v>1076</v>
      </c>
      <c r="E531" s="14">
        <v>30.827000000000002</v>
      </c>
      <c r="F531" s="14">
        <v>83</v>
      </c>
      <c r="G531" s="14">
        <v>73.5</v>
      </c>
      <c r="H531" s="18">
        <v>195</v>
      </c>
      <c r="I531" s="19">
        <v>198.28169</v>
      </c>
      <c r="J531" s="12">
        <f t="shared" si="32"/>
        <v>3.2816899999999976</v>
      </c>
      <c r="K531" s="14">
        <f t="shared" si="33"/>
        <v>10.769489256099984</v>
      </c>
      <c r="L531" s="14">
        <f t="shared" si="34"/>
        <v>1.6829179487179473</v>
      </c>
      <c r="M531" s="14">
        <f t="shared" si="35"/>
        <v>5</v>
      </c>
    </row>
    <row r="532" spans="1:13" x14ac:dyDescent="0.25">
      <c r="A532" s="14" t="s">
        <v>558</v>
      </c>
      <c r="B532" s="21"/>
      <c r="C532" s="16">
        <v>0.5</v>
      </c>
      <c r="D532" s="17" t="s">
        <v>1076</v>
      </c>
      <c r="E532" s="14">
        <v>31.902000000000001</v>
      </c>
      <c r="F532" s="14">
        <v>68</v>
      </c>
      <c r="G532" s="14">
        <v>75.099999999999994</v>
      </c>
      <c r="H532" s="18">
        <v>262</v>
      </c>
      <c r="I532" s="19">
        <v>264.21193999999991</v>
      </c>
      <c r="J532" s="12">
        <f t="shared" si="32"/>
        <v>2.2119399999999132</v>
      </c>
      <c r="K532" s="14">
        <f t="shared" si="33"/>
        <v>4.8926785635996159</v>
      </c>
      <c r="L532" s="14">
        <f t="shared" si="34"/>
        <v>0.84425190839691344</v>
      </c>
      <c r="M532" s="14">
        <f t="shared" si="35"/>
        <v>1</v>
      </c>
    </row>
    <row r="533" spans="1:13" x14ac:dyDescent="0.25">
      <c r="A533" s="14" t="s">
        <v>559</v>
      </c>
      <c r="B533" s="15" t="s">
        <v>560</v>
      </c>
      <c r="C533" s="16">
        <v>0.375</v>
      </c>
      <c r="D533" s="17" t="s">
        <v>1076</v>
      </c>
      <c r="E533" s="14">
        <v>33.466000000000001</v>
      </c>
      <c r="F533" s="14">
        <v>79</v>
      </c>
      <c r="G533" s="14">
        <v>93.3</v>
      </c>
      <c r="H533" s="18">
        <v>352</v>
      </c>
      <c r="I533" s="19">
        <v>354.22302000000002</v>
      </c>
      <c r="J533" s="12">
        <f t="shared" si="32"/>
        <v>2.2230200000000195</v>
      </c>
      <c r="K533" s="14">
        <f t="shared" si="33"/>
        <v>4.9418179204000872</v>
      </c>
      <c r="L533" s="14">
        <f t="shared" si="34"/>
        <v>0.63153977272727835</v>
      </c>
      <c r="M533" s="14">
        <f t="shared" si="35"/>
        <v>2</v>
      </c>
    </row>
    <row r="534" spans="1:13" x14ac:dyDescent="0.25">
      <c r="A534" s="14" t="s">
        <v>561</v>
      </c>
      <c r="B534" s="20"/>
      <c r="C534" s="16">
        <v>0.3888888888888889</v>
      </c>
      <c r="D534" s="17" t="s">
        <v>1076</v>
      </c>
      <c r="E534" s="14">
        <v>32.261000000000003</v>
      </c>
      <c r="F534" s="14">
        <v>74</v>
      </c>
      <c r="G534" s="14">
        <v>80.7</v>
      </c>
      <c r="H534" s="18">
        <v>303</v>
      </c>
      <c r="I534" s="19">
        <v>301.52</v>
      </c>
      <c r="J534" s="12">
        <f t="shared" si="32"/>
        <v>1.4800000000000182</v>
      </c>
      <c r="K534" s="14">
        <f t="shared" si="33"/>
        <v>2.1904000000000536</v>
      </c>
      <c r="L534" s="14">
        <f t="shared" si="34"/>
        <v>0.48844884488449447</v>
      </c>
      <c r="M534" s="14">
        <f t="shared" si="35"/>
        <v>3</v>
      </c>
    </row>
    <row r="535" spans="1:13" x14ac:dyDescent="0.25">
      <c r="A535" s="14" t="s">
        <v>562</v>
      </c>
      <c r="B535" s="20"/>
      <c r="C535" s="16">
        <v>0.40277777777777779</v>
      </c>
      <c r="D535" s="17" t="s">
        <v>1076</v>
      </c>
      <c r="E535" s="14">
        <v>32.646000000000001</v>
      </c>
      <c r="F535" s="14">
        <v>83</v>
      </c>
      <c r="G535" s="14">
        <v>57.1</v>
      </c>
      <c r="H535" s="18">
        <v>309</v>
      </c>
      <c r="I535" s="19">
        <v>308.45761999999991</v>
      </c>
      <c r="J535" s="12">
        <f t="shared" si="32"/>
        <v>0.54238000000009379</v>
      </c>
      <c r="K535" s="14">
        <f t="shared" si="33"/>
        <v>0.29417606440010174</v>
      </c>
      <c r="L535" s="14">
        <f t="shared" si="34"/>
        <v>0.17552750809064524</v>
      </c>
      <c r="M535" s="14">
        <f t="shared" si="35"/>
        <v>4</v>
      </c>
    </row>
    <row r="536" spans="1:13" x14ac:dyDescent="0.25">
      <c r="A536" s="14" t="s">
        <v>563</v>
      </c>
      <c r="B536" s="20"/>
      <c r="C536" s="16">
        <v>0.41666666666666669</v>
      </c>
      <c r="D536" s="17" t="s">
        <v>1076</v>
      </c>
      <c r="E536" s="14">
        <v>31.873000000000001</v>
      </c>
      <c r="F536" s="14">
        <v>25</v>
      </c>
      <c r="G536" s="14">
        <v>73.2</v>
      </c>
      <c r="H536" s="18">
        <v>253</v>
      </c>
      <c r="I536" s="19">
        <v>252.48731000000001</v>
      </c>
      <c r="J536" s="12">
        <f t="shared" si="32"/>
        <v>0.5126899999999921</v>
      </c>
      <c r="K536" s="14">
        <f t="shared" si="33"/>
        <v>0.26285103609999189</v>
      </c>
      <c r="L536" s="14">
        <f t="shared" si="34"/>
        <v>0.2026442687747004</v>
      </c>
      <c r="M536" s="14">
        <f t="shared" si="35"/>
        <v>5</v>
      </c>
    </row>
    <row r="537" spans="1:13" x14ac:dyDescent="0.25">
      <c r="A537" s="14" t="s">
        <v>564</v>
      </c>
      <c r="B537" s="20"/>
      <c r="C537" s="16">
        <v>0.43055555555555558</v>
      </c>
      <c r="D537" s="17" t="s">
        <v>1076</v>
      </c>
      <c r="E537" s="14">
        <v>32.982999999999997</v>
      </c>
      <c r="F537" s="14">
        <v>43</v>
      </c>
      <c r="G537" s="14">
        <v>76.7</v>
      </c>
      <c r="H537" s="18">
        <v>336</v>
      </c>
      <c r="I537" s="19">
        <v>339.49901</v>
      </c>
      <c r="J537" s="12">
        <f t="shared" si="32"/>
        <v>3.4990099999999984</v>
      </c>
      <c r="K537" s="14">
        <f t="shared" si="33"/>
        <v>12.243070980099988</v>
      </c>
      <c r="L537" s="14">
        <f t="shared" si="34"/>
        <v>1.0413720238095234</v>
      </c>
      <c r="M537" s="14">
        <f t="shared" si="35"/>
        <v>1</v>
      </c>
    </row>
    <row r="538" spans="1:13" x14ac:dyDescent="0.25">
      <c r="A538" s="14" t="s">
        <v>565</v>
      </c>
      <c r="B538" s="20"/>
      <c r="C538" s="16">
        <v>0.44444444444444442</v>
      </c>
      <c r="D538" s="17" t="s">
        <v>1076</v>
      </c>
      <c r="E538" s="14">
        <v>33.124000000000002</v>
      </c>
      <c r="F538" s="14">
        <v>62</v>
      </c>
      <c r="G538" s="14">
        <v>57.4</v>
      </c>
      <c r="H538" s="18">
        <v>326</v>
      </c>
      <c r="I538" s="19">
        <v>325.88427999999999</v>
      </c>
      <c r="J538" s="12">
        <f t="shared" si="32"/>
        <v>0.11572000000001026</v>
      </c>
      <c r="K538" s="14">
        <f t="shared" si="33"/>
        <v>1.3391118400002374E-2</v>
      </c>
      <c r="L538" s="14">
        <f t="shared" si="34"/>
        <v>3.5496932515340571E-2</v>
      </c>
      <c r="M538" s="14">
        <f t="shared" si="35"/>
        <v>2</v>
      </c>
    </row>
    <row r="539" spans="1:13" x14ac:dyDescent="0.25">
      <c r="A539" s="14" t="s">
        <v>566</v>
      </c>
      <c r="B539" s="20"/>
      <c r="C539" s="16">
        <v>0.45833333333333331</v>
      </c>
      <c r="D539" s="17" t="s">
        <v>1076</v>
      </c>
      <c r="E539" s="14">
        <v>31.704000000000001</v>
      </c>
      <c r="F539" s="14">
        <v>61</v>
      </c>
      <c r="G539" s="14">
        <v>82.6</v>
      </c>
      <c r="H539" s="18">
        <v>255</v>
      </c>
      <c r="I539" s="19">
        <v>252.4368800000002</v>
      </c>
      <c r="J539" s="12">
        <f t="shared" si="32"/>
        <v>2.5631199999997989</v>
      </c>
      <c r="K539" s="14">
        <f t="shared" si="33"/>
        <v>6.5695841343989692</v>
      </c>
      <c r="L539" s="14">
        <f t="shared" si="34"/>
        <v>1.005145098039137</v>
      </c>
      <c r="M539" s="14">
        <f t="shared" si="35"/>
        <v>3</v>
      </c>
    </row>
    <row r="540" spans="1:13" x14ac:dyDescent="0.25">
      <c r="A540" s="14" t="s">
        <v>567</v>
      </c>
      <c r="B540" s="20"/>
      <c r="C540" s="16">
        <v>0.47222222222222221</v>
      </c>
      <c r="D540" s="17" t="s">
        <v>1076</v>
      </c>
      <c r="E540" s="14">
        <v>33.991999999999997</v>
      </c>
      <c r="F540" s="14">
        <v>22</v>
      </c>
      <c r="G540" s="14">
        <v>92.2</v>
      </c>
      <c r="H540" s="18">
        <v>371</v>
      </c>
      <c r="I540" s="19">
        <v>369.31</v>
      </c>
      <c r="J540" s="12">
        <f t="shared" si="32"/>
        <v>1.6899999999999977</v>
      </c>
      <c r="K540" s="14">
        <f t="shared" si="33"/>
        <v>2.8560999999999925</v>
      </c>
      <c r="L540" s="14">
        <f t="shared" si="34"/>
        <v>0.45552560646900203</v>
      </c>
      <c r="M540" s="14">
        <f t="shared" si="35"/>
        <v>4</v>
      </c>
    </row>
    <row r="541" spans="1:13" x14ac:dyDescent="0.25">
      <c r="A541" s="14" t="s">
        <v>568</v>
      </c>
      <c r="B541" s="20"/>
      <c r="C541" s="16">
        <v>0.4861111111111111</v>
      </c>
      <c r="D541" s="17" t="s">
        <v>1076</v>
      </c>
      <c r="E541" s="14">
        <v>32.786000000000001</v>
      </c>
      <c r="F541" s="14">
        <v>43</v>
      </c>
      <c r="G541" s="14">
        <v>78.3</v>
      </c>
      <c r="H541" s="18">
        <v>305</v>
      </c>
      <c r="I541" s="19">
        <v>304.78341999999998</v>
      </c>
      <c r="J541" s="12">
        <f t="shared" si="32"/>
        <v>0.21658000000002176</v>
      </c>
      <c r="K541" s="14">
        <f t="shared" si="33"/>
        <v>4.6906896400009425E-2</v>
      </c>
      <c r="L541" s="14">
        <f t="shared" si="34"/>
        <v>7.1009836065580909E-2</v>
      </c>
      <c r="M541" s="14">
        <f t="shared" si="35"/>
        <v>5</v>
      </c>
    </row>
    <row r="542" spans="1:13" x14ac:dyDescent="0.25">
      <c r="A542" s="14" t="s">
        <v>569</v>
      </c>
      <c r="B542" s="21"/>
      <c r="C542" s="16">
        <v>0.5</v>
      </c>
      <c r="D542" s="17" t="s">
        <v>1076</v>
      </c>
      <c r="E542" s="14">
        <v>31.559000000000001</v>
      </c>
      <c r="F542" s="14">
        <v>84</v>
      </c>
      <c r="G542" s="14">
        <v>78.900000000000006</v>
      </c>
      <c r="H542" s="18">
        <v>246</v>
      </c>
      <c r="I542" s="19">
        <v>243.81373000000011</v>
      </c>
      <c r="J542" s="12">
        <f t="shared" si="32"/>
        <v>2.1862699999998938</v>
      </c>
      <c r="K542" s="14">
        <f t="shared" si="33"/>
        <v>4.7797765128995353</v>
      </c>
      <c r="L542" s="14">
        <f t="shared" si="34"/>
        <v>0.88872764227637957</v>
      </c>
      <c r="M542" s="14">
        <f t="shared" si="35"/>
        <v>1</v>
      </c>
    </row>
    <row r="543" spans="1:13" x14ac:dyDescent="0.25">
      <c r="A543" s="14" t="s">
        <v>570</v>
      </c>
      <c r="B543" s="15" t="s">
        <v>571</v>
      </c>
      <c r="C543" s="16">
        <v>0.375</v>
      </c>
      <c r="D543" s="17" t="s">
        <v>1076</v>
      </c>
      <c r="E543" s="14">
        <v>32.798000000000002</v>
      </c>
      <c r="F543" s="14">
        <v>36</v>
      </c>
      <c r="G543" s="14">
        <v>73.400000000000006</v>
      </c>
      <c r="H543" s="18">
        <v>325</v>
      </c>
      <c r="I543" s="19">
        <v>323.49705999999998</v>
      </c>
      <c r="J543" s="12">
        <f t="shared" si="32"/>
        <v>1.5029400000000237</v>
      </c>
      <c r="K543" s="14">
        <f t="shared" si="33"/>
        <v>2.2588286436000713</v>
      </c>
      <c r="L543" s="14">
        <f t="shared" si="34"/>
        <v>0.46244307692308417</v>
      </c>
      <c r="M543" s="14">
        <f t="shared" si="35"/>
        <v>2</v>
      </c>
    </row>
    <row r="544" spans="1:13" x14ac:dyDescent="0.25">
      <c r="A544" s="14" t="s">
        <v>572</v>
      </c>
      <c r="B544" s="20"/>
      <c r="C544" s="16">
        <v>0.3888888888888889</v>
      </c>
      <c r="D544" s="17" t="s">
        <v>1076</v>
      </c>
      <c r="E544" s="14">
        <v>31.66</v>
      </c>
      <c r="F544" s="14">
        <v>37</v>
      </c>
      <c r="G544" s="14">
        <v>66.3</v>
      </c>
      <c r="H544" s="18">
        <v>252</v>
      </c>
      <c r="I544" s="19">
        <v>249.82020000000011</v>
      </c>
      <c r="J544" s="12">
        <f t="shared" si="32"/>
        <v>2.1797999999998865</v>
      </c>
      <c r="K544" s="14">
        <f t="shared" si="33"/>
        <v>4.7515280399995055</v>
      </c>
      <c r="L544" s="14">
        <f t="shared" si="34"/>
        <v>0.86499999999995503</v>
      </c>
      <c r="M544" s="14">
        <f t="shared" si="35"/>
        <v>3</v>
      </c>
    </row>
    <row r="545" spans="1:13" x14ac:dyDescent="0.25">
      <c r="A545" s="14" t="s">
        <v>573</v>
      </c>
      <c r="B545" s="20"/>
      <c r="C545" s="16">
        <v>0.40277777777777779</v>
      </c>
      <c r="D545" s="17" t="s">
        <v>1076</v>
      </c>
      <c r="E545" s="14">
        <v>32.040000000000013</v>
      </c>
      <c r="F545" s="14">
        <v>29</v>
      </c>
      <c r="G545" s="14">
        <v>58</v>
      </c>
      <c r="H545" s="18">
        <v>272</v>
      </c>
      <c r="I545" s="19">
        <v>272.41880000000037</v>
      </c>
      <c r="J545" s="12">
        <f t="shared" si="32"/>
        <v>0.41880000000037398</v>
      </c>
      <c r="K545" s="14">
        <f t="shared" si="33"/>
        <v>0.17539344000031326</v>
      </c>
      <c r="L545" s="14">
        <f t="shared" si="34"/>
        <v>0.15397058823543161</v>
      </c>
      <c r="M545" s="14">
        <f t="shared" si="35"/>
        <v>4</v>
      </c>
    </row>
    <row r="546" spans="1:13" x14ac:dyDescent="0.25">
      <c r="A546" s="14" t="s">
        <v>574</v>
      </c>
      <c r="B546" s="20"/>
      <c r="C546" s="16">
        <v>0.41666666666666669</v>
      </c>
      <c r="D546" s="17" t="s">
        <v>1076</v>
      </c>
      <c r="E546" s="14">
        <v>32.807000000000002</v>
      </c>
      <c r="F546" s="14">
        <v>64</v>
      </c>
      <c r="G546" s="14">
        <v>58.1</v>
      </c>
      <c r="H546" s="18">
        <v>315</v>
      </c>
      <c r="I546" s="19">
        <v>318.0322900000001</v>
      </c>
      <c r="J546" s="12">
        <f t="shared" si="32"/>
        <v>3.0322900000001027</v>
      </c>
      <c r="K546" s="14">
        <f t="shared" si="33"/>
        <v>9.1947826441006235</v>
      </c>
      <c r="L546" s="14">
        <f t="shared" si="34"/>
        <v>0.96263174603177859</v>
      </c>
      <c r="M546" s="14">
        <f t="shared" si="35"/>
        <v>5</v>
      </c>
    </row>
    <row r="547" spans="1:13" x14ac:dyDescent="0.25">
      <c r="A547" s="14" t="s">
        <v>575</v>
      </c>
      <c r="B547" s="20"/>
      <c r="C547" s="16">
        <v>0.43055555555555558</v>
      </c>
      <c r="D547" s="17" t="s">
        <v>1076</v>
      </c>
      <c r="E547" s="14">
        <v>31.151</v>
      </c>
      <c r="F547" s="14">
        <v>22</v>
      </c>
      <c r="G547" s="14">
        <v>75.2</v>
      </c>
      <c r="H547" s="18">
        <v>206</v>
      </c>
      <c r="I547" s="19">
        <v>204.54997</v>
      </c>
      <c r="J547" s="12">
        <f t="shared" si="32"/>
        <v>1.4500299999999982</v>
      </c>
      <c r="K547" s="14">
        <f t="shared" si="33"/>
        <v>2.1025870008999945</v>
      </c>
      <c r="L547" s="14">
        <f t="shared" si="34"/>
        <v>0.70389805825242624</v>
      </c>
      <c r="M547" s="14">
        <f t="shared" si="35"/>
        <v>1</v>
      </c>
    </row>
    <row r="548" spans="1:13" x14ac:dyDescent="0.25">
      <c r="A548" s="14" t="s">
        <v>576</v>
      </c>
      <c r="B548" s="20"/>
      <c r="C548" s="16">
        <v>0.44444444444444442</v>
      </c>
      <c r="D548" s="17" t="s">
        <v>1076</v>
      </c>
      <c r="E548" s="14">
        <v>31.849</v>
      </c>
      <c r="F548" s="14">
        <v>31</v>
      </c>
      <c r="G548" s="14">
        <v>75.8</v>
      </c>
      <c r="H548" s="18">
        <v>255</v>
      </c>
      <c r="I548" s="19">
        <v>251.06003000000001</v>
      </c>
      <c r="J548" s="12">
        <f t="shared" si="32"/>
        <v>3.9399699999999882</v>
      </c>
      <c r="K548" s="14">
        <f t="shared" si="33"/>
        <v>15.523363600899907</v>
      </c>
      <c r="L548" s="14">
        <f t="shared" si="34"/>
        <v>1.5450862745097993</v>
      </c>
      <c r="M548" s="14">
        <f t="shared" si="35"/>
        <v>2</v>
      </c>
    </row>
    <row r="549" spans="1:13" x14ac:dyDescent="0.25">
      <c r="A549" s="14" t="s">
        <v>577</v>
      </c>
      <c r="B549" s="20"/>
      <c r="C549" s="16">
        <v>0.45833333333333331</v>
      </c>
      <c r="D549" s="17" t="s">
        <v>1076</v>
      </c>
      <c r="E549" s="14">
        <v>31.024000000000001</v>
      </c>
      <c r="F549" s="14">
        <v>81</v>
      </c>
      <c r="G549" s="14">
        <v>63.7</v>
      </c>
      <c r="H549" s="18">
        <v>208</v>
      </c>
      <c r="I549" s="19">
        <v>210.99727999999999</v>
      </c>
      <c r="J549" s="12">
        <f t="shared" si="32"/>
        <v>2.9972799999999893</v>
      </c>
      <c r="K549" s="14">
        <f t="shared" si="33"/>
        <v>8.983687398399935</v>
      </c>
      <c r="L549" s="14">
        <f t="shared" si="34"/>
        <v>1.440999999999995</v>
      </c>
      <c r="M549" s="14">
        <f t="shared" si="35"/>
        <v>3</v>
      </c>
    </row>
    <row r="550" spans="1:13" x14ac:dyDescent="0.25">
      <c r="A550" s="14" t="s">
        <v>578</v>
      </c>
      <c r="B550" s="20"/>
      <c r="C550" s="16">
        <v>0.47222222222222221</v>
      </c>
      <c r="D550" s="17" t="s">
        <v>1076</v>
      </c>
      <c r="E550" s="14">
        <v>31.509</v>
      </c>
      <c r="F550" s="14">
        <v>55</v>
      </c>
      <c r="G550" s="14">
        <v>83.7</v>
      </c>
      <c r="H550" s="18">
        <v>251</v>
      </c>
      <c r="I550" s="19">
        <v>250.17</v>
      </c>
      <c r="J550" s="12">
        <f t="shared" si="32"/>
        <v>0.83000000000001251</v>
      </c>
      <c r="K550" s="14">
        <f t="shared" si="33"/>
        <v>0.68890000000002072</v>
      </c>
      <c r="L550" s="14">
        <f t="shared" si="34"/>
        <v>0.33067729083665837</v>
      </c>
      <c r="M550" s="14">
        <f t="shared" si="35"/>
        <v>4</v>
      </c>
    </row>
    <row r="551" spans="1:13" x14ac:dyDescent="0.25">
      <c r="A551" s="14" t="s">
        <v>579</v>
      </c>
      <c r="B551" s="20"/>
      <c r="C551" s="16">
        <v>0.4861111111111111</v>
      </c>
      <c r="D551" s="17" t="s">
        <v>1076</v>
      </c>
      <c r="E551" s="14">
        <v>33.121000000000002</v>
      </c>
      <c r="F551" s="14">
        <v>54</v>
      </c>
      <c r="G551" s="14">
        <v>69.599999999999994</v>
      </c>
      <c r="H551" s="18">
        <v>340</v>
      </c>
      <c r="I551" s="19">
        <v>336.70587</v>
      </c>
      <c r="J551" s="12">
        <f t="shared" si="32"/>
        <v>3.2941299999999956</v>
      </c>
      <c r="K551" s="14">
        <f t="shared" si="33"/>
        <v>10.851292456899971</v>
      </c>
      <c r="L551" s="14">
        <f t="shared" si="34"/>
        <v>0.96886176470588115</v>
      </c>
      <c r="M551" s="14">
        <f t="shared" si="35"/>
        <v>5</v>
      </c>
    </row>
    <row r="552" spans="1:13" x14ac:dyDescent="0.25">
      <c r="A552" s="14" t="s">
        <v>580</v>
      </c>
      <c r="B552" s="21"/>
      <c r="C552" s="16">
        <v>0.5</v>
      </c>
      <c r="D552" s="17" t="s">
        <v>1076</v>
      </c>
      <c r="E552" s="14">
        <v>30.713000000000001</v>
      </c>
      <c r="F552" s="14">
        <v>28</v>
      </c>
      <c r="G552" s="14">
        <v>85.9</v>
      </c>
      <c r="H552" s="18">
        <v>177</v>
      </c>
      <c r="I552" s="19">
        <v>176.52</v>
      </c>
      <c r="J552" s="12">
        <f t="shared" si="32"/>
        <v>0.47999999999998977</v>
      </c>
      <c r="K552" s="14">
        <f t="shared" si="33"/>
        <v>0.23039999999999017</v>
      </c>
      <c r="L552" s="14">
        <f t="shared" si="34"/>
        <v>0.27118644067796033</v>
      </c>
      <c r="M552" s="14">
        <f t="shared" si="35"/>
        <v>1</v>
      </c>
    </row>
    <row r="553" spans="1:13" x14ac:dyDescent="0.25">
      <c r="A553" s="14" t="s">
        <v>581</v>
      </c>
      <c r="B553" s="15" t="s">
        <v>582</v>
      </c>
      <c r="C553" s="16">
        <v>0.375</v>
      </c>
      <c r="D553" s="17" t="s">
        <v>1076</v>
      </c>
      <c r="E553" s="14">
        <v>31.637</v>
      </c>
      <c r="F553" s="14">
        <v>20</v>
      </c>
      <c r="G553" s="14">
        <v>55.4</v>
      </c>
      <c r="H553" s="18">
        <v>252</v>
      </c>
      <c r="I553" s="19">
        <v>248.45239000000021</v>
      </c>
      <c r="J553" s="12">
        <f t="shared" si="32"/>
        <v>3.5476099999997928</v>
      </c>
      <c r="K553" s="14">
        <f t="shared" si="33"/>
        <v>12.585536712098529</v>
      </c>
      <c r="L553" s="14">
        <f t="shared" si="34"/>
        <v>1.4077817460316639</v>
      </c>
      <c r="M553" s="14">
        <f t="shared" si="35"/>
        <v>2</v>
      </c>
    </row>
    <row r="554" spans="1:13" x14ac:dyDescent="0.25">
      <c r="A554" s="14" t="s">
        <v>583</v>
      </c>
      <c r="B554" s="20"/>
      <c r="C554" s="16">
        <v>0.3888888888888889</v>
      </c>
      <c r="D554" s="17" t="s">
        <v>1076</v>
      </c>
      <c r="E554" s="14">
        <v>32.167000000000002</v>
      </c>
      <c r="F554" s="14">
        <v>50</v>
      </c>
      <c r="G554" s="14">
        <v>65.099999999999994</v>
      </c>
      <c r="H554" s="18">
        <v>277</v>
      </c>
      <c r="I554" s="19">
        <v>279.97149000000007</v>
      </c>
      <c r="J554" s="12">
        <f t="shared" si="32"/>
        <v>2.9714900000000739</v>
      </c>
      <c r="K554" s="14">
        <f t="shared" si="33"/>
        <v>8.82975282010044</v>
      </c>
      <c r="L554" s="14">
        <f t="shared" si="34"/>
        <v>1.0727400722021929</v>
      </c>
      <c r="M554" s="14">
        <f t="shared" si="35"/>
        <v>3</v>
      </c>
    </row>
    <row r="555" spans="1:13" x14ac:dyDescent="0.25">
      <c r="A555" s="14" t="s">
        <v>584</v>
      </c>
      <c r="B555" s="20"/>
      <c r="C555" s="16">
        <v>0.40277777777777779</v>
      </c>
      <c r="D555" s="17" t="s">
        <v>1076</v>
      </c>
      <c r="E555" s="14">
        <v>30.719000000000001</v>
      </c>
      <c r="F555" s="14">
        <v>67</v>
      </c>
      <c r="G555" s="14">
        <v>59.7</v>
      </c>
      <c r="H555" s="18">
        <v>188</v>
      </c>
      <c r="I555" s="19">
        <v>183.85892999999999</v>
      </c>
      <c r="J555" s="12">
        <f t="shared" si="32"/>
        <v>4.1410700000000134</v>
      </c>
      <c r="K555" s="14">
        <f t="shared" si="33"/>
        <v>17.14846074490011</v>
      </c>
      <c r="L555" s="14">
        <f t="shared" si="34"/>
        <v>2.2026968085106455</v>
      </c>
      <c r="M555" s="14">
        <f t="shared" si="35"/>
        <v>4</v>
      </c>
    </row>
    <row r="556" spans="1:13" x14ac:dyDescent="0.25">
      <c r="A556" s="14" t="s">
        <v>585</v>
      </c>
      <c r="B556" s="20"/>
      <c r="C556" s="16">
        <v>0.41666666666666669</v>
      </c>
      <c r="D556" s="17" t="s">
        <v>1076</v>
      </c>
      <c r="E556" s="14">
        <v>32.454000000000008</v>
      </c>
      <c r="F556" s="14">
        <v>27</v>
      </c>
      <c r="G556" s="14">
        <v>69.400000000000006</v>
      </c>
      <c r="H556" s="18">
        <v>303</v>
      </c>
      <c r="I556" s="19">
        <v>299.03937999999999</v>
      </c>
      <c r="J556" s="12">
        <f t="shared" si="32"/>
        <v>3.9606200000000058</v>
      </c>
      <c r="K556" s="14">
        <f t="shared" si="33"/>
        <v>15.686510784400046</v>
      </c>
      <c r="L556" s="14">
        <f t="shared" si="34"/>
        <v>1.307135313531355</v>
      </c>
      <c r="M556" s="14">
        <f t="shared" si="35"/>
        <v>5</v>
      </c>
    </row>
    <row r="557" spans="1:13" x14ac:dyDescent="0.25">
      <c r="A557" s="14" t="s">
        <v>586</v>
      </c>
      <c r="B557" s="20"/>
      <c r="C557" s="16">
        <v>0.43055555555555558</v>
      </c>
      <c r="D557" s="17" t="s">
        <v>1076</v>
      </c>
      <c r="E557" s="14">
        <v>30.175999999999998</v>
      </c>
      <c r="F557" s="14">
        <v>22</v>
      </c>
      <c r="G557" s="14">
        <v>79.099999999999994</v>
      </c>
      <c r="H557" s="18">
        <v>171</v>
      </c>
      <c r="I557" s="19">
        <v>169.56672</v>
      </c>
      <c r="J557" s="12">
        <f t="shared" si="32"/>
        <v>1.4332799999999963</v>
      </c>
      <c r="K557" s="14">
        <f t="shared" si="33"/>
        <v>2.0542915583999894</v>
      </c>
      <c r="L557" s="14">
        <f t="shared" si="34"/>
        <v>0.83817543859648902</v>
      </c>
      <c r="M557" s="14">
        <f t="shared" si="35"/>
        <v>1</v>
      </c>
    </row>
    <row r="558" spans="1:13" x14ac:dyDescent="0.25">
      <c r="A558" s="14" t="s">
        <v>587</v>
      </c>
      <c r="B558" s="20"/>
      <c r="C558" s="16">
        <v>0.44444444444444442</v>
      </c>
      <c r="D558" s="17" t="s">
        <v>1076</v>
      </c>
      <c r="E558" s="14">
        <v>32.395000000000003</v>
      </c>
      <c r="F558" s="14">
        <v>40</v>
      </c>
      <c r="G558" s="14">
        <v>87.4</v>
      </c>
      <c r="H558" s="18">
        <v>302</v>
      </c>
      <c r="I558" s="19">
        <v>299.53064999999998</v>
      </c>
      <c r="J558" s="12">
        <f t="shared" si="32"/>
        <v>2.4693500000000199</v>
      </c>
      <c r="K558" s="14">
        <f t="shared" si="33"/>
        <v>6.0976894225000979</v>
      </c>
      <c r="L558" s="14">
        <f t="shared" si="34"/>
        <v>0.81766556291391379</v>
      </c>
      <c r="M558" s="14">
        <f t="shared" si="35"/>
        <v>2</v>
      </c>
    </row>
    <row r="559" spans="1:13" x14ac:dyDescent="0.25">
      <c r="A559" s="14" t="s">
        <v>588</v>
      </c>
      <c r="B559" s="20"/>
      <c r="C559" s="16">
        <v>0.45833333333333331</v>
      </c>
      <c r="D559" s="17" t="s">
        <v>1076</v>
      </c>
      <c r="E559" s="14">
        <v>32.621000000000002</v>
      </c>
      <c r="F559" s="14">
        <v>27</v>
      </c>
      <c r="G559" s="14">
        <v>92.3</v>
      </c>
      <c r="H559" s="18">
        <v>299</v>
      </c>
      <c r="I559" s="19">
        <v>301.97086999999999</v>
      </c>
      <c r="J559" s="12">
        <f t="shared" si="32"/>
        <v>2.9708699999999908</v>
      </c>
      <c r="K559" s="14">
        <f t="shared" si="33"/>
        <v>8.826068556899946</v>
      </c>
      <c r="L559" s="14">
        <f t="shared" si="34"/>
        <v>0.99360200668896015</v>
      </c>
      <c r="M559" s="14">
        <f t="shared" si="35"/>
        <v>3</v>
      </c>
    </row>
    <row r="560" spans="1:13" x14ac:dyDescent="0.25">
      <c r="A560" s="14" t="s">
        <v>589</v>
      </c>
      <c r="B560" s="20"/>
      <c r="C560" s="16">
        <v>0.47222222222222221</v>
      </c>
      <c r="D560" s="17" t="s">
        <v>1076</v>
      </c>
      <c r="E560" s="14">
        <v>30.925000000000001</v>
      </c>
      <c r="F560" s="14">
        <v>61</v>
      </c>
      <c r="G560" s="14">
        <v>62.8</v>
      </c>
      <c r="H560" s="18">
        <v>203</v>
      </c>
      <c r="I560" s="19">
        <v>206.1097500000003</v>
      </c>
      <c r="J560" s="12">
        <f t="shared" si="32"/>
        <v>3.1097500000003038</v>
      </c>
      <c r="K560" s="14">
        <f t="shared" si="33"/>
        <v>9.6705450625018887</v>
      </c>
      <c r="L560" s="14">
        <f t="shared" si="34"/>
        <v>1.5318965517242875</v>
      </c>
      <c r="M560" s="14">
        <f t="shared" si="35"/>
        <v>4</v>
      </c>
    </row>
    <row r="561" spans="1:13" x14ac:dyDescent="0.25">
      <c r="A561" s="14" t="s">
        <v>590</v>
      </c>
      <c r="B561" s="20"/>
      <c r="C561" s="16">
        <v>0.4861111111111111</v>
      </c>
      <c r="D561" s="17" t="s">
        <v>1076</v>
      </c>
      <c r="E561" s="14">
        <v>31.71</v>
      </c>
      <c r="F561" s="14">
        <v>22</v>
      </c>
      <c r="G561" s="14">
        <v>73</v>
      </c>
      <c r="H561" s="18">
        <v>256</v>
      </c>
      <c r="I561" s="19">
        <v>252.7937000000002</v>
      </c>
      <c r="J561" s="12">
        <f t="shared" si="32"/>
        <v>3.2062999999997999</v>
      </c>
      <c r="K561" s="14">
        <f t="shared" si="33"/>
        <v>10.280359689998717</v>
      </c>
      <c r="L561" s="14">
        <f t="shared" si="34"/>
        <v>1.2524609374999218</v>
      </c>
      <c r="M561" s="14">
        <f t="shared" si="35"/>
        <v>5</v>
      </c>
    </row>
    <row r="562" spans="1:13" x14ac:dyDescent="0.25">
      <c r="A562" s="14" t="s">
        <v>591</v>
      </c>
      <c r="B562" s="21"/>
      <c r="C562" s="16">
        <v>0.5</v>
      </c>
      <c r="D562" s="17" t="s">
        <v>1076</v>
      </c>
      <c r="E562" s="14">
        <v>32.789000000000001</v>
      </c>
      <c r="F562" s="14">
        <v>30</v>
      </c>
      <c r="G562" s="14">
        <v>60.8</v>
      </c>
      <c r="H562" s="18">
        <v>326</v>
      </c>
      <c r="I562" s="19">
        <v>324.96183000000002</v>
      </c>
      <c r="J562" s="12">
        <f t="shared" si="32"/>
        <v>1.0381699999999796</v>
      </c>
      <c r="K562" s="14">
        <f t="shared" si="33"/>
        <v>1.0777969488999577</v>
      </c>
      <c r="L562" s="14">
        <f t="shared" si="34"/>
        <v>0.31845705521471768</v>
      </c>
      <c r="M562" s="14">
        <f t="shared" si="35"/>
        <v>1</v>
      </c>
    </row>
    <row r="563" spans="1:13" x14ac:dyDescent="0.25">
      <c r="A563" s="14" t="s">
        <v>592</v>
      </c>
      <c r="B563" s="15" t="s">
        <v>593</v>
      </c>
      <c r="C563" s="16">
        <v>0.375</v>
      </c>
      <c r="D563" s="17" t="s">
        <v>1076</v>
      </c>
      <c r="E563" s="14">
        <v>31.919</v>
      </c>
      <c r="F563" s="14">
        <v>57</v>
      </c>
      <c r="G563" s="14">
        <v>66.2</v>
      </c>
      <c r="H563" s="18">
        <v>261</v>
      </c>
      <c r="I563" s="19">
        <v>264.22293000000002</v>
      </c>
      <c r="J563" s="12">
        <f t="shared" si="32"/>
        <v>3.2229300000000194</v>
      </c>
      <c r="K563" s="14">
        <f t="shared" si="33"/>
        <v>10.387277784900125</v>
      </c>
      <c r="L563" s="14">
        <f t="shared" si="34"/>
        <v>1.2348390804597775</v>
      </c>
      <c r="M563" s="14">
        <f t="shared" si="35"/>
        <v>2</v>
      </c>
    </row>
    <row r="564" spans="1:13" x14ac:dyDescent="0.25">
      <c r="A564" s="14" t="s">
        <v>594</v>
      </c>
      <c r="B564" s="20"/>
      <c r="C564" s="16">
        <v>0.3888888888888889</v>
      </c>
      <c r="D564" s="17" t="s">
        <v>1076</v>
      </c>
      <c r="E564" s="14">
        <v>30.337</v>
      </c>
      <c r="F564" s="14">
        <v>24</v>
      </c>
      <c r="G564" s="14">
        <v>86.8</v>
      </c>
      <c r="H564" s="18">
        <v>170</v>
      </c>
      <c r="I564" s="19">
        <v>171.1413900000002</v>
      </c>
      <c r="J564" s="12">
        <f t="shared" si="32"/>
        <v>1.1413900000002002</v>
      </c>
      <c r="K564" s="14">
        <f t="shared" si="33"/>
        <v>1.3027711321004569</v>
      </c>
      <c r="L564" s="14">
        <f t="shared" si="34"/>
        <v>0.67140588235305898</v>
      </c>
      <c r="M564" s="14">
        <f t="shared" si="35"/>
        <v>3</v>
      </c>
    </row>
    <row r="565" spans="1:13" x14ac:dyDescent="0.25">
      <c r="A565" s="14" t="s">
        <v>595</v>
      </c>
      <c r="B565" s="20"/>
      <c r="C565" s="16">
        <v>0.40277777777777779</v>
      </c>
      <c r="D565" s="17" t="s">
        <v>1076</v>
      </c>
      <c r="E565" s="14">
        <v>32.235999999999997</v>
      </c>
      <c r="F565" s="14">
        <v>82</v>
      </c>
      <c r="G565" s="14">
        <v>56.8</v>
      </c>
      <c r="H565" s="18">
        <v>274</v>
      </c>
      <c r="I565" s="19">
        <v>273.07492000000002</v>
      </c>
      <c r="J565" s="12">
        <f t="shared" si="32"/>
        <v>0.92507999999997992</v>
      </c>
      <c r="K565" s="14">
        <f t="shared" si="33"/>
        <v>0.8557730063999629</v>
      </c>
      <c r="L565" s="14">
        <f t="shared" si="34"/>
        <v>0.33762043795619706</v>
      </c>
      <c r="M565" s="14">
        <f t="shared" si="35"/>
        <v>4</v>
      </c>
    </row>
    <row r="566" spans="1:13" x14ac:dyDescent="0.25">
      <c r="A566" s="14" t="s">
        <v>596</v>
      </c>
      <c r="B566" s="20"/>
      <c r="C566" s="16">
        <v>0.41666666666666669</v>
      </c>
      <c r="D566" s="17" t="s">
        <v>1076</v>
      </c>
      <c r="E566" s="14">
        <v>32.478000000000002</v>
      </c>
      <c r="F566" s="14">
        <v>80</v>
      </c>
      <c r="G566" s="14">
        <v>89</v>
      </c>
      <c r="H566" s="18">
        <v>288</v>
      </c>
      <c r="I566" s="19">
        <v>288.46665999999999</v>
      </c>
      <c r="J566" s="12">
        <f t="shared" si="32"/>
        <v>0.4666599999999903</v>
      </c>
      <c r="K566" s="14">
        <f t="shared" si="33"/>
        <v>0.21777155559999095</v>
      </c>
      <c r="L566" s="14">
        <f t="shared" si="34"/>
        <v>0.16203472222221887</v>
      </c>
      <c r="M566" s="14">
        <f t="shared" si="35"/>
        <v>5</v>
      </c>
    </row>
    <row r="567" spans="1:13" x14ac:dyDescent="0.25">
      <c r="A567" s="14" t="s">
        <v>597</v>
      </c>
      <c r="B567" s="20"/>
      <c r="C567" s="16">
        <v>0.43055555555555558</v>
      </c>
      <c r="D567" s="17" t="s">
        <v>1076</v>
      </c>
      <c r="E567" s="14">
        <v>32.259</v>
      </c>
      <c r="F567" s="14">
        <v>34</v>
      </c>
      <c r="G567" s="14">
        <v>62.8</v>
      </c>
      <c r="H567" s="18">
        <v>293</v>
      </c>
      <c r="I567" s="19">
        <v>293.44272999999998</v>
      </c>
      <c r="J567" s="12">
        <f t="shared" si="32"/>
        <v>0.44272999999998319</v>
      </c>
      <c r="K567" s="14">
        <f t="shared" si="33"/>
        <v>0.19600985289998513</v>
      </c>
      <c r="L567" s="14">
        <f t="shared" si="34"/>
        <v>0.15110238907849258</v>
      </c>
      <c r="M567" s="14">
        <f t="shared" si="35"/>
        <v>1</v>
      </c>
    </row>
    <row r="568" spans="1:13" x14ac:dyDescent="0.25">
      <c r="A568" s="14" t="s">
        <v>598</v>
      </c>
      <c r="B568" s="20"/>
      <c r="C568" s="16">
        <v>0.44444444444444442</v>
      </c>
      <c r="D568" s="17" t="s">
        <v>1076</v>
      </c>
      <c r="E568" s="14">
        <v>32.628</v>
      </c>
      <c r="F568" s="14">
        <v>26</v>
      </c>
      <c r="G568" s="14">
        <v>94.5</v>
      </c>
      <c r="H568" s="18">
        <v>320</v>
      </c>
      <c r="I568" s="19">
        <v>318.16000000000003</v>
      </c>
      <c r="J568" s="12">
        <f t="shared" si="32"/>
        <v>1.839999999999975</v>
      </c>
      <c r="K568" s="14">
        <f t="shared" si="33"/>
        <v>3.3855999999999078</v>
      </c>
      <c r="L568" s="14">
        <f t="shared" si="34"/>
        <v>0.57499999999999218</v>
      </c>
      <c r="M568" s="14">
        <f t="shared" si="35"/>
        <v>2</v>
      </c>
    </row>
    <row r="569" spans="1:13" x14ac:dyDescent="0.25">
      <c r="A569" s="14" t="s">
        <v>599</v>
      </c>
      <c r="B569" s="20"/>
      <c r="C569" s="16">
        <v>0.45833333333333331</v>
      </c>
      <c r="D569" s="17" t="s">
        <v>1076</v>
      </c>
      <c r="E569" s="14">
        <v>32.618000000000002</v>
      </c>
      <c r="F569" s="14">
        <v>32</v>
      </c>
      <c r="G569" s="14">
        <v>68.5</v>
      </c>
      <c r="H569" s="18">
        <v>306</v>
      </c>
      <c r="I569" s="19">
        <v>306.79246000000012</v>
      </c>
      <c r="J569" s="12">
        <f t="shared" si="32"/>
        <v>0.79246000000011918</v>
      </c>
      <c r="K569" s="14">
        <f t="shared" si="33"/>
        <v>0.62799285160018892</v>
      </c>
      <c r="L569" s="14">
        <f t="shared" si="34"/>
        <v>0.25897385620918928</v>
      </c>
      <c r="M569" s="14">
        <f t="shared" si="35"/>
        <v>3</v>
      </c>
    </row>
    <row r="570" spans="1:13" x14ac:dyDescent="0.25">
      <c r="A570" s="14" t="s">
        <v>600</v>
      </c>
      <c r="B570" s="20"/>
      <c r="C570" s="16">
        <v>0.47222222222222221</v>
      </c>
      <c r="D570" s="17" t="s">
        <v>1076</v>
      </c>
      <c r="E570" s="14">
        <v>33.494999999999997</v>
      </c>
      <c r="F570" s="14">
        <v>41</v>
      </c>
      <c r="G570" s="14">
        <v>66.7</v>
      </c>
      <c r="H570" s="18">
        <v>369</v>
      </c>
      <c r="I570" s="19">
        <v>368.52</v>
      </c>
      <c r="J570" s="12">
        <f t="shared" si="32"/>
        <v>0.48000000000001819</v>
      </c>
      <c r="K570" s="14">
        <f t="shared" si="33"/>
        <v>0.23040000000001745</v>
      </c>
      <c r="L570" s="14">
        <f t="shared" si="34"/>
        <v>0.13008130081301306</v>
      </c>
      <c r="M570" s="14">
        <f t="shared" si="35"/>
        <v>4</v>
      </c>
    </row>
    <row r="571" spans="1:13" x14ac:dyDescent="0.25">
      <c r="A571" s="14" t="s">
        <v>601</v>
      </c>
      <c r="B571" s="20"/>
      <c r="C571" s="16">
        <v>0.4861111111111111</v>
      </c>
      <c r="D571" s="17" t="s">
        <v>1076</v>
      </c>
      <c r="E571" s="14">
        <v>31.145</v>
      </c>
      <c r="F571" s="14">
        <v>55</v>
      </c>
      <c r="G571" s="14">
        <v>79.3</v>
      </c>
      <c r="H571" s="18">
        <v>223</v>
      </c>
      <c r="I571" s="19">
        <v>219.19315000000009</v>
      </c>
      <c r="J571" s="12">
        <f t="shared" si="32"/>
        <v>3.8068499999999119</v>
      </c>
      <c r="K571" s="14">
        <f t="shared" si="33"/>
        <v>14.49210692249933</v>
      </c>
      <c r="L571" s="14">
        <f t="shared" si="34"/>
        <v>1.7071076233183464</v>
      </c>
      <c r="M571" s="14">
        <f t="shared" si="35"/>
        <v>5</v>
      </c>
    </row>
    <row r="572" spans="1:13" x14ac:dyDescent="0.25">
      <c r="A572" s="14" t="s">
        <v>602</v>
      </c>
      <c r="B572" s="21"/>
      <c r="C572" s="16">
        <v>0.5</v>
      </c>
      <c r="D572" s="17" t="s">
        <v>1076</v>
      </c>
      <c r="E572" s="14">
        <v>30.408999999999999</v>
      </c>
      <c r="F572" s="14">
        <v>52</v>
      </c>
      <c r="G572" s="14">
        <v>86.4</v>
      </c>
      <c r="H572" s="18">
        <v>169</v>
      </c>
      <c r="I572" s="19">
        <v>165.42322999999999</v>
      </c>
      <c r="J572" s="12">
        <f t="shared" si="32"/>
        <v>3.5767700000000104</v>
      </c>
      <c r="K572" s="14">
        <f t="shared" si="33"/>
        <v>12.793283632900074</v>
      </c>
      <c r="L572" s="14">
        <f t="shared" si="34"/>
        <v>2.1164319526627282</v>
      </c>
      <c r="M572" s="14">
        <f t="shared" si="35"/>
        <v>1</v>
      </c>
    </row>
    <row r="573" spans="1:13" x14ac:dyDescent="0.25">
      <c r="A573" s="14" t="s">
        <v>603</v>
      </c>
      <c r="B573" s="15" t="s">
        <v>604</v>
      </c>
      <c r="C573" s="16">
        <v>0.375</v>
      </c>
      <c r="D573" s="17" t="s">
        <v>1076</v>
      </c>
      <c r="E573" s="14">
        <v>33.011000000000003</v>
      </c>
      <c r="F573" s="14">
        <v>66</v>
      </c>
      <c r="G573" s="14">
        <v>87.6</v>
      </c>
      <c r="H573" s="18">
        <v>334</v>
      </c>
      <c r="I573" s="19">
        <v>330.16417000000018</v>
      </c>
      <c r="J573" s="12">
        <f t="shared" si="32"/>
        <v>3.8358299999998167</v>
      </c>
      <c r="K573" s="14">
        <f t="shared" si="33"/>
        <v>14.713591788898594</v>
      </c>
      <c r="L573" s="14">
        <f t="shared" si="34"/>
        <v>1.1484520958083282</v>
      </c>
      <c r="M573" s="14">
        <f t="shared" si="35"/>
        <v>2</v>
      </c>
    </row>
    <row r="574" spans="1:13" x14ac:dyDescent="0.25">
      <c r="A574" s="14" t="s">
        <v>605</v>
      </c>
      <c r="B574" s="20"/>
      <c r="C574" s="16">
        <v>0.3888888888888889</v>
      </c>
      <c r="D574" s="17" t="s">
        <v>1076</v>
      </c>
      <c r="E574" s="14">
        <v>31.867000000000001</v>
      </c>
      <c r="F574" s="14">
        <v>79</v>
      </c>
      <c r="G574" s="14">
        <v>82.9</v>
      </c>
      <c r="H574" s="18">
        <v>277</v>
      </c>
      <c r="I574" s="19">
        <v>276.12</v>
      </c>
      <c r="J574" s="12">
        <f t="shared" si="32"/>
        <v>0.87999999999999545</v>
      </c>
      <c r="K574" s="14">
        <f t="shared" si="33"/>
        <v>0.77439999999999198</v>
      </c>
      <c r="L574" s="14">
        <f t="shared" si="34"/>
        <v>0.31768953068591893</v>
      </c>
      <c r="M574" s="14">
        <f t="shared" si="35"/>
        <v>3</v>
      </c>
    </row>
    <row r="575" spans="1:13" x14ac:dyDescent="0.25">
      <c r="A575" s="14" t="s">
        <v>606</v>
      </c>
      <c r="B575" s="20"/>
      <c r="C575" s="16">
        <v>0.40277777777777779</v>
      </c>
      <c r="D575" s="17" t="s">
        <v>1076</v>
      </c>
      <c r="E575" s="14">
        <v>30.98</v>
      </c>
      <c r="F575" s="14">
        <v>77</v>
      </c>
      <c r="G575" s="14">
        <v>77.400000000000006</v>
      </c>
      <c r="H575" s="18">
        <v>209</v>
      </c>
      <c r="I575" s="19">
        <v>209.38060000000019</v>
      </c>
      <c r="J575" s="12">
        <f t="shared" si="32"/>
        <v>0.3806000000001859</v>
      </c>
      <c r="K575" s="14">
        <f t="shared" si="33"/>
        <v>0.14485636000014152</v>
      </c>
      <c r="L575" s="14">
        <f t="shared" si="34"/>
        <v>0.1821052631579837</v>
      </c>
      <c r="M575" s="14">
        <f t="shared" si="35"/>
        <v>4</v>
      </c>
    </row>
    <row r="576" spans="1:13" x14ac:dyDescent="0.25">
      <c r="A576" s="14" t="s">
        <v>607</v>
      </c>
      <c r="B576" s="20"/>
      <c r="C576" s="16">
        <v>0.41666666666666669</v>
      </c>
      <c r="D576" s="17" t="s">
        <v>1076</v>
      </c>
      <c r="E576" s="14">
        <v>33.307000000000002</v>
      </c>
      <c r="F576" s="14">
        <v>67</v>
      </c>
      <c r="G576" s="14">
        <v>56</v>
      </c>
      <c r="H576" s="18">
        <v>363</v>
      </c>
      <c r="I576" s="19">
        <v>362.51</v>
      </c>
      <c r="J576" s="12">
        <f t="shared" si="32"/>
        <v>0.49000000000000909</v>
      </c>
      <c r="K576" s="14">
        <f t="shared" si="33"/>
        <v>0.24010000000000892</v>
      </c>
      <c r="L576" s="14">
        <f t="shared" si="34"/>
        <v>0.13498622589531931</v>
      </c>
      <c r="M576" s="14">
        <f t="shared" si="35"/>
        <v>5</v>
      </c>
    </row>
    <row r="577" spans="1:13" x14ac:dyDescent="0.25">
      <c r="A577" s="14" t="s">
        <v>608</v>
      </c>
      <c r="B577" s="20"/>
      <c r="C577" s="16">
        <v>0.43055555555555558</v>
      </c>
      <c r="D577" s="17" t="s">
        <v>1076</v>
      </c>
      <c r="E577" s="14">
        <v>31.687999999999999</v>
      </c>
      <c r="F577" s="14">
        <v>26</v>
      </c>
      <c r="G577" s="14">
        <v>55.6</v>
      </c>
      <c r="H577" s="18">
        <v>227</v>
      </c>
      <c r="I577" s="19">
        <v>226.51</v>
      </c>
      <c r="J577" s="12">
        <f t="shared" si="32"/>
        <v>0.49000000000000909</v>
      </c>
      <c r="K577" s="14">
        <f t="shared" si="33"/>
        <v>0.24010000000000892</v>
      </c>
      <c r="L577" s="14">
        <f t="shared" si="34"/>
        <v>0.21585903083700839</v>
      </c>
      <c r="M577" s="14">
        <f t="shared" si="35"/>
        <v>1</v>
      </c>
    </row>
    <row r="578" spans="1:13" x14ac:dyDescent="0.25">
      <c r="A578" s="14" t="s">
        <v>609</v>
      </c>
      <c r="B578" s="20"/>
      <c r="C578" s="16">
        <v>0.44444444444444442</v>
      </c>
      <c r="D578" s="17" t="s">
        <v>1076</v>
      </c>
      <c r="E578" s="14">
        <v>33.094000000000001</v>
      </c>
      <c r="F578" s="14">
        <v>51</v>
      </c>
      <c r="G578" s="14">
        <v>77.3</v>
      </c>
      <c r="H578" s="18">
        <v>343</v>
      </c>
      <c r="I578" s="19">
        <v>341.10018000000002</v>
      </c>
      <c r="J578" s="12">
        <f t="shared" si="32"/>
        <v>1.899819999999977</v>
      </c>
      <c r="K578" s="14">
        <f t="shared" si="33"/>
        <v>3.6093160323999127</v>
      </c>
      <c r="L578" s="14">
        <f t="shared" si="34"/>
        <v>0.55388338192419151</v>
      </c>
      <c r="M578" s="14">
        <f t="shared" si="35"/>
        <v>2</v>
      </c>
    </row>
    <row r="579" spans="1:13" x14ac:dyDescent="0.25">
      <c r="A579" s="14" t="s">
        <v>610</v>
      </c>
      <c r="B579" s="20"/>
      <c r="C579" s="16">
        <v>0.45833333333333331</v>
      </c>
      <c r="D579" s="17" t="s">
        <v>1076</v>
      </c>
      <c r="E579" s="14">
        <v>32.572000000000003</v>
      </c>
      <c r="F579" s="14">
        <v>52</v>
      </c>
      <c r="G579" s="14">
        <v>94.6</v>
      </c>
      <c r="H579" s="18">
        <v>305</v>
      </c>
      <c r="I579" s="19">
        <v>304.05684000000019</v>
      </c>
      <c r="J579" s="12">
        <f t="shared" ref="J579:J642" si="36">IF(OR(H579="",I579=""),"",ABS(H579-I579))</f>
        <v>0.94315999999980704</v>
      </c>
      <c r="K579" s="14">
        <f t="shared" ref="K579:K642" si="37">IF(OR(H579="",I579=""),"",(H579-I579)^2)</f>
        <v>0.88955078559963607</v>
      </c>
      <c r="L579" s="14">
        <f t="shared" ref="L579:L642" si="38">IF(OR(H579="",I579=""),"",IF(H579=0,"",ABS((H579-I579)/H579)*100))</f>
        <v>0.30923278688518263</v>
      </c>
      <c r="M579" s="14">
        <f t="shared" ref="M579:M642" si="39">MOD(ROW()-2,5)+1</f>
        <v>3</v>
      </c>
    </row>
    <row r="580" spans="1:13" x14ac:dyDescent="0.25">
      <c r="A580" s="14" t="s">
        <v>611</v>
      </c>
      <c r="B580" s="20"/>
      <c r="C580" s="16">
        <v>0.47222222222222221</v>
      </c>
      <c r="D580" s="17" t="s">
        <v>1076</v>
      </c>
      <c r="E580" s="14">
        <v>33.647000000000013</v>
      </c>
      <c r="F580" s="14">
        <v>21</v>
      </c>
      <c r="G580" s="14">
        <v>92.8</v>
      </c>
      <c r="H580" s="18">
        <v>365</v>
      </c>
      <c r="I580" s="19">
        <v>367.98709000000031</v>
      </c>
      <c r="J580" s="12">
        <f t="shared" si="36"/>
        <v>2.9870900000003076</v>
      </c>
      <c r="K580" s="14">
        <f t="shared" si="37"/>
        <v>8.9227066681018368</v>
      </c>
      <c r="L580" s="14">
        <f t="shared" si="38"/>
        <v>0.81838082191789241</v>
      </c>
      <c r="M580" s="14">
        <f t="shared" si="39"/>
        <v>4</v>
      </c>
    </row>
    <row r="581" spans="1:13" x14ac:dyDescent="0.25">
      <c r="A581" s="14" t="s">
        <v>612</v>
      </c>
      <c r="B581" s="20"/>
      <c r="C581" s="16">
        <v>0.4861111111111111</v>
      </c>
      <c r="D581" s="17" t="s">
        <v>1076</v>
      </c>
      <c r="E581" s="14">
        <v>32.642000000000003</v>
      </c>
      <c r="F581" s="14">
        <v>57</v>
      </c>
      <c r="G581" s="14">
        <v>63.3</v>
      </c>
      <c r="H581" s="18">
        <v>309</v>
      </c>
      <c r="I581" s="19">
        <v>308.21974000000017</v>
      </c>
      <c r="J581" s="12">
        <f t="shared" si="36"/>
        <v>0.78025999999982787</v>
      </c>
      <c r="K581" s="14">
        <f t="shared" si="37"/>
        <v>0.60880566759973143</v>
      </c>
      <c r="L581" s="14">
        <f t="shared" si="38"/>
        <v>0.2525113268607857</v>
      </c>
      <c r="M581" s="14">
        <f t="shared" si="39"/>
        <v>5</v>
      </c>
    </row>
    <row r="582" spans="1:13" x14ac:dyDescent="0.25">
      <c r="A582" s="14" t="s">
        <v>613</v>
      </c>
      <c r="B582" s="21"/>
      <c r="C582" s="16">
        <v>0.5</v>
      </c>
      <c r="D582" s="17" t="s">
        <v>1076</v>
      </c>
      <c r="E582" s="14">
        <v>32.841000000000001</v>
      </c>
      <c r="F582" s="14">
        <v>81</v>
      </c>
      <c r="G582" s="14">
        <v>76</v>
      </c>
      <c r="H582" s="18">
        <v>302</v>
      </c>
      <c r="I582" s="19">
        <v>301.20999999999998</v>
      </c>
      <c r="J582" s="12">
        <f t="shared" si="36"/>
        <v>0.79000000000002046</v>
      </c>
      <c r="K582" s="14">
        <f t="shared" si="37"/>
        <v>0.6241000000000323</v>
      </c>
      <c r="L582" s="14">
        <f t="shared" si="38"/>
        <v>0.26158940397351671</v>
      </c>
      <c r="M582" s="14">
        <f t="shared" si="39"/>
        <v>1</v>
      </c>
    </row>
    <row r="583" spans="1:13" x14ac:dyDescent="0.25">
      <c r="A583" s="14" t="s">
        <v>614</v>
      </c>
      <c r="B583" s="15" t="s">
        <v>615</v>
      </c>
      <c r="C583" s="16">
        <v>0.375</v>
      </c>
      <c r="D583" s="17" t="s">
        <v>1076</v>
      </c>
      <c r="E583" s="14">
        <v>31.571000000000002</v>
      </c>
      <c r="F583" s="14">
        <v>39</v>
      </c>
      <c r="G583" s="14">
        <v>64.8</v>
      </c>
      <c r="H583" s="18">
        <v>243</v>
      </c>
      <c r="I583" s="19">
        <v>244.52736999999999</v>
      </c>
      <c r="J583" s="12">
        <f t="shared" si="36"/>
        <v>1.5273699999999906</v>
      </c>
      <c r="K583" s="14">
        <f t="shared" si="37"/>
        <v>2.3328591168999711</v>
      </c>
      <c r="L583" s="14">
        <f t="shared" si="38"/>
        <v>0.62854732510287681</v>
      </c>
      <c r="M583" s="14">
        <f t="shared" si="39"/>
        <v>2</v>
      </c>
    </row>
    <row r="584" spans="1:13" x14ac:dyDescent="0.25">
      <c r="A584" s="14" t="s">
        <v>616</v>
      </c>
      <c r="B584" s="20"/>
      <c r="C584" s="16">
        <v>0.3888888888888889</v>
      </c>
      <c r="D584" s="17" t="s">
        <v>1076</v>
      </c>
      <c r="E584" s="14">
        <v>31.6</v>
      </c>
      <c r="F584" s="14">
        <v>77</v>
      </c>
      <c r="G584" s="14">
        <v>74.8</v>
      </c>
      <c r="H584" s="18">
        <v>250</v>
      </c>
      <c r="I584" s="19">
        <v>246.25200000000001</v>
      </c>
      <c r="J584" s="12">
        <f t="shared" si="36"/>
        <v>3.7479999999999905</v>
      </c>
      <c r="K584" s="14">
        <f t="shared" si="37"/>
        <v>14.047503999999929</v>
      </c>
      <c r="L584" s="14">
        <f t="shared" si="38"/>
        <v>1.4991999999999961</v>
      </c>
      <c r="M584" s="14">
        <f t="shared" si="39"/>
        <v>3</v>
      </c>
    </row>
    <row r="585" spans="1:13" x14ac:dyDescent="0.25">
      <c r="A585" s="14" t="s">
        <v>617</v>
      </c>
      <c r="B585" s="20"/>
      <c r="C585" s="16">
        <v>0.40277777777777779</v>
      </c>
      <c r="D585" s="17" t="s">
        <v>1076</v>
      </c>
      <c r="E585" s="14">
        <v>33.805999999999997</v>
      </c>
      <c r="F585" s="14">
        <v>81</v>
      </c>
      <c r="G585" s="14">
        <v>79.099999999999994</v>
      </c>
      <c r="H585" s="18">
        <v>392</v>
      </c>
      <c r="I585" s="19">
        <v>390.52</v>
      </c>
      <c r="J585" s="12">
        <f t="shared" si="36"/>
        <v>1.4800000000000182</v>
      </c>
      <c r="K585" s="14">
        <f t="shared" si="37"/>
        <v>2.1904000000000536</v>
      </c>
      <c r="L585" s="14">
        <f t="shared" si="38"/>
        <v>0.3775510204081679</v>
      </c>
      <c r="M585" s="14">
        <f t="shared" si="39"/>
        <v>4</v>
      </c>
    </row>
    <row r="586" spans="1:13" x14ac:dyDescent="0.25">
      <c r="A586" s="14" t="s">
        <v>618</v>
      </c>
      <c r="B586" s="20"/>
      <c r="C586" s="16">
        <v>0.41666666666666669</v>
      </c>
      <c r="D586" s="17" t="s">
        <v>1076</v>
      </c>
      <c r="E586" s="14">
        <v>31.846</v>
      </c>
      <c r="F586" s="14">
        <v>28</v>
      </c>
      <c r="G586" s="14">
        <v>70</v>
      </c>
      <c r="H586" s="18">
        <v>256</v>
      </c>
      <c r="I586" s="19">
        <v>259.88162</v>
      </c>
      <c r="J586" s="12">
        <f t="shared" si="36"/>
        <v>3.8816199999999981</v>
      </c>
      <c r="K586" s="14">
        <f t="shared" si="37"/>
        <v>15.066973824399986</v>
      </c>
      <c r="L586" s="14">
        <f t="shared" si="38"/>
        <v>1.5162578124999992</v>
      </c>
      <c r="M586" s="14">
        <f t="shared" si="39"/>
        <v>5</v>
      </c>
    </row>
    <row r="587" spans="1:13" x14ac:dyDescent="0.25">
      <c r="A587" s="14" t="s">
        <v>619</v>
      </c>
      <c r="B587" s="20"/>
      <c r="C587" s="16">
        <v>0.43055555555555558</v>
      </c>
      <c r="D587" s="17" t="s">
        <v>1076</v>
      </c>
      <c r="E587" s="14">
        <v>32.359000000000002</v>
      </c>
      <c r="F587" s="14">
        <v>31</v>
      </c>
      <c r="G587" s="14">
        <v>65</v>
      </c>
      <c r="H587" s="18">
        <v>284</v>
      </c>
      <c r="I587" s="19">
        <v>284.38972999999999</v>
      </c>
      <c r="J587" s="12">
        <f t="shared" si="36"/>
        <v>0.38972999999998592</v>
      </c>
      <c r="K587" s="14">
        <f t="shared" si="37"/>
        <v>0.15188947289998903</v>
      </c>
      <c r="L587" s="14">
        <f t="shared" si="38"/>
        <v>0.13722887323943167</v>
      </c>
      <c r="M587" s="14">
        <f t="shared" si="39"/>
        <v>1</v>
      </c>
    </row>
    <row r="588" spans="1:13" x14ac:dyDescent="0.25">
      <c r="A588" s="14" t="s">
        <v>620</v>
      </c>
      <c r="B588" s="20"/>
      <c r="C588" s="16">
        <v>0.44444444444444442</v>
      </c>
      <c r="D588" s="17" t="s">
        <v>1076</v>
      </c>
      <c r="E588" s="14">
        <v>29.225000000000001</v>
      </c>
      <c r="F588" s="14">
        <v>77</v>
      </c>
      <c r="G588" s="14">
        <v>57.3</v>
      </c>
      <c r="H588" s="18">
        <v>100</v>
      </c>
      <c r="I588" s="19">
        <v>102.01075</v>
      </c>
      <c r="J588" s="12">
        <f t="shared" si="36"/>
        <v>2.0107500000000016</v>
      </c>
      <c r="K588" s="14">
        <f t="shared" si="37"/>
        <v>4.0431155625000068</v>
      </c>
      <c r="L588" s="14">
        <f t="shared" si="38"/>
        <v>2.0107500000000016</v>
      </c>
      <c r="M588" s="14">
        <f t="shared" si="39"/>
        <v>2</v>
      </c>
    </row>
    <row r="589" spans="1:13" x14ac:dyDescent="0.25">
      <c r="A589" s="14" t="s">
        <v>621</v>
      </c>
      <c r="B589" s="20"/>
      <c r="C589" s="16">
        <v>0.45833333333333331</v>
      </c>
      <c r="D589" s="17" t="s">
        <v>1076</v>
      </c>
      <c r="E589" s="14">
        <v>32.776000000000003</v>
      </c>
      <c r="F589" s="14">
        <v>47</v>
      </c>
      <c r="G589" s="14">
        <v>93.3</v>
      </c>
      <c r="H589" s="18">
        <v>325</v>
      </c>
      <c r="I589" s="19">
        <v>322.18871999999999</v>
      </c>
      <c r="J589" s="12">
        <f t="shared" si="36"/>
        <v>2.8112800000000107</v>
      </c>
      <c r="K589" s="14">
        <f t="shared" si="37"/>
        <v>7.9032952384000597</v>
      </c>
      <c r="L589" s="14">
        <f t="shared" si="38"/>
        <v>0.86500923076923397</v>
      </c>
      <c r="M589" s="14">
        <f t="shared" si="39"/>
        <v>3</v>
      </c>
    </row>
    <row r="590" spans="1:13" x14ac:dyDescent="0.25">
      <c r="A590" s="14" t="s">
        <v>622</v>
      </c>
      <c r="B590" s="20"/>
      <c r="C590" s="16">
        <v>0.47222222222222221</v>
      </c>
      <c r="D590" s="17" t="s">
        <v>1076</v>
      </c>
      <c r="E590" s="14">
        <v>32.066000000000003</v>
      </c>
      <c r="F590" s="14">
        <v>52</v>
      </c>
      <c r="G590" s="14">
        <v>94.4</v>
      </c>
      <c r="H590" s="18">
        <v>277</v>
      </c>
      <c r="I590" s="19">
        <v>273.9650200000001</v>
      </c>
      <c r="J590" s="12">
        <f t="shared" si="36"/>
        <v>3.034979999999905</v>
      </c>
      <c r="K590" s="14">
        <f t="shared" si="37"/>
        <v>9.211103600399424</v>
      </c>
      <c r="L590" s="14">
        <f t="shared" si="38"/>
        <v>1.0956606498194603</v>
      </c>
      <c r="M590" s="14">
        <f t="shared" si="39"/>
        <v>4</v>
      </c>
    </row>
    <row r="591" spans="1:13" x14ac:dyDescent="0.25">
      <c r="A591" s="14" t="s">
        <v>623</v>
      </c>
      <c r="B591" s="20"/>
      <c r="C591" s="16">
        <v>0.4861111111111111</v>
      </c>
      <c r="D591" s="17" t="s">
        <v>1076</v>
      </c>
      <c r="E591" s="14">
        <v>32.628</v>
      </c>
      <c r="F591" s="14">
        <v>54</v>
      </c>
      <c r="G591" s="14">
        <v>64.400000000000006</v>
      </c>
      <c r="H591" s="18">
        <v>303</v>
      </c>
      <c r="I591" s="19">
        <v>307.38715999999999</v>
      </c>
      <c r="J591" s="12">
        <f t="shared" si="36"/>
        <v>4.3871599999999944</v>
      </c>
      <c r="K591" s="14">
        <f t="shared" si="37"/>
        <v>19.24717286559995</v>
      </c>
      <c r="L591" s="14">
        <f t="shared" si="38"/>
        <v>1.4479075907590742</v>
      </c>
      <c r="M591" s="14">
        <f t="shared" si="39"/>
        <v>5</v>
      </c>
    </row>
    <row r="592" spans="1:13" x14ac:dyDescent="0.25">
      <c r="A592" s="14" t="s">
        <v>624</v>
      </c>
      <c r="B592" s="21"/>
      <c r="C592" s="16">
        <v>0.5</v>
      </c>
      <c r="D592" s="17" t="s">
        <v>1076</v>
      </c>
      <c r="E592" s="14">
        <v>31.95</v>
      </c>
      <c r="F592" s="14">
        <v>22</v>
      </c>
      <c r="G592" s="14">
        <v>80</v>
      </c>
      <c r="H592" s="18">
        <v>272</v>
      </c>
      <c r="I592" s="19">
        <v>271.06650000000002</v>
      </c>
      <c r="J592" s="12">
        <f t="shared" si="36"/>
        <v>0.9334999999999809</v>
      </c>
      <c r="K592" s="14">
        <f t="shared" si="37"/>
        <v>0.87142224999996432</v>
      </c>
      <c r="L592" s="14">
        <f t="shared" si="38"/>
        <v>0.34319852941175771</v>
      </c>
      <c r="M592" s="14">
        <f t="shared" si="39"/>
        <v>1</v>
      </c>
    </row>
    <row r="593" spans="1:13" x14ac:dyDescent="0.25">
      <c r="A593" s="14" t="s">
        <v>625</v>
      </c>
      <c r="B593" s="15" t="s">
        <v>626</v>
      </c>
      <c r="C593" s="16">
        <v>0.375</v>
      </c>
      <c r="D593" s="17" t="s">
        <v>1076</v>
      </c>
      <c r="E593" s="14">
        <v>31.11</v>
      </c>
      <c r="F593" s="14">
        <v>43</v>
      </c>
      <c r="G593" s="14">
        <v>87.3</v>
      </c>
      <c r="H593" s="18">
        <v>218</v>
      </c>
      <c r="I593" s="19">
        <v>217.11170000000021</v>
      </c>
      <c r="J593" s="12">
        <f t="shared" si="36"/>
        <v>0.88829999999978781</v>
      </c>
      <c r="K593" s="14">
        <f t="shared" si="37"/>
        <v>0.789076889999623</v>
      </c>
      <c r="L593" s="14">
        <f t="shared" si="38"/>
        <v>0.40747706422008612</v>
      </c>
      <c r="M593" s="14">
        <f t="shared" si="39"/>
        <v>2</v>
      </c>
    </row>
    <row r="594" spans="1:13" x14ac:dyDescent="0.25">
      <c r="A594" s="14" t="s">
        <v>627</v>
      </c>
      <c r="B594" s="20"/>
      <c r="C594" s="16">
        <v>0.3888888888888889</v>
      </c>
      <c r="D594" s="17" t="s">
        <v>1076</v>
      </c>
      <c r="E594" s="14">
        <v>33.875999999999998</v>
      </c>
      <c r="F594" s="14">
        <v>79</v>
      </c>
      <c r="G594" s="14">
        <v>87.8</v>
      </c>
      <c r="H594" s="18">
        <v>391</v>
      </c>
      <c r="I594" s="19">
        <v>389.60572000000002</v>
      </c>
      <c r="J594" s="12">
        <f t="shared" si="36"/>
        <v>1.3942799999999806</v>
      </c>
      <c r="K594" s="14">
        <f t="shared" si="37"/>
        <v>1.9440167183999459</v>
      </c>
      <c r="L594" s="14">
        <f t="shared" si="38"/>
        <v>0.35659335038362677</v>
      </c>
      <c r="M594" s="14">
        <f t="shared" si="39"/>
        <v>3</v>
      </c>
    </row>
    <row r="595" spans="1:13" x14ac:dyDescent="0.25">
      <c r="A595" s="14" t="s">
        <v>628</v>
      </c>
      <c r="B595" s="20"/>
      <c r="C595" s="16">
        <v>0.40277777777777779</v>
      </c>
      <c r="D595" s="17" t="s">
        <v>1076</v>
      </c>
      <c r="E595" s="14">
        <v>32.371000000000002</v>
      </c>
      <c r="F595" s="14">
        <v>21</v>
      </c>
      <c r="G595" s="14">
        <v>64.3</v>
      </c>
      <c r="H595" s="18">
        <v>286</v>
      </c>
      <c r="I595" s="19">
        <v>282.10336999999998</v>
      </c>
      <c r="J595" s="12">
        <f t="shared" si="36"/>
        <v>3.896630000000016</v>
      </c>
      <c r="K595" s="14">
        <f t="shared" si="37"/>
        <v>15.183725356900124</v>
      </c>
      <c r="L595" s="14">
        <f t="shared" si="38"/>
        <v>1.3624580419580474</v>
      </c>
      <c r="M595" s="14">
        <f t="shared" si="39"/>
        <v>4</v>
      </c>
    </row>
    <row r="596" spans="1:13" x14ac:dyDescent="0.25">
      <c r="A596" s="14" t="s">
        <v>629</v>
      </c>
      <c r="B596" s="20"/>
      <c r="C596" s="16">
        <v>0.41666666666666669</v>
      </c>
      <c r="D596" s="17" t="s">
        <v>1076</v>
      </c>
      <c r="E596" s="14">
        <v>30.123999999999999</v>
      </c>
      <c r="F596" s="14">
        <v>59</v>
      </c>
      <c r="G596" s="14">
        <v>69.900000000000006</v>
      </c>
      <c r="H596" s="18">
        <v>155</v>
      </c>
      <c r="I596" s="19">
        <v>158.47428000000011</v>
      </c>
      <c r="J596" s="12">
        <f t="shared" si="36"/>
        <v>3.4742800000001068</v>
      </c>
      <c r="K596" s="14">
        <f t="shared" si="37"/>
        <v>12.070621518400742</v>
      </c>
      <c r="L596" s="14">
        <f t="shared" si="38"/>
        <v>2.2414709677420044</v>
      </c>
      <c r="M596" s="14">
        <f t="shared" si="39"/>
        <v>5</v>
      </c>
    </row>
    <row r="597" spans="1:13" x14ac:dyDescent="0.25">
      <c r="A597" s="14" t="s">
        <v>630</v>
      </c>
      <c r="B597" s="20"/>
      <c r="C597" s="16">
        <v>0.43055555555555558</v>
      </c>
      <c r="D597" s="17" t="s">
        <v>1076</v>
      </c>
      <c r="E597" s="14">
        <v>32.406000000000013</v>
      </c>
      <c r="F597" s="14">
        <v>35</v>
      </c>
      <c r="G597" s="14">
        <v>58.8</v>
      </c>
      <c r="H597" s="18">
        <v>291</v>
      </c>
      <c r="I597" s="19">
        <v>294.1848200000004</v>
      </c>
      <c r="J597" s="12">
        <f t="shared" si="36"/>
        <v>3.1848200000003999</v>
      </c>
      <c r="K597" s="14">
        <f t="shared" si="37"/>
        <v>10.143078432402547</v>
      </c>
      <c r="L597" s="14">
        <f t="shared" si="38"/>
        <v>1.0944398625430927</v>
      </c>
      <c r="M597" s="14">
        <f t="shared" si="39"/>
        <v>1</v>
      </c>
    </row>
    <row r="598" spans="1:13" x14ac:dyDescent="0.25">
      <c r="A598" s="14" t="s">
        <v>631</v>
      </c>
      <c r="B598" s="20"/>
      <c r="C598" s="16">
        <v>0.44444444444444442</v>
      </c>
      <c r="D598" s="17" t="s">
        <v>1076</v>
      </c>
      <c r="E598" s="14">
        <v>31.611999999999998</v>
      </c>
      <c r="F598" s="14">
        <v>57</v>
      </c>
      <c r="G598" s="14">
        <v>76.599999999999994</v>
      </c>
      <c r="H598" s="18">
        <v>233</v>
      </c>
      <c r="I598" s="19">
        <v>232.96564000000001</v>
      </c>
      <c r="J598" s="12">
        <f t="shared" si="36"/>
        <v>3.4359999999992397E-2</v>
      </c>
      <c r="K598" s="14">
        <f t="shared" si="37"/>
        <v>1.1806095999994774E-3</v>
      </c>
      <c r="L598" s="14">
        <f t="shared" si="38"/>
        <v>1.4746781115876564E-2</v>
      </c>
      <c r="M598" s="14">
        <f t="shared" si="39"/>
        <v>2</v>
      </c>
    </row>
    <row r="599" spans="1:13" x14ac:dyDescent="0.25">
      <c r="A599" s="14" t="s">
        <v>632</v>
      </c>
      <c r="B599" s="20"/>
      <c r="C599" s="16">
        <v>0.45833333333333331</v>
      </c>
      <c r="D599" s="17" t="s">
        <v>1076</v>
      </c>
      <c r="E599" s="14">
        <v>32.213000000000001</v>
      </c>
      <c r="F599" s="14">
        <v>56</v>
      </c>
      <c r="G599" s="14">
        <v>89.4</v>
      </c>
      <c r="H599" s="18">
        <v>286</v>
      </c>
      <c r="I599" s="19">
        <v>282.70711000000011</v>
      </c>
      <c r="J599" s="12">
        <f t="shared" si="36"/>
        <v>3.2928899999998862</v>
      </c>
      <c r="K599" s="14">
        <f t="shared" si="37"/>
        <v>10.843124552099251</v>
      </c>
      <c r="L599" s="14">
        <f t="shared" si="38"/>
        <v>1.1513601398601001</v>
      </c>
      <c r="M599" s="14">
        <f t="shared" si="39"/>
        <v>3</v>
      </c>
    </row>
    <row r="600" spans="1:13" x14ac:dyDescent="0.25">
      <c r="A600" s="14" t="s">
        <v>633</v>
      </c>
      <c r="B600" s="20"/>
      <c r="C600" s="16">
        <v>0.47222222222222221</v>
      </c>
      <c r="D600" s="17" t="s">
        <v>1076</v>
      </c>
      <c r="E600" s="14">
        <v>33.69</v>
      </c>
      <c r="F600" s="14">
        <v>31</v>
      </c>
      <c r="G600" s="14">
        <v>58.7</v>
      </c>
      <c r="H600" s="18">
        <v>373</v>
      </c>
      <c r="I600" s="19">
        <v>370.54429999999979</v>
      </c>
      <c r="J600" s="12">
        <f t="shared" si="36"/>
        <v>2.4557000000002063</v>
      </c>
      <c r="K600" s="14">
        <f t="shared" si="37"/>
        <v>6.0304624900010131</v>
      </c>
      <c r="L600" s="14">
        <f t="shared" si="38"/>
        <v>0.65836461126010892</v>
      </c>
      <c r="M600" s="14">
        <f t="shared" si="39"/>
        <v>4</v>
      </c>
    </row>
    <row r="601" spans="1:13" x14ac:dyDescent="0.25">
      <c r="A601" s="14" t="s">
        <v>634</v>
      </c>
      <c r="B601" s="20"/>
      <c r="C601" s="16">
        <v>0.4861111111111111</v>
      </c>
      <c r="D601" s="17" t="s">
        <v>1076</v>
      </c>
      <c r="E601" s="14">
        <v>31.77</v>
      </c>
      <c r="F601" s="14">
        <v>49</v>
      </c>
      <c r="G601" s="14">
        <v>85.7</v>
      </c>
      <c r="H601" s="18">
        <v>257</v>
      </c>
      <c r="I601" s="19">
        <v>256.36190000000011</v>
      </c>
      <c r="J601" s="12">
        <f t="shared" si="36"/>
        <v>0.63809999999989486</v>
      </c>
      <c r="K601" s="14">
        <f t="shared" si="37"/>
        <v>0.40717160999986585</v>
      </c>
      <c r="L601" s="14">
        <f t="shared" si="38"/>
        <v>0.24828793774314975</v>
      </c>
      <c r="M601" s="14">
        <f t="shared" si="39"/>
        <v>5</v>
      </c>
    </row>
    <row r="602" spans="1:13" x14ac:dyDescent="0.25">
      <c r="A602" s="14" t="s">
        <v>635</v>
      </c>
      <c r="B602" s="21"/>
      <c r="C602" s="16">
        <v>0.5</v>
      </c>
      <c r="D602" s="17" t="s">
        <v>1076</v>
      </c>
      <c r="E602" s="14">
        <v>33.881</v>
      </c>
      <c r="F602" s="14">
        <v>68</v>
      </c>
      <c r="G602" s="14">
        <v>72.099999999999994</v>
      </c>
      <c r="H602" s="18">
        <v>380</v>
      </c>
      <c r="I602" s="19">
        <v>381.90307000000013</v>
      </c>
      <c r="J602" s="12">
        <f t="shared" si="36"/>
        <v>1.9030700000001275</v>
      </c>
      <c r="K602" s="14">
        <f t="shared" si="37"/>
        <v>3.6216754249004852</v>
      </c>
      <c r="L602" s="14">
        <f t="shared" si="38"/>
        <v>0.50080789473687559</v>
      </c>
      <c r="M602" s="14">
        <f t="shared" si="39"/>
        <v>1</v>
      </c>
    </row>
    <row r="603" spans="1:13" x14ac:dyDescent="0.25">
      <c r="A603" s="14" t="s">
        <v>636</v>
      </c>
      <c r="B603" s="15" t="s">
        <v>637</v>
      </c>
      <c r="C603" s="16">
        <v>0.375</v>
      </c>
      <c r="D603" s="17" t="s">
        <v>1076</v>
      </c>
      <c r="E603" s="14">
        <v>32.56</v>
      </c>
      <c r="F603" s="14">
        <v>55</v>
      </c>
      <c r="G603" s="14">
        <v>88.6</v>
      </c>
      <c r="H603" s="18">
        <v>290</v>
      </c>
      <c r="I603" s="19">
        <v>291.34320000000002</v>
      </c>
      <c r="J603" s="12">
        <f t="shared" si="36"/>
        <v>1.3432000000000244</v>
      </c>
      <c r="K603" s="14">
        <f t="shared" si="37"/>
        <v>1.8041862400000654</v>
      </c>
      <c r="L603" s="14">
        <f t="shared" si="38"/>
        <v>0.4631724137931118</v>
      </c>
      <c r="M603" s="14">
        <f t="shared" si="39"/>
        <v>2</v>
      </c>
    </row>
    <row r="604" spans="1:13" x14ac:dyDescent="0.25">
      <c r="A604" s="14" t="s">
        <v>638</v>
      </c>
      <c r="B604" s="20"/>
      <c r="C604" s="16">
        <v>0.3888888888888889</v>
      </c>
      <c r="D604" s="17" t="s">
        <v>1076</v>
      </c>
      <c r="E604" s="14">
        <v>31.097999999999999</v>
      </c>
      <c r="F604" s="14">
        <v>40</v>
      </c>
      <c r="G604" s="14">
        <v>65.099999999999994</v>
      </c>
      <c r="H604" s="18">
        <v>213</v>
      </c>
      <c r="I604" s="19">
        <v>216.39806000000021</v>
      </c>
      <c r="J604" s="12">
        <f t="shared" si="36"/>
        <v>3.3980600000002141</v>
      </c>
      <c r="K604" s="14">
        <f t="shared" si="37"/>
        <v>11.546811763601456</v>
      </c>
      <c r="L604" s="14">
        <f t="shared" si="38"/>
        <v>1.5953333333334339</v>
      </c>
      <c r="M604" s="14">
        <f t="shared" si="39"/>
        <v>3</v>
      </c>
    </row>
    <row r="605" spans="1:13" x14ac:dyDescent="0.25">
      <c r="A605" s="14" t="s">
        <v>639</v>
      </c>
      <c r="B605" s="20"/>
      <c r="C605" s="16">
        <v>0.40277777777777779</v>
      </c>
      <c r="D605" s="17" t="s">
        <v>1076</v>
      </c>
      <c r="E605" s="14">
        <v>34.125</v>
      </c>
      <c r="F605" s="14">
        <v>80</v>
      </c>
      <c r="G605" s="14">
        <v>72.3</v>
      </c>
      <c r="H605" s="18">
        <v>394</v>
      </c>
      <c r="I605" s="19">
        <v>396.41374999999988</v>
      </c>
      <c r="J605" s="12">
        <f t="shared" si="36"/>
        <v>2.4137499999998795</v>
      </c>
      <c r="K605" s="14">
        <f t="shared" si="37"/>
        <v>5.8261890624994184</v>
      </c>
      <c r="L605" s="14">
        <f t="shared" si="38"/>
        <v>0.61262690355326888</v>
      </c>
      <c r="M605" s="14">
        <f t="shared" si="39"/>
        <v>4</v>
      </c>
    </row>
    <row r="606" spans="1:13" x14ac:dyDescent="0.25">
      <c r="A606" s="14" t="s">
        <v>640</v>
      </c>
      <c r="B606" s="20"/>
      <c r="C606" s="16">
        <v>0.41666666666666669</v>
      </c>
      <c r="D606" s="17" t="s">
        <v>1076</v>
      </c>
      <c r="E606" s="14">
        <v>32.817999999999998</v>
      </c>
      <c r="F606" s="14">
        <v>32</v>
      </c>
      <c r="G606" s="14">
        <v>55.2</v>
      </c>
      <c r="H606" s="18">
        <v>311</v>
      </c>
      <c r="I606" s="19">
        <v>308.68646000000001</v>
      </c>
      <c r="J606" s="12">
        <f t="shared" si="36"/>
        <v>2.313539999999989</v>
      </c>
      <c r="K606" s="14">
        <f t="shared" si="37"/>
        <v>5.3524673315999491</v>
      </c>
      <c r="L606" s="14">
        <f t="shared" si="38"/>
        <v>0.74390353697748846</v>
      </c>
      <c r="M606" s="14">
        <f t="shared" si="39"/>
        <v>5</v>
      </c>
    </row>
    <row r="607" spans="1:13" x14ac:dyDescent="0.25">
      <c r="A607" s="14" t="s">
        <v>641</v>
      </c>
      <c r="B607" s="20"/>
      <c r="C607" s="16">
        <v>0.43055555555555558</v>
      </c>
      <c r="D607" s="17" t="s">
        <v>1076</v>
      </c>
      <c r="E607" s="14">
        <v>32.851999999999997</v>
      </c>
      <c r="F607" s="14">
        <v>42</v>
      </c>
      <c r="G607" s="14">
        <v>60.1</v>
      </c>
      <c r="H607" s="18">
        <v>319</v>
      </c>
      <c r="I607" s="19">
        <v>320.70844000000011</v>
      </c>
      <c r="J607" s="12">
        <f t="shared" si="36"/>
        <v>1.7084400000001096</v>
      </c>
      <c r="K607" s="14">
        <f t="shared" si="37"/>
        <v>2.9187672336003745</v>
      </c>
      <c r="L607" s="14">
        <f t="shared" si="38"/>
        <v>0.53556112852668014</v>
      </c>
      <c r="M607" s="14">
        <f t="shared" si="39"/>
        <v>1</v>
      </c>
    </row>
    <row r="608" spans="1:13" x14ac:dyDescent="0.25">
      <c r="A608" s="14" t="s">
        <v>642</v>
      </c>
      <c r="B608" s="20"/>
      <c r="C608" s="16">
        <v>0.44444444444444442</v>
      </c>
      <c r="D608" s="17" t="s">
        <v>1076</v>
      </c>
      <c r="E608" s="14">
        <v>30.731999999999999</v>
      </c>
      <c r="F608" s="14">
        <v>34</v>
      </c>
      <c r="G608" s="14">
        <v>78.8</v>
      </c>
      <c r="H608" s="18">
        <v>198</v>
      </c>
      <c r="I608" s="19">
        <v>194.63204000000019</v>
      </c>
      <c r="J608" s="12">
        <f t="shared" si="36"/>
        <v>3.3679599999998118</v>
      </c>
      <c r="K608" s="14">
        <f t="shared" si="37"/>
        <v>11.343154561598732</v>
      </c>
      <c r="L608" s="14">
        <f t="shared" si="38"/>
        <v>1.7009898989898038</v>
      </c>
      <c r="M608" s="14">
        <f t="shared" si="39"/>
        <v>2</v>
      </c>
    </row>
    <row r="609" spans="1:13" x14ac:dyDescent="0.25">
      <c r="A609" s="14" t="s">
        <v>643</v>
      </c>
      <c r="B609" s="20"/>
      <c r="C609" s="16">
        <v>0.45833333333333331</v>
      </c>
      <c r="D609" s="17" t="s">
        <v>1076</v>
      </c>
      <c r="E609" s="14">
        <v>33.049000000000007</v>
      </c>
      <c r="F609" s="14">
        <v>83</v>
      </c>
      <c r="G609" s="14">
        <v>77.5</v>
      </c>
      <c r="H609" s="18">
        <v>350</v>
      </c>
      <c r="I609" s="19">
        <v>349.63</v>
      </c>
      <c r="J609" s="12">
        <f t="shared" si="36"/>
        <v>0.37000000000000455</v>
      </c>
      <c r="K609" s="14">
        <f t="shared" si="37"/>
        <v>0.13690000000000335</v>
      </c>
      <c r="L609" s="14">
        <f t="shared" si="38"/>
        <v>0.10571428571428702</v>
      </c>
      <c r="M609" s="14">
        <f t="shared" si="39"/>
        <v>3</v>
      </c>
    </row>
    <row r="610" spans="1:13" x14ac:dyDescent="0.25">
      <c r="A610" s="14" t="s">
        <v>644</v>
      </c>
      <c r="B610" s="20"/>
      <c r="C610" s="16">
        <v>0.47222222222222221</v>
      </c>
      <c r="D610" s="17" t="s">
        <v>1076</v>
      </c>
      <c r="E610" s="14">
        <v>32.775000000000013</v>
      </c>
      <c r="F610" s="14">
        <v>70</v>
      </c>
      <c r="G610" s="14">
        <v>80.099999999999994</v>
      </c>
      <c r="H610" s="18">
        <v>318</v>
      </c>
      <c r="I610" s="19">
        <v>316.12925000000041</v>
      </c>
      <c r="J610" s="12">
        <f t="shared" si="36"/>
        <v>1.8707499999995889</v>
      </c>
      <c r="K610" s="14">
        <f t="shared" si="37"/>
        <v>3.4997055624984621</v>
      </c>
      <c r="L610" s="14">
        <f t="shared" si="38"/>
        <v>0.58828616352188334</v>
      </c>
      <c r="M610" s="14">
        <f t="shared" si="39"/>
        <v>4</v>
      </c>
    </row>
    <row r="611" spans="1:13" x14ac:dyDescent="0.25">
      <c r="A611" s="14" t="s">
        <v>645</v>
      </c>
      <c r="B611" s="20"/>
      <c r="C611" s="16">
        <v>0.4861111111111111</v>
      </c>
      <c r="D611" s="17" t="s">
        <v>1076</v>
      </c>
      <c r="E611" s="14">
        <v>31.276</v>
      </c>
      <c r="F611" s="14">
        <v>68</v>
      </c>
      <c r="G611" s="14">
        <v>87.9</v>
      </c>
      <c r="H611" s="18">
        <v>230</v>
      </c>
      <c r="I611" s="19">
        <v>226.9837200000002</v>
      </c>
      <c r="J611" s="12">
        <f t="shared" si="36"/>
        <v>3.0162799999997958</v>
      </c>
      <c r="K611" s="14">
        <f t="shared" si="37"/>
        <v>9.0979450383987679</v>
      </c>
      <c r="L611" s="14">
        <f t="shared" si="38"/>
        <v>1.3114260869564329</v>
      </c>
      <c r="M611" s="14">
        <f t="shared" si="39"/>
        <v>5</v>
      </c>
    </row>
    <row r="612" spans="1:13" x14ac:dyDescent="0.25">
      <c r="A612" s="14" t="s">
        <v>646</v>
      </c>
      <c r="B612" s="21"/>
      <c r="C612" s="16">
        <v>0.5</v>
      </c>
      <c r="D612" s="17" t="s">
        <v>1076</v>
      </c>
      <c r="E612" s="14">
        <v>32.99</v>
      </c>
      <c r="F612" s="14">
        <v>56</v>
      </c>
      <c r="G612" s="14">
        <v>70.5</v>
      </c>
      <c r="H612" s="18">
        <v>328</v>
      </c>
      <c r="I612" s="19">
        <v>328.91530000000012</v>
      </c>
      <c r="J612" s="12">
        <f t="shared" si="36"/>
        <v>0.91530000000011569</v>
      </c>
      <c r="K612" s="14">
        <f t="shared" si="37"/>
        <v>0.83777409000021175</v>
      </c>
      <c r="L612" s="14">
        <f t="shared" si="38"/>
        <v>0.27905487804881574</v>
      </c>
      <c r="M612" s="14">
        <f t="shared" si="39"/>
        <v>1</v>
      </c>
    </row>
    <row r="613" spans="1:13" x14ac:dyDescent="0.25">
      <c r="A613" s="14" t="s">
        <v>647</v>
      </c>
      <c r="B613" s="15" t="s">
        <v>648</v>
      </c>
      <c r="C613" s="16">
        <v>0.375</v>
      </c>
      <c r="D613" s="17" t="s">
        <v>1076</v>
      </c>
      <c r="E613" s="14">
        <v>32.713000000000001</v>
      </c>
      <c r="F613" s="14">
        <v>68</v>
      </c>
      <c r="G613" s="14">
        <v>93.7</v>
      </c>
      <c r="H613" s="18">
        <v>295</v>
      </c>
      <c r="I613" s="19">
        <v>291.56</v>
      </c>
      <c r="J613" s="12">
        <f t="shared" si="36"/>
        <v>3.4399999999999977</v>
      </c>
      <c r="K613" s="14">
        <f t="shared" si="37"/>
        <v>11.833599999999985</v>
      </c>
      <c r="L613" s="14">
        <f t="shared" si="38"/>
        <v>1.1661016949152534</v>
      </c>
      <c r="M613" s="14">
        <f t="shared" si="39"/>
        <v>2</v>
      </c>
    </row>
    <row r="614" spans="1:13" x14ac:dyDescent="0.25">
      <c r="A614" s="14" t="s">
        <v>649</v>
      </c>
      <c r="B614" s="20"/>
      <c r="C614" s="16">
        <v>0.3888888888888889</v>
      </c>
      <c r="D614" s="17" t="s">
        <v>1076</v>
      </c>
      <c r="E614" s="14">
        <v>32.69</v>
      </c>
      <c r="F614" s="14">
        <v>23</v>
      </c>
      <c r="G614" s="14">
        <v>58.2</v>
      </c>
      <c r="H614" s="18">
        <v>311</v>
      </c>
      <c r="I614" s="19">
        <v>311.07429999999982</v>
      </c>
      <c r="J614" s="12">
        <f t="shared" si="36"/>
        <v>7.4299999999823285E-2</v>
      </c>
      <c r="K614" s="14">
        <f t="shared" si="37"/>
        <v>5.52048999997374E-3</v>
      </c>
      <c r="L614" s="14">
        <f t="shared" si="38"/>
        <v>2.3890675241100737E-2</v>
      </c>
      <c r="M614" s="14">
        <f t="shared" si="39"/>
        <v>3</v>
      </c>
    </row>
    <row r="615" spans="1:13" x14ac:dyDescent="0.25">
      <c r="A615" s="14" t="s">
        <v>650</v>
      </c>
      <c r="B615" s="20"/>
      <c r="C615" s="16">
        <v>0.40277777777777779</v>
      </c>
      <c r="D615" s="17" t="s">
        <v>1076</v>
      </c>
      <c r="E615" s="14">
        <v>32.859000000000002</v>
      </c>
      <c r="F615" s="14">
        <v>24</v>
      </c>
      <c r="G615" s="14">
        <v>75.2</v>
      </c>
      <c r="H615" s="18">
        <v>322</v>
      </c>
      <c r="I615" s="19">
        <v>321.12473</v>
      </c>
      <c r="J615" s="12">
        <f t="shared" si="36"/>
        <v>0.87527000000000044</v>
      </c>
      <c r="K615" s="14">
        <f t="shared" si="37"/>
        <v>0.7660975729000008</v>
      </c>
      <c r="L615" s="14">
        <f t="shared" si="38"/>
        <v>0.27182298136645977</v>
      </c>
      <c r="M615" s="14">
        <f t="shared" si="39"/>
        <v>4</v>
      </c>
    </row>
    <row r="616" spans="1:13" x14ac:dyDescent="0.25">
      <c r="A616" s="14" t="s">
        <v>651</v>
      </c>
      <c r="B616" s="20"/>
      <c r="C616" s="16">
        <v>0.41666666666666669</v>
      </c>
      <c r="D616" s="17" t="s">
        <v>1076</v>
      </c>
      <c r="E616" s="14">
        <v>31.484999999999999</v>
      </c>
      <c r="F616" s="14">
        <v>68</v>
      </c>
      <c r="G616" s="14">
        <v>55.7</v>
      </c>
      <c r="H616" s="18">
        <v>262</v>
      </c>
      <c r="I616" s="19">
        <v>261.52</v>
      </c>
      <c r="J616" s="12">
        <f t="shared" si="36"/>
        <v>0.48000000000001819</v>
      </c>
      <c r="K616" s="14">
        <f t="shared" si="37"/>
        <v>0.23040000000001745</v>
      </c>
      <c r="L616" s="14">
        <f t="shared" si="38"/>
        <v>0.18320610687023595</v>
      </c>
      <c r="M616" s="14">
        <f t="shared" si="39"/>
        <v>5</v>
      </c>
    </row>
    <row r="617" spans="1:13" x14ac:dyDescent="0.25">
      <c r="A617" s="14" t="s">
        <v>652</v>
      </c>
      <c r="B617" s="20"/>
      <c r="C617" s="16">
        <v>0.43055555555555558</v>
      </c>
      <c r="D617" s="17" t="s">
        <v>1076</v>
      </c>
      <c r="E617" s="14">
        <v>30.888000000000002</v>
      </c>
      <c r="F617" s="14">
        <v>59</v>
      </c>
      <c r="G617" s="14">
        <v>92.8</v>
      </c>
      <c r="H617" s="18">
        <v>202</v>
      </c>
      <c r="I617" s="19">
        <v>203.90936000000011</v>
      </c>
      <c r="J617" s="12">
        <f t="shared" si="36"/>
        <v>1.9093600000001061</v>
      </c>
      <c r="K617" s="14">
        <f t="shared" si="37"/>
        <v>3.6456556096004049</v>
      </c>
      <c r="L617" s="14">
        <f t="shared" si="38"/>
        <v>0.94522772277232969</v>
      </c>
      <c r="M617" s="14">
        <f t="shared" si="39"/>
        <v>1</v>
      </c>
    </row>
    <row r="618" spans="1:13" x14ac:dyDescent="0.25">
      <c r="A618" s="14" t="s">
        <v>653</v>
      </c>
      <c r="B618" s="20"/>
      <c r="C618" s="16">
        <v>0.44444444444444442</v>
      </c>
      <c r="D618" s="17" t="s">
        <v>1076</v>
      </c>
      <c r="E618" s="14">
        <v>31.452999999999999</v>
      </c>
      <c r="F618" s="14">
        <v>81</v>
      </c>
      <c r="G618" s="14">
        <v>58.3</v>
      </c>
      <c r="H618" s="18">
        <v>240</v>
      </c>
      <c r="I618" s="19">
        <v>237.50991000000019</v>
      </c>
      <c r="J618" s="12">
        <f t="shared" si="36"/>
        <v>2.4900899999998103</v>
      </c>
      <c r="K618" s="14">
        <f t="shared" si="37"/>
        <v>6.2005482080990548</v>
      </c>
      <c r="L618" s="14">
        <f t="shared" si="38"/>
        <v>1.037537499999921</v>
      </c>
      <c r="M618" s="14">
        <f t="shared" si="39"/>
        <v>2</v>
      </c>
    </row>
    <row r="619" spans="1:13" x14ac:dyDescent="0.25">
      <c r="A619" s="14" t="s">
        <v>654</v>
      </c>
      <c r="B619" s="20"/>
      <c r="C619" s="16">
        <v>0.45833333333333331</v>
      </c>
      <c r="D619" s="17" t="s">
        <v>1076</v>
      </c>
      <c r="E619" s="14">
        <v>30.727</v>
      </c>
      <c r="F619" s="14">
        <v>32</v>
      </c>
      <c r="G619" s="14">
        <v>89</v>
      </c>
      <c r="H619" s="18">
        <v>194</v>
      </c>
      <c r="I619" s="19">
        <v>194.33469000000011</v>
      </c>
      <c r="J619" s="12">
        <f t="shared" si="36"/>
        <v>0.33469000000010851</v>
      </c>
      <c r="K619" s="14">
        <f t="shared" si="37"/>
        <v>0.11201739610007264</v>
      </c>
      <c r="L619" s="14">
        <f t="shared" si="38"/>
        <v>0.17252061855675696</v>
      </c>
      <c r="M619" s="14">
        <f t="shared" si="39"/>
        <v>3</v>
      </c>
    </row>
    <row r="620" spans="1:13" x14ac:dyDescent="0.25">
      <c r="A620" s="14" t="s">
        <v>655</v>
      </c>
      <c r="B620" s="20"/>
      <c r="C620" s="16">
        <v>0.47222222222222221</v>
      </c>
      <c r="D620" s="17" t="s">
        <v>1076</v>
      </c>
      <c r="E620" s="14">
        <v>31.803000000000001</v>
      </c>
      <c r="F620" s="14">
        <v>46</v>
      </c>
      <c r="G620" s="14">
        <v>78.2</v>
      </c>
      <c r="H620" s="18">
        <v>248</v>
      </c>
      <c r="I620" s="19">
        <v>247.32441</v>
      </c>
      <c r="J620" s="12">
        <f t="shared" si="36"/>
        <v>0.67558999999999969</v>
      </c>
      <c r="K620" s="14">
        <f t="shared" si="37"/>
        <v>0.45642184809999958</v>
      </c>
      <c r="L620" s="14">
        <f t="shared" si="38"/>
        <v>0.27241532258064505</v>
      </c>
      <c r="M620" s="14">
        <f t="shared" si="39"/>
        <v>4</v>
      </c>
    </row>
    <row r="621" spans="1:13" x14ac:dyDescent="0.25">
      <c r="A621" s="14" t="s">
        <v>656</v>
      </c>
      <c r="B621" s="20"/>
      <c r="C621" s="16">
        <v>0.4861111111111111</v>
      </c>
      <c r="D621" s="17" t="s">
        <v>1076</v>
      </c>
      <c r="E621" s="14">
        <v>33.037000000000013</v>
      </c>
      <c r="F621" s="14">
        <v>50</v>
      </c>
      <c r="G621" s="14">
        <v>74.3</v>
      </c>
      <c r="H621" s="18">
        <v>343</v>
      </c>
      <c r="I621" s="19">
        <v>341.52</v>
      </c>
      <c r="J621" s="12">
        <f t="shared" si="36"/>
        <v>1.4800000000000182</v>
      </c>
      <c r="K621" s="14">
        <f t="shared" si="37"/>
        <v>2.1904000000000536</v>
      </c>
      <c r="L621" s="14">
        <f t="shared" si="38"/>
        <v>0.4314868804664776</v>
      </c>
      <c r="M621" s="14">
        <f t="shared" si="39"/>
        <v>5</v>
      </c>
    </row>
    <row r="622" spans="1:13" x14ac:dyDescent="0.25">
      <c r="A622" s="14" t="s">
        <v>657</v>
      </c>
      <c r="B622" s="21"/>
      <c r="C622" s="16">
        <v>0.5</v>
      </c>
      <c r="D622" s="17" t="s">
        <v>1076</v>
      </c>
      <c r="E622" s="14">
        <v>32.278000000000013</v>
      </c>
      <c r="F622" s="14">
        <v>44</v>
      </c>
      <c r="G622" s="14">
        <v>56.1</v>
      </c>
      <c r="H622" s="18">
        <v>294</v>
      </c>
      <c r="I622" s="19">
        <v>291.57265999999998</v>
      </c>
      <c r="J622" s="12">
        <f t="shared" si="36"/>
        <v>2.4273400000000152</v>
      </c>
      <c r="K622" s="14">
        <f t="shared" si="37"/>
        <v>5.8919794756000732</v>
      </c>
      <c r="L622" s="14">
        <f t="shared" si="38"/>
        <v>0.82562585034014113</v>
      </c>
      <c r="M622" s="14">
        <f t="shared" si="39"/>
        <v>1</v>
      </c>
    </row>
    <row r="623" spans="1:13" x14ac:dyDescent="0.25">
      <c r="A623" s="14" t="s">
        <v>658</v>
      </c>
      <c r="B623" s="15" t="s">
        <v>659</v>
      </c>
      <c r="C623" s="16">
        <v>0.375</v>
      </c>
      <c r="D623" s="17" t="s">
        <v>1076</v>
      </c>
      <c r="E623" s="14">
        <v>32.510000000000012</v>
      </c>
      <c r="F623" s="14">
        <v>53</v>
      </c>
      <c r="G623" s="14">
        <v>56.8</v>
      </c>
      <c r="H623" s="18">
        <v>308</v>
      </c>
      <c r="I623" s="19">
        <v>306.36970000000002</v>
      </c>
      <c r="J623" s="12">
        <f t="shared" si="36"/>
        <v>1.630299999999977</v>
      </c>
      <c r="K623" s="14">
        <f t="shared" si="37"/>
        <v>2.657878089999925</v>
      </c>
      <c r="L623" s="14">
        <f t="shared" si="38"/>
        <v>0.52931818181817436</v>
      </c>
      <c r="M623" s="14">
        <f t="shared" si="39"/>
        <v>2</v>
      </c>
    </row>
    <row r="624" spans="1:13" x14ac:dyDescent="0.25">
      <c r="A624" s="14" t="s">
        <v>660</v>
      </c>
      <c r="B624" s="20"/>
      <c r="C624" s="16">
        <v>0.3888888888888889</v>
      </c>
      <c r="D624" s="17" t="s">
        <v>1076</v>
      </c>
      <c r="E624" s="14">
        <v>32.984999999999999</v>
      </c>
      <c r="F624" s="14">
        <v>46</v>
      </c>
      <c r="G624" s="14">
        <v>58</v>
      </c>
      <c r="H624" s="18">
        <v>320</v>
      </c>
      <c r="I624" s="19">
        <v>319.61795000000001</v>
      </c>
      <c r="J624" s="12">
        <f t="shared" si="36"/>
        <v>0.38204999999999245</v>
      </c>
      <c r="K624" s="14">
        <f t="shared" si="37"/>
        <v>0.14596220249999423</v>
      </c>
      <c r="L624" s="14">
        <f t="shared" si="38"/>
        <v>0.11939062499999764</v>
      </c>
      <c r="M624" s="14">
        <f t="shared" si="39"/>
        <v>3</v>
      </c>
    </row>
    <row r="625" spans="1:13" x14ac:dyDescent="0.25">
      <c r="A625" s="14" t="s">
        <v>661</v>
      </c>
      <c r="B625" s="20"/>
      <c r="C625" s="16">
        <v>0.40277777777777779</v>
      </c>
      <c r="D625" s="17" t="s">
        <v>1076</v>
      </c>
      <c r="E625" s="14">
        <v>31.393999999999998</v>
      </c>
      <c r="F625" s="14">
        <v>55</v>
      </c>
      <c r="G625" s="14">
        <v>65.3</v>
      </c>
      <c r="H625" s="18">
        <v>247</v>
      </c>
      <c r="I625" s="19">
        <v>246.51</v>
      </c>
      <c r="J625" s="12">
        <f t="shared" si="36"/>
        <v>0.49000000000000909</v>
      </c>
      <c r="K625" s="14">
        <f t="shared" si="37"/>
        <v>0.24010000000000892</v>
      </c>
      <c r="L625" s="14">
        <f t="shared" si="38"/>
        <v>0.19838056680162314</v>
      </c>
      <c r="M625" s="14">
        <f t="shared" si="39"/>
        <v>4</v>
      </c>
    </row>
    <row r="626" spans="1:13" x14ac:dyDescent="0.25">
      <c r="A626" s="14" t="s">
        <v>662</v>
      </c>
      <c r="B626" s="20"/>
      <c r="C626" s="16">
        <v>0.41666666666666669</v>
      </c>
      <c r="D626" s="17" t="s">
        <v>1076</v>
      </c>
      <c r="E626" s="14">
        <v>31.869</v>
      </c>
      <c r="F626" s="14">
        <v>74</v>
      </c>
      <c r="G626" s="14">
        <v>88</v>
      </c>
      <c r="H626" s="18">
        <v>249</v>
      </c>
      <c r="I626" s="19">
        <v>248.24942999999999</v>
      </c>
      <c r="J626" s="12">
        <f t="shared" si="36"/>
        <v>0.7505700000000104</v>
      </c>
      <c r="K626" s="14">
        <f t="shared" si="37"/>
        <v>0.56335532490001561</v>
      </c>
      <c r="L626" s="14">
        <f t="shared" si="38"/>
        <v>0.30143373493976322</v>
      </c>
      <c r="M626" s="14">
        <f t="shared" si="39"/>
        <v>5</v>
      </c>
    </row>
    <row r="627" spans="1:13" x14ac:dyDescent="0.25">
      <c r="A627" s="14" t="s">
        <v>663</v>
      </c>
      <c r="B627" s="20"/>
      <c r="C627" s="16">
        <v>0.43055555555555558</v>
      </c>
      <c r="D627" s="17" t="s">
        <v>1076</v>
      </c>
      <c r="E627" s="14">
        <v>32.479999999999997</v>
      </c>
      <c r="F627" s="14">
        <v>44</v>
      </c>
      <c r="G627" s="14">
        <v>83</v>
      </c>
      <c r="H627" s="18">
        <v>304</v>
      </c>
      <c r="I627" s="19">
        <v>301.5856</v>
      </c>
      <c r="J627" s="12">
        <f t="shared" si="36"/>
        <v>2.4144000000000005</v>
      </c>
      <c r="K627" s="14">
        <f t="shared" si="37"/>
        <v>5.8293273600000024</v>
      </c>
      <c r="L627" s="14">
        <f t="shared" si="38"/>
        <v>0.79421052631578959</v>
      </c>
      <c r="M627" s="14">
        <f t="shared" si="39"/>
        <v>1</v>
      </c>
    </row>
    <row r="628" spans="1:13" x14ac:dyDescent="0.25">
      <c r="A628" s="14" t="s">
        <v>664</v>
      </c>
      <c r="B628" s="20"/>
      <c r="C628" s="16">
        <v>0.44444444444444442</v>
      </c>
      <c r="D628" s="17" t="s">
        <v>1076</v>
      </c>
      <c r="E628" s="14">
        <v>33.505000000000003</v>
      </c>
      <c r="F628" s="14">
        <v>72</v>
      </c>
      <c r="G628" s="14">
        <v>94.7</v>
      </c>
      <c r="H628" s="18">
        <v>380</v>
      </c>
      <c r="I628" s="19">
        <v>381.53</v>
      </c>
      <c r="J628" s="12">
        <f t="shared" si="36"/>
        <v>1.5299999999999727</v>
      </c>
      <c r="K628" s="14">
        <f t="shared" si="37"/>
        <v>2.3408999999999165</v>
      </c>
      <c r="L628" s="14">
        <f t="shared" si="38"/>
        <v>0.40263157894736123</v>
      </c>
      <c r="M628" s="14">
        <f t="shared" si="39"/>
        <v>2</v>
      </c>
    </row>
    <row r="629" spans="1:13" x14ac:dyDescent="0.25">
      <c r="A629" s="14" t="s">
        <v>665</v>
      </c>
      <c r="B629" s="20"/>
      <c r="C629" s="16">
        <v>0.45833333333333331</v>
      </c>
      <c r="D629" s="17" t="s">
        <v>1076</v>
      </c>
      <c r="E629" s="14">
        <v>32.354999999999997</v>
      </c>
      <c r="F629" s="14">
        <v>50</v>
      </c>
      <c r="G629" s="14">
        <v>57.5</v>
      </c>
      <c r="H629" s="18">
        <v>282</v>
      </c>
      <c r="I629" s="19">
        <v>279.15185000000002</v>
      </c>
      <c r="J629" s="12">
        <f t="shared" si="36"/>
        <v>2.8481499999999755</v>
      </c>
      <c r="K629" s="14">
        <f t="shared" si="37"/>
        <v>8.1119584224998604</v>
      </c>
      <c r="L629" s="14">
        <f t="shared" si="38"/>
        <v>1.0099822695035374</v>
      </c>
      <c r="M629" s="14">
        <f t="shared" si="39"/>
        <v>3</v>
      </c>
    </row>
    <row r="630" spans="1:13" x14ac:dyDescent="0.25">
      <c r="A630" s="14" t="s">
        <v>666</v>
      </c>
      <c r="B630" s="20"/>
      <c r="C630" s="16">
        <v>0.47222222222222221</v>
      </c>
      <c r="D630" s="17" t="s">
        <v>1076</v>
      </c>
      <c r="E630" s="14">
        <v>30.077000000000002</v>
      </c>
      <c r="F630" s="14">
        <v>83</v>
      </c>
      <c r="G630" s="14">
        <v>76.599999999999994</v>
      </c>
      <c r="H630" s="18">
        <v>150</v>
      </c>
      <c r="I630" s="19">
        <v>151.67919000000001</v>
      </c>
      <c r="J630" s="12">
        <f t="shared" si="36"/>
        <v>1.6791900000000055</v>
      </c>
      <c r="K630" s="14">
        <f t="shared" si="37"/>
        <v>2.8196790561000187</v>
      </c>
      <c r="L630" s="14">
        <f t="shared" si="38"/>
        <v>1.1194600000000037</v>
      </c>
      <c r="M630" s="14">
        <f t="shared" si="39"/>
        <v>4</v>
      </c>
    </row>
    <row r="631" spans="1:13" x14ac:dyDescent="0.25">
      <c r="A631" s="14" t="s">
        <v>667</v>
      </c>
      <c r="B631" s="20"/>
      <c r="C631" s="16">
        <v>0.4861111111111111</v>
      </c>
      <c r="D631" s="17" t="s">
        <v>1076</v>
      </c>
      <c r="E631" s="14">
        <v>32.902000000000001</v>
      </c>
      <c r="F631" s="14">
        <v>83</v>
      </c>
      <c r="G631" s="14">
        <v>73.099999999999994</v>
      </c>
      <c r="H631" s="18">
        <v>325</v>
      </c>
      <c r="I631" s="19">
        <v>323.68193999999988</v>
      </c>
      <c r="J631" s="12">
        <f t="shared" si="36"/>
        <v>1.3180600000001164</v>
      </c>
      <c r="K631" s="14">
        <f t="shared" si="37"/>
        <v>1.7372821636003069</v>
      </c>
      <c r="L631" s="14">
        <f t="shared" si="38"/>
        <v>0.40555692307695884</v>
      </c>
      <c r="M631" s="14">
        <f t="shared" si="39"/>
        <v>5</v>
      </c>
    </row>
    <row r="632" spans="1:13" x14ac:dyDescent="0.25">
      <c r="A632" s="14" t="s">
        <v>668</v>
      </c>
      <c r="B632" s="21"/>
      <c r="C632" s="16">
        <v>0.5</v>
      </c>
      <c r="D632" s="17" t="s">
        <v>1076</v>
      </c>
      <c r="E632" s="14">
        <v>31.152000000000001</v>
      </c>
      <c r="F632" s="14">
        <v>27</v>
      </c>
      <c r="G632" s="14">
        <v>60.9</v>
      </c>
      <c r="H632" s="18">
        <v>215</v>
      </c>
      <c r="I632" s="19">
        <v>218.60944000000001</v>
      </c>
      <c r="J632" s="12">
        <f t="shared" si="36"/>
        <v>3.6094400000000064</v>
      </c>
      <c r="K632" s="14">
        <f t="shared" si="37"/>
        <v>13.028057113600047</v>
      </c>
      <c r="L632" s="14">
        <f t="shared" si="38"/>
        <v>1.6788093023255841</v>
      </c>
      <c r="M632" s="14">
        <f t="shared" si="39"/>
        <v>1</v>
      </c>
    </row>
    <row r="633" spans="1:13" x14ac:dyDescent="0.25">
      <c r="A633" s="14" t="s">
        <v>669</v>
      </c>
      <c r="B633" s="15" t="s">
        <v>670</v>
      </c>
      <c r="C633" s="16">
        <v>0.375</v>
      </c>
      <c r="D633" s="17" t="s">
        <v>1076</v>
      </c>
      <c r="E633" s="14">
        <v>33.263000000000012</v>
      </c>
      <c r="F633" s="14">
        <v>22</v>
      </c>
      <c r="G633" s="14">
        <v>77.599999999999994</v>
      </c>
      <c r="H633" s="18">
        <v>331</v>
      </c>
      <c r="I633" s="19">
        <v>329.15060999999997</v>
      </c>
      <c r="J633" s="12">
        <f t="shared" si="36"/>
        <v>1.8493900000000281</v>
      </c>
      <c r="K633" s="14">
        <f t="shared" si="37"/>
        <v>3.4202433721001038</v>
      </c>
      <c r="L633" s="14">
        <f t="shared" si="38"/>
        <v>0.55872809667674561</v>
      </c>
      <c r="M633" s="14">
        <f t="shared" si="39"/>
        <v>2</v>
      </c>
    </row>
    <row r="634" spans="1:13" x14ac:dyDescent="0.25">
      <c r="A634" s="14" t="s">
        <v>671</v>
      </c>
      <c r="B634" s="20"/>
      <c r="C634" s="16">
        <v>0.3888888888888889</v>
      </c>
      <c r="D634" s="17" t="s">
        <v>1076</v>
      </c>
      <c r="E634" s="14">
        <v>31.878</v>
      </c>
      <c r="F634" s="14">
        <v>55</v>
      </c>
      <c r="G634" s="14">
        <v>77.099999999999994</v>
      </c>
      <c r="H634" s="18">
        <v>264</v>
      </c>
      <c r="I634" s="19">
        <v>262.78466000000031</v>
      </c>
      <c r="J634" s="12">
        <f t="shared" si="36"/>
        <v>1.215339999999685</v>
      </c>
      <c r="K634" s="14">
        <f t="shared" si="37"/>
        <v>1.4770513155992344</v>
      </c>
      <c r="L634" s="14">
        <f t="shared" si="38"/>
        <v>0.46035606060594131</v>
      </c>
      <c r="M634" s="14">
        <f t="shared" si="39"/>
        <v>3</v>
      </c>
    </row>
    <row r="635" spans="1:13" x14ac:dyDescent="0.25">
      <c r="A635" s="14" t="s">
        <v>672</v>
      </c>
      <c r="B635" s="20"/>
      <c r="C635" s="16">
        <v>0.40277777777777779</v>
      </c>
      <c r="D635" s="17" t="s">
        <v>1076</v>
      </c>
      <c r="E635" s="14">
        <v>33.674999999999997</v>
      </c>
      <c r="F635" s="14">
        <v>30</v>
      </c>
      <c r="G635" s="14">
        <v>77.5</v>
      </c>
      <c r="H635" s="18">
        <v>360</v>
      </c>
      <c r="I635" s="19">
        <v>359.65224999999998</v>
      </c>
      <c r="J635" s="12">
        <f t="shared" si="36"/>
        <v>0.3477500000000191</v>
      </c>
      <c r="K635" s="14">
        <f t="shared" si="37"/>
        <v>0.12093006250001329</v>
      </c>
      <c r="L635" s="14">
        <f t="shared" si="38"/>
        <v>9.6597222222227525E-2</v>
      </c>
      <c r="M635" s="14">
        <f t="shared" si="39"/>
        <v>4</v>
      </c>
    </row>
    <row r="636" spans="1:13" x14ac:dyDescent="0.25">
      <c r="A636" s="14" t="s">
        <v>673</v>
      </c>
      <c r="B636" s="20"/>
      <c r="C636" s="16">
        <v>0.41666666666666669</v>
      </c>
      <c r="D636" s="17" t="s">
        <v>1076</v>
      </c>
      <c r="E636" s="14">
        <v>32.894000000000013</v>
      </c>
      <c r="F636" s="14">
        <v>48</v>
      </c>
      <c r="G636" s="14">
        <v>81.3</v>
      </c>
      <c r="H636" s="18">
        <v>328</v>
      </c>
      <c r="I636" s="19">
        <v>326.20618000000002</v>
      </c>
      <c r="J636" s="12">
        <f t="shared" si="36"/>
        <v>1.7938199999999824</v>
      </c>
      <c r="K636" s="14">
        <f t="shared" si="37"/>
        <v>3.2177901923999368</v>
      </c>
      <c r="L636" s="14">
        <f t="shared" si="38"/>
        <v>0.54689634146340926</v>
      </c>
      <c r="M636" s="14">
        <f t="shared" si="39"/>
        <v>5</v>
      </c>
    </row>
    <row r="637" spans="1:13" x14ac:dyDescent="0.25">
      <c r="A637" s="14" t="s">
        <v>674</v>
      </c>
      <c r="B637" s="20"/>
      <c r="C637" s="16">
        <v>0.43055555555555558</v>
      </c>
      <c r="D637" s="17" t="s">
        <v>1076</v>
      </c>
      <c r="E637" s="14">
        <v>32.353999999999999</v>
      </c>
      <c r="F637" s="14">
        <v>64</v>
      </c>
      <c r="G637" s="14">
        <v>79.3</v>
      </c>
      <c r="H637" s="18">
        <v>283</v>
      </c>
      <c r="I637" s="19">
        <v>281.09237999999999</v>
      </c>
      <c r="J637" s="12">
        <f t="shared" si="36"/>
        <v>1.9076200000000085</v>
      </c>
      <c r="K637" s="14">
        <f t="shared" si="37"/>
        <v>3.6390140644000324</v>
      </c>
      <c r="L637" s="14">
        <f t="shared" si="38"/>
        <v>0.67407067137809495</v>
      </c>
      <c r="M637" s="14">
        <f t="shared" si="39"/>
        <v>1</v>
      </c>
    </row>
    <row r="638" spans="1:13" x14ac:dyDescent="0.25">
      <c r="A638" s="14" t="s">
        <v>675</v>
      </c>
      <c r="B638" s="20"/>
      <c r="C638" s="16">
        <v>0.44444444444444442</v>
      </c>
      <c r="D638" s="17" t="s">
        <v>1076</v>
      </c>
      <c r="E638" s="14">
        <v>31.25</v>
      </c>
      <c r="F638" s="14">
        <v>69</v>
      </c>
      <c r="G638" s="14">
        <v>90.9</v>
      </c>
      <c r="H638" s="18">
        <v>240</v>
      </c>
      <c r="I638" s="19">
        <v>239.17</v>
      </c>
      <c r="J638" s="12">
        <f t="shared" si="36"/>
        <v>0.83000000000001251</v>
      </c>
      <c r="K638" s="14">
        <f t="shared" si="37"/>
        <v>0.68890000000002072</v>
      </c>
      <c r="L638" s="14">
        <f t="shared" si="38"/>
        <v>0.34583333333333854</v>
      </c>
      <c r="M638" s="14">
        <f t="shared" si="39"/>
        <v>2</v>
      </c>
    </row>
    <row r="639" spans="1:13" x14ac:dyDescent="0.25">
      <c r="A639" s="14" t="s">
        <v>676</v>
      </c>
      <c r="B639" s="20"/>
      <c r="C639" s="16">
        <v>0.45833333333333331</v>
      </c>
      <c r="D639" s="17" t="s">
        <v>1076</v>
      </c>
      <c r="E639" s="14">
        <v>31.402000000000001</v>
      </c>
      <c r="F639" s="14">
        <v>73</v>
      </c>
      <c r="G639" s="14">
        <v>68.3</v>
      </c>
      <c r="H639" s="18">
        <v>227</v>
      </c>
      <c r="I639" s="19">
        <v>230.47694000000001</v>
      </c>
      <c r="J639" s="12">
        <f t="shared" si="36"/>
        <v>3.4769400000000132</v>
      </c>
      <c r="K639" s="14">
        <f t="shared" si="37"/>
        <v>12.089111763600092</v>
      </c>
      <c r="L639" s="14">
        <f t="shared" si="38"/>
        <v>1.5316916299559531</v>
      </c>
      <c r="M639" s="14">
        <f t="shared" si="39"/>
        <v>3</v>
      </c>
    </row>
    <row r="640" spans="1:13" x14ac:dyDescent="0.25">
      <c r="A640" s="14" t="s">
        <v>677</v>
      </c>
      <c r="B640" s="20"/>
      <c r="C640" s="16">
        <v>0.47222222222222221</v>
      </c>
      <c r="D640" s="17" t="s">
        <v>1076</v>
      </c>
      <c r="E640" s="14">
        <v>30.146000000000001</v>
      </c>
      <c r="F640" s="14">
        <v>32</v>
      </c>
      <c r="G640" s="14">
        <v>60.1</v>
      </c>
      <c r="H640" s="18">
        <v>157</v>
      </c>
      <c r="I640" s="19">
        <v>159.78262000000021</v>
      </c>
      <c r="J640" s="12">
        <f t="shared" si="36"/>
        <v>2.7826200000002075</v>
      </c>
      <c r="K640" s="14">
        <f t="shared" si="37"/>
        <v>7.7429740644011549</v>
      </c>
      <c r="L640" s="14">
        <f t="shared" si="38"/>
        <v>1.7723694267517247</v>
      </c>
      <c r="M640" s="14">
        <f t="shared" si="39"/>
        <v>4</v>
      </c>
    </row>
    <row r="641" spans="1:13" x14ac:dyDescent="0.25">
      <c r="A641" s="14" t="s">
        <v>678</v>
      </c>
      <c r="B641" s="20"/>
      <c r="C641" s="16">
        <v>0.4861111111111111</v>
      </c>
      <c r="D641" s="17" t="s">
        <v>1076</v>
      </c>
      <c r="E641" s="14">
        <v>28.933</v>
      </c>
      <c r="F641" s="14">
        <v>46</v>
      </c>
      <c r="G641" s="14">
        <v>90.2</v>
      </c>
      <c r="H641" s="18">
        <v>95</v>
      </c>
      <c r="I641" s="19">
        <v>98.645510000000101</v>
      </c>
      <c r="J641" s="12">
        <f t="shared" si="36"/>
        <v>3.6455100000001011</v>
      </c>
      <c r="K641" s="14">
        <f t="shared" si="37"/>
        <v>13.289743160100738</v>
      </c>
      <c r="L641" s="14">
        <f t="shared" si="38"/>
        <v>3.8373789473685278</v>
      </c>
      <c r="M641" s="14">
        <f t="shared" si="39"/>
        <v>5</v>
      </c>
    </row>
    <row r="642" spans="1:13" x14ac:dyDescent="0.25">
      <c r="A642" s="14" t="s">
        <v>679</v>
      </c>
      <c r="B642" s="21"/>
      <c r="C642" s="16">
        <v>0.5</v>
      </c>
      <c r="D642" s="17" t="s">
        <v>1076</v>
      </c>
      <c r="E642" s="14">
        <v>30.536000000000001</v>
      </c>
      <c r="F642" s="14">
        <v>25</v>
      </c>
      <c r="G642" s="14">
        <v>85.3</v>
      </c>
      <c r="H642" s="18">
        <v>172</v>
      </c>
      <c r="I642" s="19">
        <v>172.97592</v>
      </c>
      <c r="J642" s="12">
        <f t="shared" si="36"/>
        <v>0.97592000000000212</v>
      </c>
      <c r="K642" s="14">
        <f t="shared" si="37"/>
        <v>0.9524198464000041</v>
      </c>
      <c r="L642" s="14">
        <f t="shared" si="38"/>
        <v>0.56739534883721054</v>
      </c>
      <c r="M642" s="14">
        <f t="shared" si="39"/>
        <v>1</v>
      </c>
    </row>
    <row r="643" spans="1:13" x14ac:dyDescent="0.25">
      <c r="A643" s="14" t="s">
        <v>680</v>
      </c>
      <c r="B643" s="15" t="s">
        <v>681</v>
      </c>
      <c r="C643" s="16">
        <v>0.375</v>
      </c>
      <c r="D643" s="17" t="s">
        <v>1076</v>
      </c>
      <c r="E643" s="14">
        <v>31.236999999999998</v>
      </c>
      <c r="F643" s="14">
        <v>22</v>
      </c>
      <c r="G643" s="14">
        <v>86.6</v>
      </c>
      <c r="H643" s="18">
        <v>227</v>
      </c>
      <c r="I643" s="19">
        <v>224.66439000000011</v>
      </c>
      <c r="J643" s="12">
        <f t="shared" ref="J643:J706" si="40">IF(OR(H643="",I643=""),"",ABS(H643-I643))</f>
        <v>2.3356099999998889</v>
      </c>
      <c r="K643" s="14">
        <f t="shared" ref="K643:K706" si="41">IF(OR(H643="",I643=""),"",(H643-I643)^2)</f>
        <v>5.4550740720994808</v>
      </c>
      <c r="L643" s="14">
        <f t="shared" ref="L643:L706" si="42">IF(OR(H643="",I643=""),"",IF(H643=0,"",ABS((H643-I643)/H643)*100))</f>
        <v>1.0289030837003916</v>
      </c>
      <c r="M643" s="14">
        <f t="shared" ref="M643:M706" si="43">MOD(ROW()-2,5)+1</f>
        <v>2</v>
      </c>
    </row>
    <row r="644" spans="1:13" x14ac:dyDescent="0.25">
      <c r="A644" s="14" t="s">
        <v>682</v>
      </c>
      <c r="B644" s="20"/>
      <c r="C644" s="16">
        <v>0.3888888888888889</v>
      </c>
      <c r="D644" s="17" t="s">
        <v>1076</v>
      </c>
      <c r="E644" s="14">
        <v>32.421000000000006</v>
      </c>
      <c r="F644" s="14">
        <v>46</v>
      </c>
      <c r="G644" s="14">
        <v>66.5</v>
      </c>
      <c r="H644" s="18">
        <v>307</v>
      </c>
      <c r="I644" s="19">
        <v>305.19</v>
      </c>
      <c r="J644" s="12">
        <f t="shared" si="40"/>
        <v>1.8100000000000023</v>
      </c>
      <c r="K644" s="14">
        <f t="shared" si="41"/>
        <v>3.2761000000000084</v>
      </c>
      <c r="L644" s="14">
        <f t="shared" si="42"/>
        <v>0.58957654723127118</v>
      </c>
      <c r="M644" s="14">
        <f t="shared" si="43"/>
        <v>3</v>
      </c>
    </row>
    <row r="645" spans="1:13" x14ac:dyDescent="0.25">
      <c r="A645" s="14" t="s">
        <v>683</v>
      </c>
      <c r="B645" s="20"/>
      <c r="C645" s="16">
        <v>0.40277777777777779</v>
      </c>
      <c r="D645" s="17" t="s">
        <v>1076</v>
      </c>
      <c r="E645" s="14">
        <v>32.412999999999997</v>
      </c>
      <c r="F645" s="14">
        <v>64</v>
      </c>
      <c r="G645" s="14">
        <v>82.6</v>
      </c>
      <c r="H645" s="18">
        <v>280</v>
      </c>
      <c r="I645" s="19">
        <v>278.60111000000001</v>
      </c>
      <c r="J645" s="12">
        <f t="shared" si="40"/>
        <v>1.3988899999999944</v>
      </c>
      <c r="K645" s="14">
        <f t="shared" si="41"/>
        <v>1.9568932320999843</v>
      </c>
      <c r="L645" s="14">
        <f t="shared" si="42"/>
        <v>0.49960357142856943</v>
      </c>
      <c r="M645" s="14">
        <f t="shared" si="43"/>
        <v>4</v>
      </c>
    </row>
    <row r="646" spans="1:13" x14ac:dyDescent="0.25">
      <c r="A646" s="14" t="s">
        <v>684</v>
      </c>
      <c r="B646" s="20"/>
      <c r="C646" s="16">
        <v>0.41666666666666669</v>
      </c>
      <c r="D646" s="17" t="s">
        <v>1076</v>
      </c>
      <c r="E646" s="14">
        <v>31.372</v>
      </c>
      <c r="F646" s="14">
        <v>82</v>
      </c>
      <c r="G646" s="14">
        <v>69.099999999999994</v>
      </c>
      <c r="H646" s="18">
        <v>235</v>
      </c>
      <c r="I646" s="19">
        <v>232.69284000000019</v>
      </c>
      <c r="J646" s="12">
        <f t="shared" si="40"/>
        <v>2.3071599999998114</v>
      </c>
      <c r="K646" s="14">
        <f t="shared" si="41"/>
        <v>5.3229872655991297</v>
      </c>
      <c r="L646" s="14">
        <f t="shared" si="42"/>
        <v>0.98177021276587717</v>
      </c>
      <c r="M646" s="14">
        <f t="shared" si="43"/>
        <v>5</v>
      </c>
    </row>
    <row r="647" spans="1:13" x14ac:dyDescent="0.25">
      <c r="A647" s="14" t="s">
        <v>685</v>
      </c>
      <c r="B647" s="20"/>
      <c r="C647" s="16">
        <v>0.43055555555555558</v>
      </c>
      <c r="D647" s="17" t="s">
        <v>1076</v>
      </c>
      <c r="E647" s="14">
        <v>31.181999999999999</v>
      </c>
      <c r="F647" s="14">
        <v>62</v>
      </c>
      <c r="G647" s="14">
        <v>56.5</v>
      </c>
      <c r="H647" s="18">
        <v>224</v>
      </c>
      <c r="I647" s="19">
        <v>221.39354</v>
      </c>
      <c r="J647" s="12">
        <f t="shared" si="40"/>
        <v>2.6064599999999984</v>
      </c>
      <c r="K647" s="14">
        <f t="shared" si="41"/>
        <v>6.793633731599992</v>
      </c>
      <c r="L647" s="14">
        <f t="shared" si="42"/>
        <v>1.1635982142857135</v>
      </c>
      <c r="M647" s="14">
        <f t="shared" si="43"/>
        <v>1</v>
      </c>
    </row>
    <row r="648" spans="1:13" x14ac:dyDescent="0.25">
      <c r="A648" s="14" t="s">
        <v>686</v>
      </c>
      <c r="B648" s="20"/>
      <c r="C648" s="16">
        <v>0.44444444444444442</v>
      </c>
      <c r="D648" s="17" t="s">
        <v>1076</v>
      </c>
      <c r="E648" s="14">
        <v>33.409999999999997</v>
      </c>
      <c r="F648" s="14">
        <v>25</v>
      </c>
      <c r="G648" s="14">
        <v>69.7</v>
      </c>
      <c r="H648" s="18">
        <v>361</v>
      </c>
      <c r="I648" s="19">
        <v>363.89269999999999</v>
      </c>
      <c r="J648" s="12">
        <f t="shared" si="40"/>
        <v>2.8926999999999907</v>
      </c>
      <c r="K648" s="14">
        <f t="shared" si="41"/>
        <v>8.367713289999946</v>
      </c>
      <c r="L648" s="14">
        <f t="shared" si="42"/>
        <v>0.80130193905816915</v>
      </c>
      <c r="M648" s="14">
        <f t="shared" si="43"/>
        <v>2</v>
      </c>
    </row>
    <row r="649" spans="1:13" x14ac:dyDescent="0.25">
      <c r="A649" s="14" t="s">
        <v>687</v>
      </c>
      <c r="B649" s="20"/>
      <c r="C649" s="16">
        <v>0.45833333333333331</v>
      </c>
      <c r="D649" s="17" t="s">
        <v>1076</v>
      </c>
      <c r="E649" s="14">
        <v>32.350999999999999</v>
      </c>
      <c r="F649" s="14">
        <v>44</v>
      </c>
      <c r="G649" s="14">
        <v>76.900000000000006</v>
      </c>
      <c r="H649" s="18">
        <v>280</v>
      </c>
      <c r="I649" s="19">
        <v>278.91397000000001</v>
      </c>
      <c r="J649" s="12">
        <f t="shared" si="40"/>
        <v>1.0860299999999938</v>
      </c>
      <c r="K649" s="14">
        <f t="shared" si="41"/>
        <v>1.1794611608999865</v>
      </c>
      <c r="L649" s="14">
        <f t="shared" si="42"/>
        <v>0.38786785714285493</v>
      </c>
      <c r="M649" s="14">
        <f t="shared" si="43"/>
        <v>3</v>
      </c>
    </row>
    <row r="650" spans="1:13" x14ac:dyDescent="0.25">
      <c r="A650" s="14" t="s">
        <v>688</v>
      </c>
      <c r="B650" s="20"/>
      <c r="C650" s="16">
        <v>0.47222222222222221</v>
      </c>
      <c r="D650" s="17" t="s">
        <v>1076</v>
      </c>
      <c r="E650" s="14">
        <v>31.795000000000002</v>
      </c>
      <c r="F650" s="14">
        <v>53</v>
      </c>
      <c r="G650" s="14">
        <v>75.8</v>
      </c>
      <c r="H650" s="18">
        <v>246</v>
      </c>
      <c r="I650" s="19">
        <v>247.84864999999999</v>
      </c>
      <c r="J650" s="12">
        <f t="shared" si="40"/>
        <v>1.8486499999999921</v>
      </c>
      <c r="K650" s="14">
        <f t="shared" si="41"/>
        <v>3.4175068224999707</v>
      </c>
      <c r="L650" s="14">
        <f t="shared" si="42"/>
        <v>0.75148373983739514</v>
      </c>
      <c r="M650" s="14">
        <f t="shared" si="43"/>
        <v>4</v>
      </c>
    </row>
    <row r="651" spans="1:13" x14ac:dyDescent="0.25">
      <c r="A651" s="14" t="s">
        <v>689</v>
      </c>
      <c r="B651" s="20"/>
      <c r="C651" s="16">
        <v>0.4861111111111111</v>
      </c>
      <c r="D651" s="17" t="s">
        <v>1076</v>
      </c>
      <c r="E651" s="14">
        <v>31.753</v>
      </c>
      <c r="F651" s="14">
        <v>53</v>
      </c>
      <c r="G651" s="14">
        <v>81.2</v>
      </c>
      <c r="H651" s="18">
        <v>260</v>
      </c>
      <c r="I651" s="19">
        <v>261.35091</v>
      </c>
      <c r="J651" s="12">
        <f t="shared" si="40"/>
        <v>1.3509099999999989</v>
      </c>
      <c r="K651" s="14">
        <f t="shared" si="41"/>
        <v>1.8249578280999972</v>
      </c>
      <c r="L651" s="14">
        <f t="shared" si="42"/>
        <v>0.51958076923076879</v>
      </c>
      <c r="M651" s="14">
        <f t="shared" si="43"/>
        <v>5</v>
      </c>
    </row>
    <row r="652" spans="1:13" x14ac:dyDescent="0.25">
      <c r="A652" s="14" t="s">
        <v>690</v>
      </c>
      <c r="B652" s="21"/>
      <c r="C652" s="16">
        <v>0.5</v>
      </c>
      <c r="D652" s="17" t="s">
        <v>1076</v>
      </c>
      <c r="E652" s="14">
        <v>32.643000000000001</v>
      </c>
      <c r="F652" s="14">
        <v>43</v>
      </c>
      <c r="G652" s="14">
        <v>83.8</v>
      </c>
      <c r="H652" s="18">
        <v>311</v>
      </c>
      <c r="I652" s="19">
        <v>308.27920999999992</v>
      </c>
      <c r="J652" s="12">
        <f t="shared" si="40"/>
        <v>2.7207900000000791</v>
      </c>
      <c r="K652" s="14">
        <f t="shared" si="41"/>
        <v>7.4026982241004307</v>
      </c>
      <c r="L652" s="14">
        <f t="shared" si="42"/>
        <v>0.87485209003217967</v>
      </c>
      <c r="M652" s="14">
        <f t="shared" si="43"/>
        <v>1</v>
      </c>
    </row>
    <row r="653" spans="1:13" x14ac:dyDescent="0.25">
      <c r="A653" s="14" t="s">
        <v>691</v>
      </c>
      <c r="B653" s="15" t="s">
        <v>692</v>
      </c>
      <c r="C653" s="16">
        <v>0.375</v>
      </c>
      <c r="D653" s="17" t="s">
        <v>1076</v>
      </c>
      <c r="E653" s="14">
        <v>29.353999999999999</v>
      </c>
      <c r="F653" s="14">
        <v>60</v>
      </c>
      <c r="G653" s="14">
        <v>92.7</v>
      </c>
      <c r="H653" s="18">
        <v>115</v>
      </c>
      <c r="I653" s="19">
        <v>112.68238000000019</v>
      </c>
      <c r="J653" s="12">
        <f t="shared" si="40"/>
        <v>2.3176199999998062</v>
      </c>
      <c r="K653" s="14">
        <f t="shared" si="41"/>
        <v>5.3713624643991018</v>
      </c>
      <c r="L653" s="14">
        <f t="shared" si="42"/>
        <v>2.015321739130266</v>
      </c>
      <c r="M653" s="14">
        <f t="shared" si="43"/>
        <v>2</v>
      </c>
    </row>
    <row r="654" spans="1:13" x14ac:dyDescent="0.25">
      <c r="A654" s="14" t="s">
        <v>693</v>
      </c>
      <c r="B654" s="20"/>
      <c r="C654" s="16">
        <v>0.3888888888888889</v>
      </c>
      <c r="D654" s="17" t="s">
        <v>1076</v>
      </c>
      <c r="E654" s="14">
        <v>32.409999999999997</v>
      </c>
      <c r="F654" s="14">
        <v>44</v>
      </c>
      <c r="G654" s="14">
        <v>89.1</v>
      </c>
      <c r="H654" s="18">
        <v>298</v>
      </c>
      <c r="I654" s="19">
        <v>294.42270000000008</v>
      </c>
      <c r="J654" s="12">
        <f t="shared" si="40"/>
        <v>3.5772999999999229</v>
      </c>
      <c r="K654" s="14">
        <f t="shared" si="41"/>
        <v>12.797075289999448</v>
      </c>
      <c r="L654" s="14">
        <f t="shared" si="42"/>
        <v>1.2004362416107124</v>
      </c>
      <c r="M654" s="14">
        <f t="shared" si="43"/>
        <v>3</v>
      </c>
    </row>
    <row r="655" spans="1:13" x14ac:dyDescent="0.25">
      <c r="A655" s="14" t="s">
        <v>694</v>
      </c>
      <c r="B655" s="20"/>
      <c r="C655" s="16">
        <v>0.40277777777777779</v>
      </c>
      <c r="D655" s="17" t="s">
        <v>1076</v>
      </c>
      <c r="E655" s="14">
        <v>32.744999999999997</v>
      </c>
      <c r="F655" s="14">
        <v>37</v>
      </c>
      <c r="G655" s="14">
        <v>84.9</v>
      </c>
      <c r="H655" s="18">
        <v>308</v>
      </c>
      <c r="I655" s="19">
        <v>309.34514999999999</v>
      </c>
      <c r="J655" s="12">
        <f t="shared" si="40"/>
        <v>1.3451499999999896</v>
      </c>
      <c r="K655" s="14">
        <f t="shared" si="41"/>
        <v>1.8094285224999722</v>
      </c>
      <c r="L655" s="14">
        <f t="shared" si="42"/>
        <v>0.43673701298700962</v>
      </c>
      <c r="M655" s="14">
        <f t="shared" si="43"/>
        <v>4</v>
      </c>
    </row>
    <row r="656" spans="1:13" x14ac:dyDescent="0.25">
      <c r="A656" s="14" t="s">
        <v>695</v>
      </c>
      <c r="B656" s="20"/>
      <c r="C656" s="16">
        <v>0.41666666666666669</v>
      </c>
      <c r="D656" s="17" t="s">
        <v>1076</v>
      </c>
      <c r="E656" s="14">
        <v>33.587000000000003</v>
      </c>
      <c r="F656" s="14">
        <v>28</v>
      </c>
      <c r="G656" s="14">
        <v>82.8</v>
      </c>
      <c r="H656" s="18">
        <v>367</v>
      </c>
      <c r="I656" s="19">
        <v>364.41889000000009</v>
      </c>
      <c r="J656" s="12">
        <f t="shared" si="40"/>
        <v>2.5811099999999101</v>
      </c>
      <c r="K656" s="14">
        <f t="shared" si="41"/>
        <v>6.662128832099536</v>
      </c>
      <c r="L656" s="14">
        <f t="shared" si="42"/>
        <v>0.70329972752041148</v>
      </c>
      <c r="M656" s="14">
        <f t="shared" si="43"/>
        <v>5</v>
      </c>
    </row>
    <row r="657" spans="1:13" x14ac:dyDescent="0.25">
      <c r="A657" s="14" t="s">
        <v>696</v>
      </c>
      <c r="B657" s="20"/>
      <c r="C657" s="16">
        <v>0.43055555555555558</v>
      </c>
      <c r="D657" s="17" t="s">
        <v>1076</v>
      </c>
      <c r="E657" s="14">
        <v>31.576000000000001</v>
      </c>
      <c r="F657" s="14">
        <v>55</v>
      </c>
      <c r="G657" s="14">
        <v>86.3</v>
      </c>
      <c r="H657" s="18">
        <v>248</v>
      </c>
      <c r="I657" s="19">
        <v>244.8247200000003</v>
      </c>
      <c r="J657" s="12">
        <f t="shared" si="40"/>
        <v>3.1752799999997023</v>
      </c>
      <c r="K657" s="14">
        <f t="shared" si="41"/>
        <v>10.08240307839811</v>
      </c>
      <c r="L657" s="14">
        <f t="shared" si="42"/>
        <v>1.2803548387095574</v>
      </c>
      <c r="M657" s="14">
        <f t="shared" si="43"/>
        <v>1</v>
      </c>
    </row>
    <row r="658" spans="1:13" x14ac:dyDescent="0.25">
      <c r="A658" s="14" t="s">
        <v>697</v>
      </c>
      <c r="B658" s="20"/>
      <c r="C658" s="16">
        <v>0.44444444444444442</v>
      </c>
      <c r="D658" s="17" t="s">
        <v>1076</v>
      </c>
      <c r="E658" s="14">
        <v>32.182000000000002</v>
      </c>
      <c r="F658" s="14">
        <v>23</v>
      </c>
      <c r="G658" s="14">
        <v>64.400000000000006</v>
      </c>
      <c r="H658" s="18">
        <v>274</v>
      </c>
      <c r="I658" s="19">
        <v>270.86354</v>
      </c>
      <c r="J658" s="12">
        <f t="shared" si="40"/>
        <v>3.1364599999999996</v>
      </c>
      <c r="K658" s="14">
        <f t="shared" si="41"/>
        <v>9.8373813315999978</v>
      </c>
      <c r="L658" s="14">
        <f t="shared" si="42"/>
        <v>1.1446934306569341</v>
      </c>
      <c r="M658" s="14">
        <f t="shared" si="43"/>
        <v>2</v>
      </c>
    </row>
    <row r="659" spans="1:13" x14ac:dyDescent="0.25">
      <c r="A659" s="14" t="s">
        <v>698</v>
      </c>
      <c r="B659" s="20"/>
      <c r="C659" s="16">
        <v>0.45833333333333331</v>
      </c>
      <c r="D659" s="17" t="s">
        <v>1076</v>
      </c>
      <c r="E659" s="14">
        <v>32.969000000000001</v>
      </c>
      <c r="F659" s="14">
        <v>40</v>
      </c>
      <c r="G659" s="14">
        <v>89.8</v>
      </c>
      <c r="H659" s="18">
        <v>345</v>
      </c>
      <c r="I659" s="19">
        <v>344.52</v>
      </c>
      <c r="J659" s="12">
        <f t="shared" si="40"/>
        <v>0.48000000000001819</v>
      </c>
      <c r="K659" s="14">
        <f t="shared" si="41"/>
        <v>0.23040000000001745</v>
      </c>
      <c r="L659" s="14">
        <f t="shared" si="42"/>
        <v>0.13913043478261397</v>
      </c>
      <c r="M659" s="14">
        <f t="shared" si="43"/>
        <v>3</v>
      </c>
    </row>
    <row r="660" spans="1:13" x14ac:dyDescent="0.25">
      <c r="A660" s="14" t="s">
        <v>699</v>
      </c>
      <c r="B660" s="20"/>
      <c r="C660" s="16">
        <v>0.47222222222222221</v>
      </c>
      <c r="D660" s="17" t="s">
        <v>1076</v>
      </c>
      <c r="E660" s="14">
        <v>33.823999999999998</v>
      </c>
      <c r="F660" s="14">
        <v>64</v>
      </c>
      <c r="G660" s="14">
        <v>66.099999999999994</v>
      </c>
      <c r="H660" s="18">
        <v>383</v>
      </c>
      <c r="I660" s="19">
        <v>378.5132799999999</v>
      </c>
      <c r="J660" s="12">
        <f t="shared" si="40"/>
        <v>4.4867200000001048</v>
      </c>
      <c r="K660" s="14">
        <f t="shared" si="41"/>
        <v>20.130656358400941</v>
      </c>
      <c r="L660" s="14">
        <f t="shared" si="42"/>
        <v>1.1714673629243093</v>
      </c>
      <c r="M660" s="14">
        <f t="shared" si="43"/>
        <v>4</v>
      </c>
    </row>
    <row r="661" spans="1:13" x14ac:dyDescent="0.25">
      <c r="A661" s="14" t="s">
        <v>700</v>
      </c>
      <c r="B661" s="20"/>
      <c r="C661" s="16">
        <v>0.4861111111111111</v>
      </c>
      <c r="D661" s="17" t="s">
        <v>1076</v>
      </c>
      <c r="E661" s="14">
        <v>30.785</v>
      </c>
      <c r="F661" s="14">
        <v>63</v>
      </c>
      <c r="G661" s="14">
        <v>57.6</v>
      </c>
      <c r="H661" s="18">
        <v>187</v>
      </c>
      <c r="I661" s="19">
        <v>187.78395</v>
      </c>
      <c r="J661" s="12">
        <f t="shared" si="40"/>
        <v>0.78395000000000437</v>
      </c>
      <c r="K661" s="14">
        <f t="shared" si="41"/>
        <v>0.61457760250000681</v>
      </c>
      <c r="L661" s="14">
        <f t="shared" si="42"/>
        <v>0.41922459893048358</v>
      </c>
      <c r="M661" s="14">
        <f t="shared" si="43"/>
        <v>5</v>
      </c>
    </row>
    <row r="662" spans="1:13" x14ac:dyDescent="0.25">
      <c r="A662" s="14" t="s">
        <v>701</v>
      </c>
      <c r="B662" s="21"/>
      <c r="C662" s="16">
        <v>0.5</v>
      </c>
      <c r="D662" s="17" t="s">
        <v>1076</v>
      </c>
      <c r="E662" s="14">
        <v>28.954000000000001</v>
      </c>
      <c r="F662" s="14">
        <v>29</v>
      </c>
      <c r="G662" s="14">
        <v>57</v>
      </c>
      <c r="H662" s="18">
        <v>95</v>
      </c>
      <c r="I662" s="19">
        <v>98.894380000000197</v>
      </c>
      <c r="J662" s="12">
        <f t="shared" si="40"/>
        <v>3.8943800000001971</v>
      </c>
      <c r="K662" s="14">
        <f t="shared" si="41"/>
        <v>15.166195584401535</v>
      </c>
      <c r="L662" s="14">
        <f t="shared" si="42"/>
        <v>4.0993473684212596</v>
      </c>
      <c r="M662" s="14">
        <f t="shared" si="43"/>
        <v>1</v>
      </c>
    </row>
    <row r="663" spans="1:13" x14ac:dyDescent="0.25">
      <c r="A663" s="14" t="s">
        <v>702</v>
      </c>
      <c r="B663" s="15" t="s">
        <v>703</v>
      </c>
      <c r="C663" s="16">
        <v>0.375</v>
      </c>
      <c r="D663" s="17" t="s">
        <v>1076</v>
      </c>
      <c r="E663" s="14">
        <v>31.722999999999999</v>
      </c>
      <c r="F663" s="14">
        <v>30</v>
      </c>
      <c r="G663" s="14">
        <v>75.099999999999994</v>
      </c>
      <c r="H663" s="18">
        <v>245</v>
      </c>
      <c r="I663" s="19">
        <v>244.56681</v>
      </c>
      <c r="J663" s="12">
        <f t="shared" si="40"/>
        <v>0.43318999999999619</v>
      </c>
      <c r="K663" s="14">
        <f t="shared" si="41"/>
        <v>0.18765357609999669</v>
      </c>
      <c r="L663" s="14">
        <f t="shared" si="42"/>
        <v>0.1768122448979576</v>
      </c>
      <c r="M663" s="14">
        <f t="shared" si="43"/>
        <v>2</v>
      </c>
    </row>
    <row r="664" spans="1:13" x14ac:dyDescent="0.25">
      <c r="A664" s="14" t="s">
        <v>704</v>
      </c>
      <c r="B664" s="20"/>
      <c r="C664" s="16">
        <v>0.3888888888888889</v>
      </c>
      <c r="D664" s="17" t="s">
        <v>1076</v>
      </c>
      <c r="E664" s="14">
        <v>32.135000000000012</v>
      </c>
      <c r="F664" s="14">
        <v>79</v>
      </c>
      <c r="G664" s="14">
        <v>86.5</v>
      </c>
      <c r="H664" s="18">
        <v>286</v>
      </c>
      <c r="I664" s="19">
        <v>288.06844999999998</v>
      </c>
      <c r="J664" s="12">
        <f t="shared" si="40"/>
        <v>2.0684499999999844</v>
      </c>
      <c r="K664" s="14">
        <f t="shared" si="41"/>
        <v>4.2784854024999355</v>
      </c>
      <c r="L664" s="14">
        <f t="shared" si="42"/>
        <v>0.7232342657342602</v>
      </c>
      <c r="M664" s="14">
        <f t="shared" si="43"/>
        <v>3</v>
      </c>
    </row>
    <row r="665" spans="1:13" x14ac:dyDescent="0.25">
      <c r="A665" s="14" t="s">
        <v>705</v>
      </c>
      <c r="B665" s="20"/>
      <c r="C665" s="16">
        <v>0.40277777777777779</v>
      </c>
      <c r="D665" s="17" t="s">
        <v>1076</v>
      </c>
      <c r="E665" s="14">
        <v>32.634</v>
      </c>
      <c r="F665" s="14">
        <v>77</v>
      </c>
      <c r="G665" s="14">
        <v>82.7</v>
      </c>
      <c r="H665" s="18">
        <v>319</v>
      </c>
      <c r="I665" s="19">
        <v>318.19</v>
      </c>
      <c r="J665" s="12">
        <f t="shared" si="40"/>
        <v>0.81000000000000227</v>
      </c>
      <c r="K665" s="14">
        <f t="shared" si="41"/>
        <v>0.65610000000000368</v>
      </c>
      <c r="L665" s="14">
        <f t="shared" si="42"/>
        <v>0.25391849529780636</v>
      </c>
      <c r="M665" s="14">
        <f t="shared" si="43"/>
        <v>4</v>
      </c>
    </row>
    <row r="666" spans="1:13" x14ac:dyDescent="0.25">
      <c r="A666" s="14" t="s">
        <v>706</v>
      </c>
      <c r="B666" s="20"/>
      <c r="C666" s="16">
        <v>0.41666666666666669</v>
      </c>
      <c r="D666" s="17" t="s">
        <v>1076</v>
      </c>
      <c r="E666" s="14">
        <v>32.396000000000001</v>
      </c>
      <c r="F666" s="14">
        <v>60</v>
      </c>
      <c r="G666" s="14">
        <v>88.3</v>
      </c>
      <c r="H666" s="18">
        <v>286</v>
      </c>
      <c r="I666" s="19">
        <v>283.59012000000001</v>
      </c>
      <c r="J666" s="12">
        <f t="shared" si="40"/>
        <v>2.4098799999999869</v>
      </c>
      <c r="K666" s="14">
        <f t="shared" si="41"/>
        <v>5.8075216143999366</v>
      </c>
      <c r="L666" s="14">
        <f t="shared" si="42"/>
        <v>0.84261538461537999</v>
      </c>
      <c r="M666" s="14">
        <f t="shared" si="43"/>
        <v>5</v>
      </c>
    </row>
    <row r="667" spans="1:13" x14ac:dyDescent="0.25">
      <c r="A667" s="14" t="s">
        <v>707</v>
      </c>
      <c r="B667" s="20"/>
      <c r="C667" s="16">
        <v>0.43055555555555558</v>
      </c>
      <c r="D667" s="17" t="s">
        <v>1076</v>
      </c>
      <c r="E667" s="14">
        <v>31.611999999999998</v>
      </c>
      <c r="F667" s="14">
        <v>82</v>
      </c>
      <c r="G667" s="14">
        <v>92.4</v>
      </c>
      <c r="H667" s="18">
        <v>256</v>
      </c>
      <c r="I667" s="19">
        <v>256.96564000000001</v>
      </c>
      <c r="J667" s="12">
        <f t="shared" si="40"/>
        <v>0.9656400000000076</v>
      </c>
      <c r="K667" s="14">
        <f t="shared" si="41"/>
        <v>0.93246060960001464</v>
      </c>
      <c r="L667" s="14">
        <f t="shared" si="42"/>
        <v>0.37720312500000297</v>
      </c>
      <c r="M667" s="14">
        <f t="shared" si="43"/>
        <v>1</v>
      </c>
    </row>
    <row r="668" spans="1:13" x14ac:dyDescent="0.25">
      <c r="A668" s="14" t="s">
        <v>708</v>
      </c>
      <c r="B668" s="20"/>
      <c r="C668" s="16">
        <v>0.44444444444444442</v>
      </c>
      <c r="D668" s="17" t="s">
        <v>1076</v>
      </c>
      <c r="E668" s="14">
        <v>32.960000000000008</v>
      </c>
      <c r="F668" s="14">
        <v>22</v>
      </c>
      <c r="G668" s="14">
        <v>88.6</v>
      </c>
      <c r="H668" s="18">
        <v>331</v>
      </c>
      <c r="I668" s="19">
        <v>327.13120000000049</v>
      </c>
      <c r="J668" s="12">
        <f t="shared" si="40"/>
        <v>3.86879999999951</v>
      </c>
      <c r="K668" s="14">
        <f t="shared" si="41"/>
        <v>14.967613439996208</v>
      </c>
      <c r="L668" s="14">
        <f t="shared" si="42"/>
        <v>1.1688217522657129</v>
      </c>
      <c r="M668" s="14">
        <f t="shared" si="43"/>
        <v>2</v>
      </c>
    </row>
    <row r="669" spans="1:13" x14ac:dyDescent="0.25">
      <c r="A669" s="14" t="s">
        <v>709</v>
      </c>
      <c r="B669" s="20"/>
      <c r="C669" s="16">
        <v>0.45833333333333331</v>
      </c>
      <c r="D669" s="17" t="s">
        <v>1076</v>
      </c>
      <c r="E669" s="14">
        <v>32.335999999999999</v>
      </c>
      <c r="F669" s="14">
        <v>54</v>
      </c>
      <c r="G669" s="14">
        <v>61.7</v>
      </c>
      <c r="H669" s="18">
        <v>298</v>
      </c>
      <c r="I669" s="19">
        <v>299.02192000000002</v>
      </c>
      <c r="J669" s="12">
        <f t="shared" si="40"/>
        <v>1.0219200000000228</v>
      </c>
      <c r="K669" s="14">
        <f t="shared" si="41"/>
        <v>1.0443204864000466</v>
      </c>
      <c r="L669" s="14">
        <f t="shared" si="42"/>
        <v>0.34292617449665191</v>
      </c>
      <c r="M669" s="14">
        <f t="shared" si="43"/>
        <v>3</v>
      </c>
    </row>
    <row r="670" spans="1:13" x14ac:dyDescent="0.25">
      <c r="A670" s="14" t="s">
        <v>710</v>
      </c>
      <c r="B670" s="20"/>
      <c r="C670" s="16">
        <v>0.47222222222222221</v>
      </c>
      <c r="D670" s="17" t="s">
        <v>1076</v>
      </c>
      <c r="E670" s="14">
        <v>31.821999999999999</v>
      </c>
      <c r="F670" s="14">
        <v>48</v>
      </c>
      <c r="G670" s="14">
        <v>71.8</v>
      </c>
      <c r="H670" s="18">
        <v>277</v>
      </c>
      <c r="I670" s="19">
        <v>276.52</v>
      </c>
      <c r="J670" s="12">
        <f t="shared" si="40"/>
        <v>0.48000000000001819</v>
      </c>
      <c r="K670" s="14">
        <f t="shared" si="41"/>
        <v>0.23040000000001745</v>
      </c>
      <c r="L670" s="14">
        <f t="shared" si="42"/>
        <v>0.17328519855596325</v>
      </c>
      <c r="M670" s="14">
        <f t="shared" si="43"/>
        <v>4</v>
      </c>
    </row>
    <row r="671" spans="1:13" x14ac:dyDescent="0.25">
      <c r="A671" s="14" t="s">
        <v>711</v>
      </c>
      <c r="B671" s="20"/>
      <c r="C671" s="16">
        <v>0.4861111111111111</v>
      </c>
      <c r="D671" s="17" t="s">
        <v>1076</v>
      </c>
      <c r="E671" s="14">
        <v>32.299999999999997</v>
      </c>
      <c r="F671" s="14">
        <v>26</v>
      </c>
      <c r="G671" s="14">
        <v>58</v>
      </c>
      <c r="H671" s="18">
        <v>286</v>
      </c>
      <c r="I671" s="19">
        <v>287.88100000000031</v>
      </c>
      <c r="J671" s="12">
        <f t="shared" si="40"/>
        <v>1.8810000000003129</v>
      </c>
      <c r="K671" s="14">
        <f t="shared" si="41"/>
        <v>3.5381610000011769</v>
      </c>
      <c r="L671" s="14">
        <f t="shared" si="42"/>
        <v>0.65769230769241716</v>
      </c>
      <c r="M671" s="14">
        <f t="shared" si="43"/>
        <v>5</v>
      </c>
    </row>
    <row r="672" spans="1:13" x14ac:dyDescent="0.25">
      <c r="A672" s="14" t="s">
        <v>712</v>
      </c>
      <c r="B672" s="21"/>
      <c r="C672" s="16">
        <v>0.5</v>
      </c>
      <c r="D672" s="17" t="s">
        <v>1076</v>
      </c>
      <c r="E672" s="14">
        <v>33.466000000000001</v>
      </c>
      <c r="F672" s="14">
        <v>68</v>
      </c>
      <c r="G672" s="14">
        <v>94.4</v>
      </c>
      <c r="H672" s="18">
        <v>350</v>
      </c>
      <c r="I672" s="19">
        <v>351.22302000000002</v>
      </c>
      <c r="J672" s="12">
        <f t="shared" si="40"/>
        <v>1.2230200000000195</v>
      </c>
      <c r="K672" s="14">
        <f t="shared" si="41"/>
        <v>1.4957779204000479</v>
      </c>
      <c r="L672" s="14">
        <f t="shared" si="42"/>
        <v>0.34943428571429125</v>
      </c>
      <c r="M672" s="14">
        <f t="shared" si="43"/>
        <v>1</v>
      </c>
    </row>
    <row r="673" spans="1:13" x14ac:dyDescent="0.25">
      <c r="A673" s="14" t="s">
        <v>713</v>
      </c>
      <c r="B673" s="15" t="s">
        <v>714</v>
      </c>
      <c r="C673" s="16">
        <v>0.375</v>
      </c>
      <c r="D673" s="17" t="s">
        <v>1076</v>
      </c>
      <c r="E673" s="14">
        <v>32.694000000000003</v>
      </c>
      <c r="F673" s="14">
        <v>46</v>
      </c>
      <c r="G673" s="14">
        <v>78.5</v>
      </c>
      <c r="H673" s="18">
        <v>303</v>
      </c>
      <c r="I673" s="19">
        <v>301.31218000000001</v>
      </c>
      <c r="J673" s="12">
        <f t="shared" si="40"/>
        <v>1.6878199999999879</v>
      </c>
      <c r="K673" s="14">
        <f t="shared" si="41"/>
        <v>2.8487363523999591</v>
      </c>
      <c r="L673" s="14">
        <f t="shared" si="42"/>
        <v>0.55703630363035905</v>
      </c>
      <c r="M673" s="14">
        <f t="shared" si="43"/>
        <v>2</v>
      </c>
    </row>
    <row r="674" spans="1:13" x14ac:dyDescent="0.25">
      <c r="A674" s="14" t="s">
        <v>715</v>
      </c>
      <c r="B674" s="20"/>
      <c r="C674" s="16">
        <v>0.3888888888888889</v>
      </c>
      <c r="D674" s="17" t="s">
        <v>1076</v>
      </c>
      <c r="E674" s="14">
        <v>31.797999999999998</v>
      </c>
      <c r="F674" s="14">
        <v>57</v>
      </c>
      <c r="G674" s="14">
        <v>85.8</v>
      </c>
      <c r="H674" s="18">
        <v>251</v>
      </c>
      <c r="I674" s="19">
        <v>254.02706000000001</v>
      </c>
      <c r="J674" s="12">
        <f t="shared" si="40"/>
        <v>3.0270600000000059</v>
      </c>
      <c r="K674" s="14">
        <f t="shared" si="41"/>
        <v>9.163092243600035</v>
      </c>
      <c r="L674" s="14">
        <f t="shared" si="42"/>
        <v>1.2060000000000024</v>
      </c>
      <c r="M674" s="14">
        <f t="shared" si="43"/>
        <v>3</v>
      </c>
    </row>
    <row r="675" spans="1:13" x14ac:dyDescent="0.25">
      <c r="A675" s="14" t="s">
        <v>716</v>
      </c>
      <c r="B675" s="20"/>
      <c r="C675" s="16">
        <v>0.40277777777777779</v>
      </c>
      <c r="D675" s="17" t="s">
        <v>1076</v>
      </c>
      <c r="E675" s="14">
        <v>30.405000000000001</v>
      </c>
      <c r="F675" s="14">
        <v>58</v>
      </c>
      <c r="G675" s="14">
        <v>85.2</v>
      </c>
      <c r="H675" s="18">
        <v>175</v>
      </c>
      <c r="I675" s="19">
        <v>175.18535</v>
      </c>
      <c r="J675" s="12">
        <f t="shared" si="40"/>
        <v>0.18534999999999968</v>
      </c>
      <c r="K675" s="14">
        <f t="shared" si="41"/>
        <v>3.4354622499999883E-2</v>
      </c>
      <c r="L675" s="14">
        <f t="shared" si="42"/>
        <v>0.10591428571428553</v>
      </c>
      <c r="M675" s="14">
        <f t="shared" si="43"/>
        <v>4</v>
      </c>
    </row>
    <row r="676" spans="1:13" x14ac:dyDescent="0.25">
      <c r="A676" s="14" t="s">
        <v>717</v>
      </c>
      <c r="B676" s="20"/>
      <c r="C676" s="16">
        <v>0.41666666666666669</v>
      </c>
      <c r="D676" s="17" t="s">
        <v>1076</v>
      </c>
      <c r="E676" s="14">
        <v>31.928000000000001</v>
      </c>
      <c r="F676" s="14">
        <v>28</v>
      </c>
      <c r="G676" s="14">
        <v>55.8</v>
      </c>
      <c r="H676" s="18">
        <v>269</v>
      </c>
      <c r="I676" s="19">
        <v>265.75816000000032</v>
      </c>
      <c r="J676" s="12">
        <f t="shared" si="40"/>
        <v>3.2418399999996836</v>
      </c>
      <c r="K676" s="14">
        <f t="shared" si="41"/>
        <v>10.509526585597948</v>
      </c>
      <c r="L676" s="14">
        <f t="shared" si="42"/>
        <v>1.2051449814125217</v>
      </c>
      <c r="M676" s="14">
        <f t="shared" si="43"/>
        <v>5</v>
      </c>
    </row>
    <row r="677" spans="1:13" x14ac:dyDescent="0.25">
      <c r="A677" s="14" t="s">
        <v>718</v>
      </c>
      <c r="B677" s="20"/>
      <c r="C677" s="16">
        <v>0.43055555555555558</v>
      </c>
      <c r="D677" s="17" t="s">
        <v>1076</v>
      </c>
      <c r="E677" s="14">
        <v>32.372999999999998</v>
      </c>
      <c r="F677" s="14">
        <v>40</v>
      </c>
      <c r="G677" s="14">
        <v>94.5</v>
      </c>
      <c r="H677" s="18">
        <v>295</v>
      </c>
      <c r="I677" s="19">
        <v>292.22231000000028</v>
      </c>
      <c r="J677" s="12">
        <f t="shared" si="40"/>
        <v>2.7776899999997227</v>
      </c>
      <c r="K677" s="14">
        <f t="shared" si="41"/>
        <v>7.7155617360984596</v>
      </c>
      <c r="L677" s="14">
        <f t="shared" si="42"/>
        <v>0.94158983050838063</v>
      </c>
      <c r="M677" s="14">
        <f t="shared" si="43"/>
        <v>1</v>
      </c>
    </row>
    <row r="678" spans="1:13" x14ac:dyDescent="0.25">
      <c r="A678" s="14" t="s">
        <v>719</v>
      </c>
      <c r="B678" s="20"/>
      <c r="C678" s="16">
        <v>0.44444444444444442</v>
      </c>
      <c r="D678" s="17" t="s">
        <v>1076</v>
      </c>
      <c r="E678" s="14">
        <v>31.760999999999999</v>
      </c>
      <c r="F678" s="14">
        <v>24</v>
      </c>
      <c r="G678" s="14">
        <v>88</v>
      </c>
      <c r="H678" s="18">
        <v>264</v>
      </c>
      <c r="I678" s="19">
        <v>265.82666999999998</v>
      </c>
      <c r="J678" s="12">
        <f t="shared" si="40"/>
        <v>1.8266699999999787</v>
      </c>
      <c r="K678" s="14">
        <f t="shared" si="41"/>
        <v>3.3367232888999223</v>
      </c>
      <c r="L678" s="14">
        <f t="shared" si="42"/>
        <v>0.69192045454544648</v>
      </c>
      <c r="M678" s="14">
        <f t="shared" si="43"/>
        <v>2</v>
      </c>
    </row>
    <row r="679" spans="1:13" x14ac:dyDescent="0.25">
      <c r="A679" s="14" t="s">
        <v>720</v>
      </c>
      <c r="B679" s="20"/>
      <c r="C679" s="16">
        <v>0.45833333333333331</v>
      </c>
      <c r="D679" s="17" t="s">
        <v>1076</v>
      </c>
      <c r="E679" s="14">
        <v>32.659999999999997</v>
      </c>
      <c r="F679" s="14">
        <v>63</v>
      </c>
      <c r="G679" s="14">
        <v>92.4</v>
      </c>
      <c r="H679" s="18">
        <v>310</v>
      </c>
      <c r="I679" s="19">
        <v>309.29020000000008</v>
      </c>
      <c r="J679" s="12">
        <f t="shared" si="40"/>
        <v>0.70979999999991605</v>
      </c>
      <c r="K679" s="14">
        <f t="shared" si="41"/>
        <v>0.50381603999988078</v>
      </c>
      <c r="L679" s="14">
        <f t="shared" si="42"/>
        <v>0.2289677419354568</v>
      </c>
      <c r="M679" s="14">
        <f t="shared" si="43"/>
        <v>3</v>
      </c>
    </row>
    <row r="680" spans="1:13" x14ac:dyDescent="0.25">
      <c r="A680" s="14" t="s">
        <v>721</v>
      </c>
      <c r="B680" s="20"/>
      <c r="C680" s="16">
        <v>0.47222222222222221</v>
      </c>
      <c r="D680" s="17" t="s">
        <v>1076</v>
      </c>
      <c r="E680" s="14">
        <v>31.074000000000002</v>
      </c>
      <c r="F680" s="14">
        <v>38</v>
      </c>
      <c r="G680" s="14">
        <v>72.900000000000006</v>
      </c>
      <c r="H680" s="18">
        <v>229</v>
      </c>
      <c r="I680" s="19">
        <v>227.51</v>
      </c>
      <c r="J680" s="12">
        <f t="shared" si="40"/>
        <v>1.4900000000000091</v>
      </c>
      <c r="K680" s="14">
        <f t="shared" si="41"/>
        <v>2.2201000000000271</v>
      </c>
      <c r="L680" s="14">
        <f t="shared" si="42"/>
        <v>0.65065502183406509</v>
      </c>
      <c r="M680" s="14">
        <f t="shared" si="43"/>
        <v>4</v>
      </c>
    </row>
    <row r="681" spans="1:13" x14ac:dyDescent="0.25">
      <c r="A681" s="14" t="s">
        <v>722</v>
      </c>
      <c r="B681" s="20"/>
      <c r="C681" s="16">
        <v>0.4861111111111111</v>
      </c>
      <c r="D681" s="17" t="s">
        <v>1076</v>
      </c>
      <c r="E681" s="14">
        <v>31.835999999999999</v>
      </c>
      <c r="F681" s="14">
        <v>53</v>
      </c>
      <c r="G681" s="14">
        <v>60</v>
      </c>
      <c r="H681" s="18">
        <v>258</v>
      </c>
      <c r="I681" s="19">
        <v>260.28692000000001</v>
      </c>
      <c r="J681" s="12">
        <f t="shared" si="40"/>
        <v>2.2869200000000092</v>
      </c>
      <c r="K681" s="14">
        <f t="shared" si="41"/>
        <v>5.2300030864000417</v>
      </c>
      <c r="L681" s="14">
        <f t="shared" si="42"/>
        <v>0.88640310077519735</v>
      </c>
      <c r="M681" s="14">
        <f t="shared" si="43"/>
        <v>5</v>
      </c>
    </row>
    <row r="682" spans="1:13" x14ac:dyDescent="0.25">
      <c r="A682" s="14" t="s">
        <v>723</v>
      </c>
      <c r="B682" s="21"/>
      <c r="C682" s="16">
        <v>0.5</v>
      </c>
      <c r="D682" s="17" t="s">
        <v>1076</v>
      </c>
      <c r="E682" s="14">
        <v>32.726999999999997</v>
      </c>
      <c r="F682" s="14">
        <v>71</v>
      </c>
      <c r="G682" s="14">
        <v>59.6</v>
      </c>
      <c r="H682" s="18">
        <v>339</v>
      </c>
      <c r="I682" s="19">
        <v>338.52</v>
      </c>
      <c r="J682" s="12">
        <f t="shared" si="40"/>
        <v>0.48000000000001819</v>
      </c>
      <c r="K682" s="14">
        <f t="shared" si="41"/>
        <v>0.23040000000001745</v>
      </c>
      <c r="L682" s="14">
        <f t="shared" si="42"/>
        <v>0.14159292035398766</v>
      </c>
      <c r="M682" s="14">
        <f t="shared" si="43"/>
        <v>1</v>
      </c>
    </row>
    <row r="683" spans="1:13" x14ac:dyDescent="0.25">
      <c r="A683" s="14" t="s">
        <v>724</v>
      </c>
      <c r="B683" s="15" t="s">
        <v>725</v>
      </c>
      <c r="C683" s="16">
        <v>0.375</v>
      </c>
      <c r="D683" s="17" t="s">
        <v>1076</v>
      </c>
      <c r="E683" s="14">
        <v>30.550999999999998</v>
      </c>
      <c r="F683" s="14">
        <v>74</v>
      </c>
      <c r="G683" s="14">
        <v>58.2</v>
      </c>
      <c r="H683" s="18">
        <v>190</v>
      </c>
      <c r="I683" s="19">
        <v>189.86797000000001</v>
      </c>
      <c r="J683" s="12">
        <f t="shared" si="40"/>
        <v>0.1320299999999861</v>
      </c>
      <c r="K683" s="14">
        <f t="shared" si="41"/>
        <v>1.7431920899996331E-2</v>
      </c>
      <c r="L683" s="14">
        <f t="shared" si="42"/>
        <v>6.9489473684203204E-2</v>
      </c>
      <c r="M683" s="14">
        <f t="shared" si="43"/>
        <v>2</v>
      </c>
    </row>
    <row r="684" spans="1:13" x14ac:dyDescent="0.25">
      <c r="A684" s="14" t="s">
        <v>726</v>
      </c>
      <c r="B684" s="20"/>
      <c r="C684" s="16">
        <v>0.3888888888888889</v>
      </c>
      <c r="D684" s="17" t="s">
        <v>1076</v>
      </c>
      <c r="E684" s="14">
        <v>32.662000000000013</v>
      </c>
      <c r="F684" s="14">
        <v>26</v>
      </c>
      <c r="G684" s="14">
        <v>65.2</v>
      </c>
      <c r="H684" s="18">
        <v>302</v>
      </c>
      <c r="I684" s="19">
        <v>305.40913999999998</v>
      </c>
      <c r="J684" s="12">
        <f t="shared" si="40"/>
        <v>3.4091399999999794</v>
      </c>
      <c r="K684" s="14">
        <f t="shared" si="41"/>
        <v>11.62223553959986</v>
      </c>
      <c r="L684" s="14">
        <f t="shared" si="42"/>
        <v>1.1288543046357549</v>
      </c>
      <c r="M684" s="14">
        <f t="shared" si="43"/>
        <v>3</v>
      </c>
    </row>
    <row r="685" spans="1:13" x14ac:dyDescent="0.25">
      <c r="A685" s="14" t="s">
        <v>727</v>
      </c>
      <c r="B685" s="20"/>
      <c r="C685" s="16">
        <v>0.40277777777777779</v>
      </c>
      <c r="D685" s="17" t="s">
        <v>1076</v>
      </c>
      <c r="E685" s="14">
        <v>32.307000000000002</v>
      </c>
      <c r="F685" s="14">
        <v>80</v>
      </c>
      <c r="G685" s="14">
        <v>88.6</v>
      </c>
      <c r="H685" s="18">
        <v>279</v>
      </c>
      <c r="I685" s="19">
        <v>276.29728999999998</v>
      </c>
      <c r="J685" s="12">
        <f t="shared" si="40"/>
        <v>2.7027100000000246</v>
      </c>
      <c r="K685" s="14">
        <f t="shared" si="41"/>
        <v>7.3046413441001325</v>
      </c>
      <c r="L685" s="14">
        <f t="shared" si="42"/>
        <v>0.96871326164875426</v>
      </c>
      <c r="M685" s="14">
        <f t="shared" si="43"/>
        <v>4</v>
      </c>
    </row>
    <row r="686" spans="1:13" x14ac:dyDescent="0.25">
      <c r="A686" s="14" t="s">
        <v>728</v>
      </c>
      <c r="B686" s="20"/>
      <c r="C686" s="16">
        <v>0.41666666666666669</v>
      </c>
      <c r="D686" s="17" t="s">
        <v>1076</v>
      </c>
      <c r="E686" s="14">
        <v>33.692000000000007</v>
      </c>
      <c r="F686" s="14">
        <v>71</v>
      </c>
      <c r="G686" s="14">
        <v>78.8</v>
      </c>
      <c r="H686" s="18">
        <v>375</v>
      </c>
      <c r="I686" s="19">
        <v>370.66324000000031</v>
      </c>
      <c r="J686" s="12">
        <f t="shared" si="40"/>
        <v>4.3367599999996855</v>
      </c>
      <c r="K686" s="14">
        <f t="shared" si="41"/>
        <v>18.807487297597273</v>
      </c>
      <c r="L686" s="14">
        <f t="shared" si="42"/>
        <v>1.1564693333332494</v>
      </c>
      <c r="M686" s="14">
        <f t="shared" si="43"/>
        <v>5</v>
      </c>
    </row>
    <row r="687" spans="1:13" x14ac:dyDescent="0.25">
      <c r="A687" s="14" t="s">
        <v>729</v>
      </c>
      <c r="B687" s="20"/>
      <c r="C687" s="16">
        <v>0.43055555555555558</v>
      </c>
      <c r="D687" s="17" t="s">
        <v>1076</v>
      </c>
      <c r="E687" s="14">
        <v>31.608000000000001</v>
      </c>
      <c r="F687" s="14">
        <v>72</v>
      </c>
      <c r="G687" s="14">
        <v>70.900000000000006</v>
      </c>
      <c r="H687" s="18">
        <v>245</v>
      </c>
      <c r="I687" s="19">
        <v>246.72776000000019</v>
      </c>
      <c r="J687" s="12">
        <f t="shared" si="40"/>
        <v>1.7277600000001883</v>
      </c>
      <c r="K687" s="14">
        <f t="shared" si="41"/>
        <v>2.9851546176006507</v>
      </c>
      <c r="L687" s="14">
        <f t="shared" si="42"/>
        <v>0.70520816326538294</v>
      </c>
      <c r="M687" s="14">
        <f t="shared" si="43"/>
        <v>1</v>
      </c>
    </row>
    <row r="688" spans="1:13" x14ac:dyDescent="0.25">
      <c r="A688" s="14" t="s">
        <v>730</v>
      </c>
      <c r="B688" s="20"/>
      <c r="C688" s="16">
        <v>0.44444444444444442</v>
      </c>
      <c r="D688" s="17" t="s">
        <v>1076</v>
      </c>
      <c r="E688" s="14">
        <v>30.475999999999999</v>
      </c>
      <c r="F688" s="14">
        <v>57</v>
      </c>
      <c r="G688" s="14">
        <v>77.099999999999994</v>
      </c>
      <c r="H688" s="18">
        <v>186</v>
      </c>
      <c r="I688" s="19">
        <v>185.40772000000001</v>
      </c>
      <c r="J688" s="12">
        <f t="shared" si="40"/>
        <v>0.59227999999998815</v>
      </c>
      <c r="K688" s="14">
        <f t="shared" si="41"/>
        <v>0.35079559839998598</v>
      </c>
      <c r="L688" s="14">
        <f t="shared" si="42"/>
        <v>0.31843010752687534</v>
      </c>
      <c r="M688" s="14">
        <f t="shared" si="43"/>
        <v>2</v>
      </c>
    </row>
    <row r="689" spans="1:13" x14ac:dyDescent="0.25">
      <c r="A689" s="14" t="s">
        <v>731</v>
      </c>
      <c r="B689" s="20"/>
      <c r="C689" s="16">
        <v>0.45833333333333331</v>
      </c>
      <c r="D689" s="17" t="s">
        <v>1076</v>
      </c>
      <c r="E689" s="14">
        <v>32.936000000000007</v>
      </c>
      <c r="F689" s="14">
        <v>32</v>
      </c>
      <c r="G689" s="14">
        <v>94.6</v>
      </c>
      <c r="H689" s="18">
        <v>330</v>
      </c>
      <c r="I689" s="19">
        <v>325.70392000000038</v>
      </c>
      <c r="J689" s="12">
        <f t="shared" si="40"/>
        <v>4.2960799999996198</v>
      </c>
      <c r="K689" s="14">
        <f t="shared" si="41"/>
        <v>18.456303366396732</v>
      </c>
      <c r="L689" s="14">
        <f t="shared" si="42"/>
        <v>1.301842424242309</v>
      </c>
      <c r="M689" s="14">
        <f t="shared" si="43"/>
        <v>3</v>
      </c>
    </row>
    <row r="690" spans="1:13" x14ac:dyDescent="0.25">
      <c r="A690" s="14" t="s">
        <v>732</v>
      </c>
      <c r="B690" s="20"/>
      <c r="C690" s="16">
        <v>0.47222222222222221</v>
      </c>
      <c r="D690" s="17" t="s">
        <v>1076</v>
      </c>
      <c r="E690" s="14">
        <v>33.283000000000001</v>
      </c>
      <c r="F690" s="14">
        <v>38</v>
      </c>
      <c r="G690" s="14">
        <v>58</v>
      </c>
      <c r="H690" s="18">
        <v>346</v>
      </c>
      <c r="I690" s="19">
        <v>346.34001000000012</v>
      </c>
      <c r="J690" s="12">
        <f t="shared" si="40"/>
        <v>0.34001000000012027</v>
      </c>
      <c r="K690" s="14">
        <f t="shared" si="41"/>
        <v>0.11560680010008179</v>
      </c>
      <c r="L690" s="14">
        <f t="shared" si="42"/>
        <v>9.8268786127202384E-2</v>
      </c>
      <c r="M690" s="14">
        <f t="shared" si="43"/>
        <v>4</v>
      </c>
    </row>
    <row r="691" spans="1:13" x14ac:dyDescent="0.25">
      <c r="A691" s="14" t="s">
        <v>733</v>
      </c>
      <c r="B691" s="20"/>
      <c r="C691" s="16">
        <v>0.4861111111111111</v>
      </c>
      <c r="D691" s="17" t="s">
        <v>1076</v>
      </c>
      <c r="E691" s="14">
        <v>32.951999999999998</v>
      </c>
      <c r="F691" s="14">
        <v>64</v>
      </c>
      <c r="G691" s="14">
        <v>91.6</v>
      </c>
      <c r="H691" s="18">
        <v>319</v>
      </c>
      <c r="I691" s="19">
        <v>316.65544</v>
      </c>
      <c r="J691" s="12">
        <f t="shared" si="40"/>
        <v>2.3445600000000013</v>
      </c>
      <c r="K691" s="14">
        <f t="shared" si="41"/>
        <v>5.4969615936000062</v>
      </c>
      <c r="L691" s="14">
        <f t="shared" si="42"/>
        <v>0.73497178683385622</v>
      </c>
      <c r="M691" s="14">
        <f t="shared" si="43"/>
        <v>5</v>
      </c>
    </row>
    <row r="692" spans="1:13" x14ac:dyDescent="0.25">
      <c r="A692" s="14" t="s">
        <v>734</v>
      </c>
      <c r="B692" s="21"/>
      <c r="C692" s="16">
        <v>0.5</v>
      </c>
      <c r="D692" s="17" t="s">
        <v>1076</v>
      </c>
      <c r="E692" s="14">
        <v>33.825000000000003</v>
      </c>
      <c r="F692" s="14">
        <v>70</v>
      </c>
      <c r="G692" s="14">
        <v>59.2</v>
      </c>
      <c r="H692" s="18">
        <v>365</v>
      </c>
      <c r="I692" s="19">
        <v>364.57274999999998</v>
      </c>
      <c r="J692" s="12">
        <f t="shared" si="40"/>
        <v>0.42725000000001501</v>
      </c>
      <c r="K692" s="14">
        <f t="shared" si="41"/>
        <v>0.18254256250001283</v>
      </c>
      <c r="L692" s="14">
        <f t="shared" si="42"/>
        <v>0.11705479452055205</v>
      </c>
      <c r="M692" s="14">
        <f t="shared" si="43"/>
        <v>1</v>
      </c>
    </row>
    <row r="693" spans="1:13" x14ac:dyDescent="0.25">
      <c r="A693" s="14" t="s">
        <v>735</v>
      </c>
      <c r="B693" s="15" t="s">
        <v>736</v>
      </c>
      <c r="C693" s="16">
        <v>0.375</v>
      </c>
      <c r="D693" s="17" t="s">
        <v>1076</v>
      </c>
      <c r="E693" s="14">
        <v>30.82</v>
      </c>
      <c r="F693" s="14">
        <v>26</v>
      </c>
      <c r="G693" s="14">
        <v>67</v>
      </c>
      <c r="H693" s="18">
        <v>196</v>
      </c>
      <c r="I693" s="19">
        <v>199.86540000000011</v>
      </c>
      <c r="J693" s="12">
        <f t="shared" si="40"/>
        <v>3.8654000000001076</v>
      </c>
      <c r="K693" s="14">
        <f t="shared" si="41"/>
        <v>14.941317160000832</v>
      </c>
      <c r="L693" s="14">
        <f t="shared" si="42"/>
        <v>1.9721428571429123</v>
      </c>
      <c r="M693" s="14">
        <f t="shared" si="43"/>
        <v>2</v>
      </c>
    </row>
    <row r="694" spans="1:13" x14ac:dyDescent="0.25">
      <c r="A694" s="14" t="s">
        <v>737</v>
      </c>
      <c r="B694" s="20"/>
      <c r="C694" s="16">
        <v>0.3888888888888889</v>
      </c>
      <c r="D694" s="17" t="s">
        <v>1076</v>
      </c>
      <c r="E694" s="14">
        <v>31.143000000000001</v>
      </c>
      <c r="F694" s="14">
        <v>69</v>
      </c>
      <c r="G694" s="14">
        <v>81</v>
      </c>
      <c r="H694" s="18">
        <v>227</v>
      </c>
      <c r="I694" s="19">
        <v>229.07420999999999</v>
      </c>
      <c r="J694" s="12">
        <f t="shared" si="40"/>
        <v>2.0742099999999937</v>
      </c>
      <c r="K694" s="14">
        <f t="shared" si="41"/>
        <v>4.302347124099974</v>
      </c>
      <c r="L694" s="14">
        <f t="shared" si="42"/>
        <v>0.91374889867841136</v>
      </c>
      <c r="M694" s="14">
        <f t="shared" si="43"/>
        <v>3</v>
      </c>
    </row>
    <row r="695" spans="1:13" x14ac:dyDescent="0.25">
      <c r="A695" s="14" t="s">
        <v>738</v>
      </c>
      <c r="B695" s="20"/>
      <c r="C695" s="16">
        <v>0.40277777777777779</v>
      </c>
      <c r="D695" s="17" t="s">
        <v>1076</v>
      </c>
      <c r="E695" s="14">
        <v>32.673000000000002</v>
      </c>
      <c r="F695" s="14">
        <v>74</v>
      </c>
      <c r="G695" s="14">
        <v>56.6</v>
      </c>
      <c r="H695" s="18">
        <v>312</v>
      </c>
      <c r="I695" s="19">
        <v>310.06331</v>
      </c>
      <c r="J695" s="12">
        <f t="shared" si="40"/>
        <v>1.9366899999999987</v>
      </c>
      <c r="K695" s="14">
        <f t="shared" si="41"/>
        <v>3.750768156099995</v>
      </c>
      <c r="L695" s="14">
        <f t="shared" si="42"/>
        <v>0.62073397435897393</v>
      </c>
      <c r="M695" s="14">
        <f t="shared" si="43"/>
        <v>4</v>
      </c>
    </row>
    <row r="696" spans="1:13" x14ac:dyDescent="0.25">
      <c r="A696" s="14" t="s">
        <v>739</v>
      </c>
      <c r="B696" s="20"/>
      <c r="C696" s="16">
        <v>0.41666666666666669</v>
      </c>
      <c r="D696" s="17" t="s">
        <v>1076</v>
      </c>
      <c r="E696" s="14">
        <v>33.417000000000002</v>
      </c>
      <c r="F696" s="14">
        <v>43</v>
      </c>
      <c r="G696" s="14">
        <v>90.3</v>
      </c>
      <c r="H696" s="18">
        <v>343</v>
      </c>
      <c r="I696" s="19">
        <v>341.30898999999999</v>
      </c>
      <c r="J696" s="12">
        <f t="shared" si="40"/>
        <v>1.6910100000000057</v>
      </c>
      <c r="K696" s="14">
        <f t="shared" si="41"/>
        <v>2.8595148201000193</v>
      </c>
      <c r="L696" s="14">
        <f t="shared" si="42"/>
        <v>0.4930058309037918</v>
      </c>
      <c r="M696" s="14">
        <f t="shared" si="43"/>
        <v>5</v>
      </c>
    </row>
    <row r="697" spans="1:13" x14ac:dyDescent="0.25">
      <c r="A697" s="14" t="s">
        <v>740</v>
      </c>
      <c r="B697" s="20"/>
      <c r="C697" s="16">
        <v>0.43055555555555558</v>
      </c>
      <c r="D697" s="17" t="s">
        <v>1076</v>
      </c>
      <c r="E697" s="14">
        <v>34.566000000000003</v>
      </c>
      <c r="F697" s="14">
        <v>58</v>
      </c>
      <c r="G697" s="14">
        <v>88.5</v>
      </c>
      <c r="H697" s="18">
        <v>425</v>
      </c>
      <c r="I697" s="19">
        <v>422.64002000000028</v>
      </c>
      <c r="J697" s="12">
        <f t="shared" si="40"/>
        <v>2.3599799999997231</v>
      </c>
      <c r="K697" s="14">
        <f t="shared" si="41"/>
        <v>5.5695056003986929</v>
      </c>
      <c r="L697" s="14">
        <f t="shared" si="42"/>
        <v>0.55528941176464075</v>
      </c>
      <c r="M697" s="14">
        <f t="shared" si="43"/>
        <v>1</v>
      </c>
    </row>
    <row r="698" spans="1:13" x14ac:dyDescent="0.25">
      <c r="A698" s="14" t="s">
        <v>741</v>
      </c>
      <c r="B698" s="20"/>
      <c r="C698" s="16">
        <v>0.44444444444444442</v>
      </c>
      <c r="D698" s="17" t="s">
        <v>1076</v>
      </c>
      <c r="E698" s="14">
        <v>32.31</v>
      </c>
      <c r="F698" s="14">
        <v>52</v>
      </c>
      <c r="G698" s="14">
        <v>68.400000000000006</v>
      </c>
      <c r="H698" s="18">
        <v>292</v>
      </c>
      <c r="I698" s="19">
        <v>288.47570000000019</v>
      </c>
      <c r="J698" s="12">
        <f t="shared" si="40"/>
        <v>3.5242999999998119</v>
      </c>
      <c r="K698" s="14">
        <f t="shared" si="41"/>
        <v>12.420690489998675</v>
      </c>
      <c r="L698" s="14">
        <f t="shared" si="42"/>
        <v>1.2069520547944561</v>
      </c>
      <c r="M698" s="14">
        <f t="shared" si="43"/>
        <v>2</v>
      </c>
    </row>
    <row r="699" spans="1:13" x14ac:dyDescent="0.25">
      <c r="A699" s="14" t="s">
        <v>742</v>
      </c>
      <c r="B699" s="20"/>
      <c r="C699" s="16">
        <v>0.45833333333333331</v>
      </c>
      <c r="D699" s="17" t="s">
        <v>1076</v>
      </c>
      <c r="E699" s="14">
        <v>31.628</v>
      </c>
      <c r="F699" s="14">
        <v>80</v>
      </c>
      <c r="G699" s="14">
        <v>56.7</v>
      </c>
      <c r="H699" s="18">
        <v>240</v>
      </c>
      <c r="I699" s="19">
        <v>241.91716</v>
      </c>
      <c r="J699" s="12">
        <f t="shared" si="40"/>
        <v>1.9171599999999955</v>
      </c>
      <c r="K699" s="14">
        <f t="shared" si="41"/>
        <v>3.6755024655999828</v>
      </c>
      <c r="L699" s="14">
        <f t="shared" si="42"/>
        <v>0.79881666666666484</v>
      </c>
      <c r="M699" s="14">
        <f t="shared" si="43"/>
        <v>3</v>
      </c>
    </row>
    <row r="700" spans="1:13" x14ac:dyDescent="0.25">
      <c r="A700" s="14" t="s">
        <v>743</v>
      </c>
      <c r="B700" s="20"/>
      <c r="C700" s="16">
        <v>0.47222222222222221</v>
      </c>
      <c r="D700" s="17" t="s">
        <v>1076</v>
      </c>
      <c r="E700" s="14">
        <v>32.947000000000003</v>
      </c>
      <c r="F700" s="14">
        <v>42</v>
      </c>
      <c r="G700" s="14">
        <v>94.6</v>
      </c>
      <c r="H700" s="18">
        <v>328</v>
      </c>
      <c r="I700" s="19">
        <v>326.35809000000017</v>
      </c>
      <c r="J700" s="12">
        <f t="shared" si="40"/>
        <v>1.6419099999998252</v>
      </c>
      <c r="K700" s="14">
        <f t="shared" si="41"/>
        <v>2.6958684480994259</v>
      </c>
      <c r="L700" s="14">
        <f t="shared" si="42"/>
        <v>0.5005823170731174</v>
      </c>
      <c r="M700" s="14">
        <f t="shared" si="43"/>
        <v>4</v>
      </c>
    </row>
    <row r="701" spans="1:13" x14ac:dyDescent="0.25">
      <c r="A701" s="14" t="s">
        <v>744</v>
      </c>
      <c r="B701" s="20"/>
      <c r="C701" s="16">
        <v>0.4861111111111111</v>
      </c>
      <c r="D701" s="17" t="s">
        <v>1076</v>
      </c>
      <c r="E701" s="14">
        <v>31.934999999999999</v>
      </c>
      <c r="F701" s="14">
        <v>55</v>
      </c>
      <c r="G701" s="14">
        <v>68.5</v>
      </c>
      <c r="H701" s="18">
        <v>267</v>
      </c>
      <c r="I701" s="19">
        <v>266.17445000000021</v>
      </c>
      <c r="J701" s="12">
        <f t="shared" si="40"/>
        <v>0.82554999999979373</v>
      </c>
      <c r="K701" s="14">
        <f t="shared" si="41"/>
        <v>0.68153280249965942</v>
      </c>
      <c r="L701" s="14">
        <f t="shared" si="42"/>
        <v>0.30919475655422984</v>
      </c>
      <c r="M701" s="14">
        <f t="shared" si="43"/>
        <v>5</v>
      </c>
    </row>
    <row r="702" spans="1:13" x14ac:dyDescent="0.25">
      <c r="A702" s="14" t="s">
        <v>745</v>
      </c>
      <c r="B702" s="21"/>
      <c r="C702" s="16">
        <v>0.5</v>
      </c>
      <c r="D702" s="17" t="s">
        <v>1076</v>
      </c>
      <c r="E702" s="14">
        <v>32.168999999999997</v>
      </c>
      <c r="F702" s="14">
        <v>26</v>
      </c>
      <c r="G702" s="14">
        <v>55.8</v>
      </c>
      <c r="H702" s="18">
        <v>270</v>
      </c>
      <c r="I702" s="19">
        <v>268.09043000000003</v>
      </c>
      <c r="J702" s="12">
        <f t="shared" si="40"/>
        <v>1.9095699999999738</v>
      </c>
      <c r="K702" s="14">
        <f t="shared" si="41"/>
        <v>3.6464575848998999</v>
      </c>
      <c r="L702" s="14">
        <f t="shared" si="42"/>
        <v>0.70724814814813841</v>
      </c>
      <c r="M702" s="14">
        <f t="shared" si="43"/>
        <v>1</v>
      </c>
    </row>
    <row r="703" spans="1:13" x14ac:dyDescent="0.25">
      <c r="A703" s="14" t="s">
        <v>746</v>
      </c>
      <c r="B703" s="15" t="s">
        <v>747</v>
      </c>
      <c r="C703" s="16">
        <v>0.375</v>
      </c>
      <c r="D703" s="17" t="s">
        <v>1076</v>
      </c>
      <c r="E703" s="14">
        <v>32.292000000000002</v>
      </c>
      <c r="F703" s="14">
        <v>24</v>
      </c>
      <c r="G703" s="14">
        <v>84.8</v>
      </c>
      <c r="H703" s="18">
        <v>291</v>
      </c>
      <c r="I703" s="19">
        <v>287.40523999999999</v>
      </c>
      <c r="J703" s="12">
        <f t="shared" si="40"/>
        <v>3.5947600000000079</v>
      </c>
      <c r="K703" s="14">
        <f t="shared" si="41"/>
        <v>12.922299457600056</v>
      </c>
      <c r="L703" s="14">
        <f t="shared" si="42"/>
        <v>1.235312714776635</v>
      </c>
      <c r="M703" s="14">
        <f t="shared" si="43"/>
        <v>2</v>
      </c>
    </row>
    <row r="704" spans="1:13" x14ac:dyDescent="0.25">
      <c r="A704" s="14" t="s">
        <v>748</v>
      </c>
      <c r="B704" s="20"/>
      <c r="C704" s="16">
        <v>0.3888888888888889</v>
      </c>
      <c r="D704" s="17" t="s">
        <v>1076</v>
      </c>
      <c r="E704" s="14">
        <v>32.338999999999999</v>
      </c>
      <c r="F704" s="14">
        <v>51</v>
      </c>
      <c r="G704" s="14">
        <v>77.599999999999994</v>
      </c>
      <c r="H704" s="18">
        <v>296</v>
      </c>
      <c r="I704" s="19">
        <v>295.20033000000001</v>
      </c>
      <c r="J704" s="12">
        <f t="shared" si="40"/>
        <v>0.79966999999999189</v>
      </c>
      <c r="K704" s="14">
        <f t="shared" si="41"/>
        <v>0.63947210889998707</v>
      </c>
      <c r="L704" s="14">
        <f t="shared" si="42"/>
        <v>0.27015878378378105</v>
      </c>
      <c r="M704" s="14">
        <f t="shared" si="43"/>
        <v>3</v>
      </c>
    </row>
    <row r="705" spans="1:13" x14ac:dyDescent="0.25">
      <c r="A705" s="14" t="s">
        <v>749</v>
      </c>
      <c r="B705" s="20"/>
      <c r="C705" s="16">
        <v>0.40277777777777779</v>
      </c>
      <c r="D705" s="17" t="s">
        <v>1076</v>
      </c>
      <c r="E705" s="14">
        <v>34.051000000000002</v>
      </c>
      <c r="F705" s="14">
        <v>34</v>
      </c>
      <c r="G705" s="14">
        <v>58</v>
      </c>
      <c r="H705" s="18">
        <v>402</v>
      </c>
      <c r="I705" s="19">
        <v>399.01297</v>
      </c>
      <c r="J705" s="12">
        <f t="shared" si="40"/>
        <v>2.9870300000000043</v>
      </c>
      <c r="K705" s="14">
        <f t="shared" si="41"/>
        <v>8.9223482209000249</v>
      </c>
      <c r="L705" s="14">
        <f t="shared" si="42"/>
        <v>0.74304228855721499</v>
      </c>
      <c r="M705" s="14">
        <f t="shared" si="43"/>
        <v>4</v>
      </c>
    </row>
    <row r="706" spans="1:13" x14ac:dyDescent="0.25">
      <c r="A706" s="14" t="s">
        <v>750</v>
      </c>
      <c r="B706" s="20"/>
      <c r="C706" s="16">
        <v>0.41666666666666669</v>
      </c>
      <c r="D706" s="17" t="s">
        <v>1076</v>
      </c>
      <c r="E706" s="14">
        <v>33.295000000000002</v>
      </c>
      <c r="F706" s="14">
        <v>60</v>
      </c>
      <c r="G706" s="14">
        <v>58.1</v>
      </c>
      <c r="H706" s="18">
        <v>357</v>
      </c>
      <c r="I706" s="19">
        <v>355.05365</v>
      </c>
      <c r="J706" s="12">
        <f t="shared" si="40"/>
        <v>1.9463499999999954</v>
      </c>
      <c r="K706" s="14">
        <f t="shared" si="41"/>
        <v>3.7882783224999819</v>
      </c>
      <c r="L706" s="14">
        <f t="shared" si="42"/>
        <v>0.5451960784313713</v>
      </c>
      <c r="M706" s="14">
        <f t="shared" si="43"/>
        <v>5</v>
      </c>
    </row>
    <row r="707" spans="1:13" x14ac:dyDescent="0.25">
      <c r="A707" s="14" t="s">
        <v>751</v>
      </c>
      <c r="B707" s="20"/>
      <c r="C707" s="16">
        <v>0.43055555555555558</v>
      </c>
      <c r="D707" s="17" t="s">
        <v>1076</v>
      </c>
      <c r="E707" s="14">
        <v>31.831</v>
      </c>
      <c r="F707" s="14">
        <v>76</v>
      </c>
      <c r="G707" s="14">
        <v>74.8</v>
      </c>
      <c r="H707" s="18">
        <v>247</v>
      </c>
      <c r="I707" s="19">
        <v>246.98956999999999</v>
      </c>
      <c r="J707" s="12">
        <f t="shared" ref="J707:J770" si="44">IF(OR(H707="",I707=""),"",ABS(H707-I707))</f>
        <v>1.0430000000013706E-2</v>
      </c>
      <c r="K707" s="14">
        <f t="shared" ref="K707:K770" si="45">IF(OR(H707="",I707=""),"",(H707-I707)^2)</f>
        <v>1.0878490000028591E-4</v>
      </c>
      <c r="L707" s="14">
        <f t="shared" ref="L707:L770" si="46">IF(OR(H707="",I707=""),"",IF(H707=0,"",ABS((H707-I707)/H707)*100))</f>
        <v>4.2226720647828772E-3</v>
      </c>
      <c r="M707" s="14">
        <f t="shared" ref="M707:M770" si="47">MOD(ROW()-2,5)+1</f>
        <v>1</v>
      </c>
    </row>
    <row r="708" spans="1:13" x14ac:dyDescent="0.25">
      <c r="A708" s="14" t="s">
        <v>752</v>
      </c>
      <c r="B708" s="20"/>
      <c r="C708" s="16">
        <v>0.44444444444444442</v>
      </c>
      <c r="D708" s="17" t="s">
        <v>1076</v>
      </c>
      <c r="E708" s="14">
        <v>32.667000000000002</v>
      </c>
      <c r="F708" s="14">
        <v>68</v>
      </c>
      <c r="G708" s="14">
        <v>75.5</v>
      </c>
      <c r="H708" s="18">
        <v>301</v>
      </c>
      <c r="I708" s="19">
        <v>298.70648999999997</v>
      </c>
      <c r="J708" s="12">
        <f t="shared" si="44"/>
        <v>2.2935100000000261</v>
      </c>
      <c r="K708" s="14">
        <f t="shared" si="45"/>
        <v>5.2601881201001195</v>
      </c>
      <c r="L708" s="14">
        <f t="shared" si="46"/>
        <v>0.76196345514951036</v>
      </c>
      <c r="M708" s="14">
        <f t="shared" si="47"/>
        <v>2</v>
      </c>
    </row>
    <row r="709" spans="1:13" x14ac:dyDescent="0.25">
      <c r="A709" s="14" t="s">
        <v>753</v>
      </c>
      <c r="B709" s="20"/>
      <c r="C709" s="16">
        <v>0.45833333333333331</v>
      </c>
      <c r="D709" s="17" t="s">
        <v>1076</v>
      </c>
      <c r="E709" s="14">
        <v>31.356000000000002</v>
      </c>
      <c r="F709" s="14">
        <v>71</v>
      </c>
      <c r="G709" s="14">
        <v>91.2</v>
      </c>
      <c r="H709" s="18">
        <v>237</v>
      </c>
      <c r="I709" s="19">
        <v>235.74132</v>
      </c>
      <c r="J709" s="12">
        <f t="shared" si="44"/>
        <v>1.2586799999999982</v>
      </c>
      <c r="K709" s="14">
        <f t="shared" si="45"/>
        <v>1.5842753423999956</v>
      </c>
      <c r="L709" s="14">
        <f t="shared" si="46"/>
        <v>0.53108860759493592</v>
      </c>
      <c r="M709" s="14">
        <f t="shared" si="47"/>
        <v>3</v>
      </c>
    </row>
    <row r="710" spans="1:13" x14ac:dyDescent="0.25">
      <c r="A710" s="14" t="s">
        <v>754</v>
      </c>
      <c r="B710" s="20"/>
      <c r="C710" s="16">
        <v>0.47222222222222221</v>
      </c>
      <c r="D710" s="17" t="s">
        <v>1076</v>
      </c>
      <c r="E710" s="14">
        <v>31.670999999999999</v>
      </c>
      <c r="F710" s="14">
        <v>41</v>
      </c>
      <c r="G710" s="14">
        <v>79</v>
      </c>
      <c r="H710" s="18">
        <v>255</v>
      </c>
      <c r="I710" s="19">
        <v>251.47436999999999</v>
      </c>
      <c r="J710" s="12">
        <f t="shared" si="44"/>
        <v>3.5256300000000067</v>
      </c>
      <c r="K710" s="14">
        <f t="shared" si="45"/>
        <v>12.430066896900048</v>
      </c>
      <c r="L710" s="14">
        <f t="shared" si="46"/>
        <v>1.3826000000000025</v>
      </c>
      <c r="M710" s="14">
        <f t="shared" si="47"/>
        <v>4</v>
      </c>
    </row>
    <row r="711" spans="1:13" x14ac:dyDescent="0.25">
      <c r="A711" s="14" t="s">
        <v>755</v>
      </c>
      <c r="B711" s="20"/>
      <c r="C711" s="16">
        <v>0.4861111111111111</v>
      </c>
      <c r="D711" s="17" t="s">
        <v>1076</v>
      </c>
      <c r="E711" s="14">
        <v>30.806000000000001</v>
      </c>
      <c r="F711" s="14">
        <v>42</v>
      </c>
      <c r="G711" s="14">
        <v>76.7</v>
      </c>
      <c r="H711" s="18">
        <v>204</v>
      </c>
      <c r="I711" s="19">
        <v>201.03281999999999</v>
      </c>
      <c r="J711" s="12">
        <f t="shared" si="44"/>
        <v>2.9671800000000133</v>
      </c>
      <c r="K711" s="14">
        <f t="shared" si="45"/>
        <v>8.8041571524000783</v>
      </c>
      <c r="L711" s="14">
        <f t="shared" si="46"/>
        <v>1.4545000000000066</v>
      </c>
      <c r="M711" s="14">
        <f t="shared" si="47"/>
        <v>5</v>
      </c>
    </row>
    <row r="712" spans="1:13" x14ac:dyDescent="0.25">
      <c r="A712" s="14" t="s">
        <v>756</v>
      </c>
      <c r="B712" s="21"/>
      <c r="C712" s="16">
        <v>0.5</v>
      </c>
      <c r="D712" s="17" t="s">
        <v>1076</v>
      </c>
      <c r="E712" s="14">
        <v>32.198999999999998</v>
      </c>
      <c r="F712" s="14">
        <v>69</v>
      </c>
      <c r="G712" s="14">
        <v>80.099999999999994</v>
      </c>
      <c r="H712" s="18">
        <v>318</v>
      </c>
      <c r="I712" s="19">
        <v>317.69</v>
      </c>
      <c r="J712" s="12">
        <f t="shared" si="44"/>
        <v>0.31000000000000227</v>
      </c>
      <c r="K712" s="14">
        <f t="shared" si="45"/>
        <v>9.6100000000001407E-2</v>
      </c>
      <c r="L712" s="14">
        <f t="shared" si="46"/>
        <v>9.7484276729560462E-2</v>
      </c>
      <c r="M712" s="14">
        <f t="shared" si="47"/>
        <v>1</v>
      </c>
    </row>
    <row r="713" spans="1:13" x14ac:dyDescent="0.25">
      <c r="A713" s="14" t="s">
        <v>757</v>
      </c>
      <c r="B713" s="15" t="s">
        <v>758</v>
      </c>
      <c r="C713" s="16">
        <v>0.375</v>
      </c>
      <c r="D713" s="17" t="s">
        <v>1076</v>
      </c>
      <c r="E713" s="14">
        <v>30.79</v>
      </c>
      <c r="F713" s="14">
        <v>50</v>
      </c>
      <c r="G713" s="14">
        <v>86.4</v>
      </c>
      <c r="H713" s="18">
        <v>204</v>
      </c>
      <c r="I713" s="19">
        <v>201.0813</v>
      </c>
      <c r="J713" s="12">
        <f t="shared" si="44"/>
        <v>2.9187000000000012</v>
      </c>
      <c r="K713" s="14">
        <f t="shared" si="45"/>
        <v>8.5188096900000065</v>
      </c>
      <c r="L713" s="14">
        <f t="shared" si="46"/>
        <v>1.4307352941176477</v>
      </c>
      <c r="M713" s="14">
        <f t="shared" si="47"/>
        <v>2</v>
      </c>
    </row>
    <row r="714" spans="1:13" x14ac:dyDescent="0.25">
      <c r="A714" s="14" t="s">
        <v>759</v>
      </c>
      <c r="B714" s="20"/>
      <c r="C714" s="16">
        <v>0.3888888888888889</v>
      </c>
      <c r="D714" s="17" t="s">
        <v>1076</v>
      </c>
      <c r="E714" s="14">
        <v>33.561000000000007</v>
      </c>
      <c r="F714" s="14">
        <v>66</v>
      </c>
      <c r="G714" s="14">
        <v>85.7</v>
      </c>
      <c r="H714" s="18">
        <v>374</v>
      </c>
      <c r="I714" s="19">
        <v>375.61</v>
      </c>
      <c r="J714" s="12">
        <f t="shared" si="44"/>
        <v>1.6100000000000136</v>
      </c>
      <c r="K714" s="14">
        <f t="shared" si="45"/>
        <v>2.5921000000000438</v>
      </c>
      <c r="L714" s="14">
        <f t="shared" si="46"/>
        <v>0.43048128342246356</v>
      </c>
      <c r="M714" s="14">
        <f t="shared" si="47"/>
        <v>3</v>
      </c>
    </row>
    <row r="715" spans="1:13" x14ac:dyDescent="0.25">
      <c r="A715" s="14" t="s">
        <v>760</v>
      </c>
      <c r="B715" s="20"/>
      <c r="C715" s="16">
        <v>0.40277777777777779</v>
      </c>
      <c r="D715" s="17" t="s">
        <v>1076</v>
      </c>
      <c r="E715" s="14">
        <v>33.015000000000001</v>
      </c>
      <c r="F715" s="14">
        <v>46</v>
      </c>
      <c r="G715" s="14">
        <v>66.900000000000006</v>
      </c>
      <c r="H715" s="18">
        <v>339</v>
      </c>
      <c r="I715" s="19">
        <v>335.40204999999997</v>
      </c>
      <c r="J715" s="12">
        <f t="shared" si="44"/>
        <v>3.5979500000000257</v>
      </c>
      <c r="K715" s="14">
        <f t="shared" si="45"/>
        <v>12.945244202500184</v>
      </c>
      <c r="L715" s="14">
        <f t="shared" si="46"/>
        <v>1.0613421828908631</v>
      </c>
      <c r="M715" s="14">
        <f t="shared" si="47"/>
        <v>4</v>
      </c>
    </row>
    <row r="716" spans="1:13" x14ac:dyDescent="0.25">
      <c r="A716" s="14" t="s">
        <v>761</v>
      </c>
      <c r="B716" s="20"/>
      <c r="C716" s="16">
        <v>0.41666666666666669</v>
      </c>
      <c r="D716" s="17" t="s">
        <v>1076</v>
      </c>
      <c r="E716" s="14">
        <v>30.751999999999999</v>
      </c>
      <c r="F716" s="14">
        <v>80</v>
      </c>
      <c r="G716" s="14">
        <v>92.8</v>
      </c>
      <c r="H716" s="18">
        <v>202</v>
      </c>
      <c r="I716" s="19">
        <v>199.82144</v>
      </c>
      <c r="J716" s="12">
        <f t="shared" si="44"/>
        <v>2.1785600000000045</v>
      </c>
      <c r="K716" s="14">
        <f t="shared" si="45"/>
        <v>4.7461236736000192</v>
      </c>
      <c r="L716" s="14">
        <f t="shared" si="46"/>
        <v>1.0784950495049528</v>
      </c>
      <c r="M716" s="14">
        <f t="shared" si="47"/>
        <v>5</v>
      </c>
    </row>
    <row r="717" spans="1:13" x14ac:dyDescent="0.25">
      <c r="A717" s="14" t="s">
        <v>762</v>
      </c>
      <c r="B717" s="20"/>
      <c r="C717" s="16">
        <v>0.43055555555555558</v>
      </c>
      <c r="D717" s="17" t="s">
        <v>1076</v>
      </c>
      <c r="E717" s="14">
        <v>31.695</v>
      </c>
      <c r="F717" s="14">
        <v>39</v>
      </c>
      <c r="G717" s="14">
        <v>76.3</v>
      </c>
      <c r="H717" s="18">
        <v>249</v>
      </c>
      <c r="I717" s="19">
        <v>251.90165000000019</v>
      </c>
      <c r="J717" s="12">
        <f t="shared" si="44"/>
        <v>2.9016500000001884</v>
      </c>
      <c r="K717" s="14">
        <f t="shared" si="45"/>
        <v>8.4195727225010923</v>
      </c>
      <c r="L717" s="14">
        <f t="shared" si="46"/>
        <v>1.1653212851406378</v>
      </c>
      <c r="M717" s="14">
        <f t="shared" si="47"/>
        <v>1</v>
      </c>
    </row>
    <row r="718" spans="1:13" x14ac:dyDescent="0.25">
      <c r="A718" s="14" t="s">
        <v>763</v>
      </c>
      <c r="B718" s="20"/>
      <c r="C718" s="16">
        <v>0.44444444444444442</v>
      </c>
      <c r="D718" s="17" t="s">
        <v>1076</v>
      </c>
      <c r="E718" s="14">
        <v>31.677</v>
      </c>
      <c r="F718" s="14">
        <v>45</v>
      </c>
      <c r="G718" s="14">
        <v>82.4</v>
      </c>
      <c r="H718" s="18">
        <v>258</v>
      </c>
      <c r="I718" s="19">
        <v>254.83118999999999</v>
      </c>
      <c r="J718" s="12">
        <f t="shared" si="44"/>
        <v>3.1688100000000077</v>
      </c>
      <c r="K718" s="14">
        <f t="shared" si="45"/>
        <v>10.041356816100048</v>
      </c>
      <c r="L718" s="14">
        <f t="shared" si="46"/>
        <v>1.2282209302325611</v>
      </c>
      <c r="M718" s="14">
        <f t="shared" si="47"/>
        <v>2</v>
      </c>
    </row>
    <row r="719" spans="1:13" x14ac:dyDescent="0.25">
      <c r="A719" s="14" t="s">
        <v>764</v>
      </c>
      <c r="B719" s="20"/>
      <c r="C719" s="16">
        <v>0.45833333333333331</v>
      </c>
      <c r="D719" s="17" t="s">
        <v>1076</v>
      </c>
      <c r="E719" s="14">
        <v>30.391999999999999</v>
      </c>
      <c r="F719" s="14">
        <v>66</v>
      </c>
      <c r="G719" s="14">
        <v>85.1</v>
      </c>
      <c r="H719" s="18">
        <v>167</v>
      </c>
      <c r="I719" s="19">
        <v>164.41224</v>
      </c>
      <c r="J719" s="12">
        <f t="shared" si="44"/>
        <v>2.5877600000000029</v>
      </c>
      <c r="K719" s="14">
        <f t="shared" si="45"/>
        <v>6.6965018176000148</v>
      </c>
      <c r="L719" s="14">
        <f t="shared" si="46"/>
        <v>1.5495568862275468</v>
      </c>
      <c r="M719" s="14">
        <f t="shared" si="47"/>
        <v>3</v>
      </c>
    </row>
    <row r="720" spans="1:13" x14ac:dyDescent="0.25">
      <c r="A720" s="14" t="s">
        <v>765</v>
      </c>
      <c r="B720" s="20"/>
      <c r="C720" s="16">
        <v>0.47222222222222221</v>
      </c>
      <c r="D720" s="17" t="s">
        <v>1076</v>
      </c>
      <c r="E720" s="14">
        <v>33.183000000000007</v>
      </c>
      <c r="F720" s="14">
        <v>66</v>
      </c>
      <c r="G720" s="14">
        <v>74.5</v>
      </c>
      <c r="H720" s="18">
        <v>338</v>
      </c>
      <c r="I720" s="19">
        <v>340.39301000000052</v>
      </c>
      <c r="J720" s="12">
        <f t="shared" si="44"/>
        <v>2.3930100000005154</v>
      </c>
      <c r="K720" s="14">
        <f t="shared" si="45"/>
        <v>5.7264968601024666</v>
      </c>
      <c r="L720" s="14">
        <f t="shared" si="46"/>
        <v>0.70799112426050748</v>
      </c>
      <c r="M720" s="14">
        <f t="shared" si="47"/>
        <v>4</v>
      </c>
    </row>
    <row r="721" spans="1:13" x14ac:dyDescent="0.25">
      <c r="A721" s="14" t="s">
        <v>766</v>
      </c>
      <c r="B721" s="20"/>
      <c r="C721" s="16">
        <v>0.4861111111111111</v>
      </c>
      <c r="D721" s="17" t="s">
        <v>1076</v>
      </c>
      <c r="E721" s="14">
        <v>30.888000000000002</v>
      </c>
      <c r="F721" s="14">
        <v>37</v>
      </c>
      <c r="G721" s="14">
        <v>78.400000000000006</v>
      </c>
      <c r="H721" s="18">
        <v>199</v>
      </c>
      <c r="I721" s="19">
        <v>202.90935999999999</v>
      </c>
      <c r="J721" s="12">
        <f t="shared" si="44"/>
        <v>3.9093599999999924</v>
      </c>
      <c r="K721" s="14">
        <f t="shared" si="45"/>
        <v>15.28309560959994</v>
      </c>
      <c r="L721" s="14">
        <f t="shared" si="46"/>
        <v>1.9645025125628102</v>
      </c>
      <c r="M721" s="14">
        <f t="shared" si="47"/>
        <v>5</v>
      </c>
    </row>
    <row r="722" spans="1:13" x14ac:dyDescent="0.25">
      <c r="A722" s="14" t="s">
        <v>767</v>
      </c>
      <c r="B722" s="21"/>
      <c r="C722" s="16">
        <v>0.5</v>
      </c>
      <c r="D722" s="17" t="s">
        <v>1076</v>
      </c>
      <c r="E722" s="14">
        <v>33.328000000000003</v>
      </c>
      <c r="F722" s="14">
        <v>80</v>
      </c>
      <c r="G722" s="14">
        <v>68.400000000000006</v>
      </c>
      <c r="H722" s="18">
        <v>350</v>
      </c>
      <c r="I722" s="19">
        <v>349.01616000000013</v>
      </c>
      <c r="J722" s="12">
        <f t="shared" si="44"/>
        <v>0.98383999999987282</v>
      </c>
      <c r="K722" s="14">
        <f t="shared" si="45"/>
        <v>0.96794114559974975</v>
      </c>
      <c r="L722" s="14">
        <f t="shared" si="46"/>
        <v>0.28109714285710652</v>
      </c>
      <c r="M722" s="14">
        <f t="shared" si="47"/>
        <v>1</v>
      </c>
    </row>
    <row r="723" spans="1:13" x14ac:dyDescent="0.25">
      <c r="A723" s="14" t="s">
        <v>768</v>
      </c>
      <c r="B723" s="15" t="s">
        <v>769</v>
      </c>
      <c r="C723" s="16">
        <v>0.375</v>
      </c>
      <c r="D723" s="17" t="s">
        <v>1076</v>
      </c>
      <c r="E723" s="14">
        <v>32.603999999999999</v>
      </c>
      <c r="F723" s="14">
        <v>78</v>
      </c>
      <c r="G723" s="14">
        <v>56.1</v>
      </c>
      <c r="H723" s="18">
        <v>328</v>
      </c>
      <c r="I723" s="19">
        <v>327.18</v>
      </c>
      <c r="J723" s="12">
        <f t="shared" si="44"/>
        <v>0.81999999999999318</v>
      </c>
      <c r="K723" s="14">
        <f t="shared" si="45"/>
        <v>0.67239999999998878</v>
      </c>
      <c r="L723" s="14">
        <f t="shared" si="46"/>
        <v>0.24999999999999792</v>
      </c>
      <c r="M723" s="14">
        <f t="shared" si="47"/>
        <v>2</v>
      </c>
    </row>
    <row r="724" spans="1:13" x14ac:dyDescent="0.25">
      <c r="A724" s="14" t="s">
        <v>770</v>
      </c>
      <c r="B724" s="20"/>
      <c r="C724" s="16">
        <v>0.3888888888888889</v>
      </c>
      <c r="D724" s="17" t="s">
        <v>1076</v>
      </c>
      <c r="E724" s="14">
        <v>33.014000000000003</v>
      </c>
      <c r="F724" s="14">
        <v>66</v>
      </c>
      <c r="G724" s="14">
        <v>91.4</v>
      </c>
      <c r="H724" s="18">
        <v>313</v>
      </c>
      <c r="I724" s="19">
        <v>312.52</v>
      </c>
      <c r="J724" s="12">
        <f t="shared" si="44"/>
        <v>0.48000000000001819</v>
      </c>
      <c r="K724" s="14">
        <f t="shared" si="45"/>
        <v>0.23040000000001745</v>
      </c>
      <c r="L724" s="14">
        <f t="shared" si="46"/>
        <v>0.15335463258786525</v>
      </c>
      <c r="M724" s="14">
        <f t="shared" si="47"/>
        <v>3</v>
      </c>
    </row>
    <row r="725" spans="1:13" x14ac:dyDescent="0.25">
      <c r="A725" s="14" t="s">
        <v>771</v>
      </c>
      <c r="B725" s="20"/>
      <c r="C725" s="16">
        <v>0.40277777777777779</v>
      </c>
      <c r="D725" s="17" t="s">
        <v>1076</v>
      </c>
      <c r="E725" s="14">
        <v>32.515000000000001</v>
      </c>
      <c r="F725" s="14">
        <v>28</v>
      </c>
      <c r="G725" s="14">
        <v>58.8</v>
      </c>
      <c r="H725" s="18">
        <v>307</v>
      </c>
      <c r="I725" s="19">
        <v>305.66705000000002</v>
      </c>
      <c r="J725" s="12">
        <f t="shared" si="44"/>
        <v>1.3329499999999825</v>
      </c>
      <c r="K725" s="14">
        <f t="shared" si="45"/>
        <v>1.7767557024999534</v>
      </c>
      <c r="L725" s="14">
        <f t="shared" si="46"/>
        <v>0.43418566775243733</v>
      </c>
      <c r="M725" s="14">
        <f t="shared" si="47"/>
        <v>4</v>
      </c>
    </row>
    <row r="726" spans="1:13" x14ac:dyDescent="0.25">
      <c r="A726" s="14" t="s">
        <v>772</v>
      </c>
      <c r="B726" s="20"/>
      <c r="C726" s="16">
        <v>0.41666666666666669</v>
      </c>
      <c r="D726" s="17" t="s">
        <v>1076</v>
      </c>
      <c r="E726" s="14">
        <v>34.61</v>
      </c>
      <c r="F726" s="14">
        <v>30</v>
      </c>
      <c r="G726" s="14">
        <v>66.900000000000006</v>
      </c>
      <c r="H726" s="18">
        <v>411</v>
      </c>
      <c r="I726" s="19">
        <v>409.25670000000002</v>
      </c>
      <c r="J726" s="12">
        <f t="shared" si="44"/>
        <v>1.7432999999999765</v>
      </c>
      <c r="K726" s="14">
        <f t="shared" si="45"/>
        <v>3.0390948899999182</v>
      </c>
      <c r="L726" s="14">
        <f t="shared" si="46"/>
        <v>0.42416058394160011</v>
      </c>
      <c r="M726" s="14">
        <f t="shared" si="47"/>
        <v>5</v>
      </c>
    </row>
    <row r="727" spans="1:13" x14ac:dyDescent="0.25">
      <c r="A727" s="14" t="s">
        <v>773</v>
      </c>
      <c r="B727" s="20"/>
      <c r="C727" s="16">
        <v>0.43055555555555558</v>
      </c>
      <c r="D727" s="17" t="s">
        <v>1076</v>
      </c>
      <c r="E727" s="14">
        <v>32.081000000000003</v>
      </c>
      <c r="F727" s="14">
        <v>68</v>
      </c>
      <c r="G727" s="14">
        <v>90.3</v>
      </c>
      <c r="H727" s="18">
        <v>271</v>
      </c>
      <c r="I727" s="19">
        <v>274.85707000000019</v>
      </c>
      <c r="J727" s="12">
        <f t="shared" si="44"/>
        <v>3.8570700000001921</v>
      </c>
      <c r="K727" s="14">
        <f t="shared" si="45"/>
        <v>14.876988984901482</v>
      </c>
      <c r="L727" s="14">
        <f t="shared" si="46"/>
        <v>1.4232730627306982</v>
      </c>
      <c r="M727" s="14">
        <f t="shared" si="47"/>
        <v>1</v>
      </c>
    </row>
    <row r="728" spans="1:13" x14ac:dyDescent="0.25">
      <c r="A728" s="14" t="s">
        <v>774</v>
      </c>
      <c r="B728" s="20"/>
      <c r="C728" s="16">
        <v>0.44444444444444442</v>
      </c>
      <c r="D728" s="17" t="s">
        <v>1076</v>
      </c>
      <c r="E728" s="14">
        <v>30.920999999999999</v>
      </c>
      <c r="F728" s="14">
        <v>73</v>
      </c>
      <c r="G728" s="14">
        <v>79.3</v>
      </c>
      <c r="H728" s="18">
        <v>216</v>
      </c>
      <c r="I728" s="19">
        <v>215.15</v>
      </c>
      <c r="J728" s="12">
        <f t="shared" si="44"/>
        <v>0.84999999999999432</v>
      </c>
      <c r="K728" s="14">
        <f t="shared" si="45"/>
        <v>0.72249999999999037</v>
      </c>
      <c r="L728" s="14">
        <f t="shared" si="46"/>
        <v>0.39351851851851588</v>
      </c>
      <c r="M728" s="14">
        <f t="shared" si="47"/>
        <v>2</v>
      </c>
    </row>
    <row r="729" spans="1:13" x14ac:dyDescent="0.25">
      <c r="A729" s="14" t="s">
        <v>775</v>
      </c>
      <c r="B729" s="20"/>
      <c r="C729" s="16">
        <v>0.45833333333333331</v>
      </c>
      <c r="D729" s="17" t="s">
        <v>1076</v>
      </c>
      <c r="E729" s="14">
        <v>33.195000000000007</v>
      </c>
      <c r="F729" s="14">
        <v>79</v>
      </c>
      <c r="G729" s="14">
        <v>60.7</v>
      </c>
      <c r="H729" s="18">
        <v>342</v>
      </c>
      <c r="I729" s="19">
        <v>341.1066500000004</v>
      </c>
      <c r="J729" s="12">
        <f t="shared" si="44"/>
        <v>0.89334999999960019</v>
      </c>
      <c r="K729" s="14">
        <f t="shared" si="45"/>
        <v>0.79807422249928561</v>
      </c>
      <c r="L729" s="14">
        <f t="shared" si="46"/>
        <v>0.26121345029228077</v>
      </c>
      <c r="M729" s="14">
        <f t="shared" si="47"/>
        <v>3</v>
      </c>
    </row>
    <row r="730" spans="1:13" x14ac:dyDescent="0.25">
      <c r="A730" s="14" t="s">
        <v>776</v>
      </c>
      <c r="B730" s="20"/>
      <c r="C730" s="16">
        <v>0.47222222222222221</v>
      </c>
      <c r="D730" s="17" t="s">
        <v>1076</v>
      </c>
      <c r="E730" s="14">
        <v>31.837</v>
      </c>
      <c r="F730" s="14">
        <v>49</v>
      </c>
      <c r="G730" s="14">
        <v>65.8</v>
      </c>
      <c r="H730" s="18">
        <v>250</v>
      </c>
      <c r="I730" s="19">
        <v>249.34639000000001</v>
      </c>
      <c r="J730" s="12">
        <f t="shared" si="44"/>
        <v>0.65360999999998626</v>
      </c>
      <c r="K730" s="14">
        <f t="shared" si="45"/>
        <v>0.42720603209998204</v>
      </c>
      <c r="L730" s="14">
        <f t="shared" si="46"/>
        <v>0.26144399999999451</v>
      </c>
      <c r="M730" s="14">
        <f t="shared" si="47"/>
        <v>4</v>
      </c>
    </row>
    <row r="731" spans="1:13" x14ac:dyDescent="0.25">
      <c r="A731" s="14" t="s">
        <v>777</v>
      </c>
      <c r="B731" s="20"/>
      <c r="C731" s="16">
        <v>0.4861111111111111</v>
      </c>
      <c r="D731" s="17" t="s">
        <v>1076</v>
      </c>
      <c r="E731" s="14">
        <v>32.14</v>
      </c>
      <c r="F731" s="14">
        <v>47</v>
      </c>
      <c r="G731" s="14">
        <v>90.8</v>
      </c>
      <c r="H731" s="18">
        <v>272</v>
      </c>
      <c r="I731" s="19">
        <v>271.36579999999998</v>
      </c>
      <c r="J731" s="12">
        <f t="shared" si="44"/>
        <v>0.63420000000002119</v>
      </c>
      <c r="K731" s="14">
        <f t="shared" si="45"/>
        <v>0.4022096400000269</v>
      </c>
      <c r="L731" s="14">
        <f t="shared" si="46"/>
        <v>0.23316176470589015</v>
      </c>
      <c r="M731" s="14">
        <f t="shared" si="47"/>
        <v>5</v>
      </c>
    </row>
    <row r="732" spans="1:13" x14ac:dyDescent="0.25">
      <c r="A732" s="14" t="s">
        <v>778</v>
      </c>
      <c r="B732" s="21"/>
      <c r="C732" s="16">
        <v>0.5</v>
      </c>
      <c r="D732" s="17" t="s">
        <v>1076</v>
      </c>
      <c r="E732" s="14">
        <v>32.436000000000007</v>
      </c>
      <c r="F732" s="14">
        <v>46</v>
      </c>
      <c r="G732" s="14">
        <v>90.3</v>
      </c>
      <c r="H732" s="18">
        <v>303</v>
      </c>
      <c r="I732" s="19">
        <v>299.96892000000003</v>
      </c>
      <c r="J732" s="12">
        <f t="shared" si="44"/>
        <v>3.0310799999999745</v>
      </c>
      <c r="K732" s="14">
        <f t="shared" si="45"/>
        <v>9.1874459663998458</v>
      </c>
      <c r="L732" s="14">
        <f t="shared" si="46"/>
        <v>1.0003564356435559</v>
      </c>
      <c r="M732" s="14">
        <f t="shared" si="47"/>
        <v>1</v>
      </c>
    </row>
    <row r="733" spans="1:13" x14ac:dyDescent="0.25">
      <c r="A733" s="14" t="s">
        <v>779</v>
      </c>
      <c r="B733" s="15" t="s">
        <v>780</v>
      </c>
      <c r="C733" s="16">
        <v>0.375</v>
      </c>
      <c r="D733" s="17" t="s">
        <v>1076</v>
      </c>
      <c r="E733" s="14">
        <v>29.46</v>
      </c>
      <c r="F733" s="14">
        <v>66</v>
      </c>
      <c r="G733" s="14">
        <v>76.3</v>
      </c>
      <c r="H733" s="18">
        <v>112</v>
      </c>
      <c r="I733" s="19">
        <v>113.9862</v>
      </c>
      <c r="J733" s="12">
        <f t="shared" si="44"/>
        <v>1.9861999999999966</v>
      </c>
      <c r="K733" s="14">
        <f t="shared" si="45"/>
        <v>3.9449904399999864</v>
      </c>
      <c r="L733" s="14">
        <f t="shared" si="46"/>
        <v>1.7733928571428543</v>
      </c>
      <c r="M733" s="14">
        <f t="shared" si="47"/>
        <v>2</v>
      </c>
    </row>
    <row r="734" spans="1:13" x14ac:dyDescent="0.25">
      <c r="A734" s="14" t="s">
        <v>781</v>
      </c>
      <c r="B734" s="20"/>
      <c r="C734" s="16">
        <v>0.3888888888888889</v>
      </c>
      <c r="D734" s="17" t="s">
        <v>1076</v>
      </c>
      <c r="E734" s="14">
        <v>32.389000000000003</v>
      </c>
      <c r="F734" s="14">
        <v>62</v>
      </c>
      <c r="G734" s="14">
        <v>56.3</v>
      </c>
      <c r="H734" s="18">
        <v>295</v>
      </c>
      <c r="I734" s="19">
        <v>293.17383000000018</v>
      </c>
      <c r="J734" s="12">
        <f t="shared" si="44"/>
        <v>1.82616999999982</v>
      </c>
      <c r="K734" s="14">
        <f t="shared" si="45"/>
        <v>3.3348968688993423</v>
      </c>
      <c r="L734" s="14">
        <f t="shared" si="46"/>
        <v>0.61904067796604068</v>
      </c>
      <c r="M734" s="14">
        <f t="shared" si="47"/>
        <v>3</v>
      </c>
    </row>
    <row r="735" spans="1:13" x14ac:dyDescent="0.25">
      <c r="A735" s="14" t="s">
        <v>782</v>
      </c>
      <c r="B735" s="20"/>
      <c r="C735" s="16">
        <v>0.40277777777777779</v>
      </c>
      <c r="D735" s="17" t="s">
        <v>1076</v>
      </c>
      <c r="E735" s="14">
        <v>32.049999999999997</v>
      </c>
      <c r="F735" s="14">
        <v>47</v>
      </c>
      <c r="G735" s="14">
        <v>80.599999999999994</v>
      </c>
      <c r="H735" s="18">
        <v>274</v>
      </c>
      <c r="I735" s="19">
        <v>273.01350000000019</v>
      </c>
      <c r="J735" s="12">
        <f t="shared" si="44"/>
        <v>0.98649999999980764</v>
      </c>
      <c r="K735" s="14">
        <f t="shared" si="45"/>
        <v>0.97318224999962044</v>
      </c>
      <c r="L735" s="14">
        <f t="shared" si="46"/>
        <v>0.36003649635029478</v>
      </c>
      <c r="M735" s="14">
        <f t="shared" si="47"/>
        <v>4</v>
      </c>
    </row>
    <row r="736" spans="1:13" x14ac:dyDescent="0.25">
      <c r="A736" s="14" t="s">
        <v>783</v>
      </c>
      <c r="B736" s="20"/>
      <c r="C736" s="16">
        <v>0.41666666666666669</v>
      </c>
      <c r="D736" s="17" t="s">
        <v>1076</v>
      </c>
      <c r="E736" s="14">
        <v>33.650000000000013</v>
      </c>
      <c r="F736" s="14">
        <v>33</v>
      </c>
      <c r="G736" s="14">
        <v>76.5</v>
      </c>
      <c r="H736" s="18">
        <v>362</v>
      </c>
      <c r="I736" s="19">
        <v>363.16550000000001</v>
      </c>
      <c r="J736" s="12">
        <f t="shared" si="44"/>
        <v>1.1655000000000086</v>
      </c>
      <c r="K736" s="14">
        <f t="shared" si="45"/>
        <v>1.3583902500000202</v>
      </c>
      <c r="L736" s="14">
        <f t="shared" si="46"/>
        <v>0.32196132596685317</v>
      </c>
      <c r="M736" s="14">
        <f t="shared" si="47"/>
        <v>5</v>
      </c>
    </row>
    <row r="737" spans="1:13" x14ac:dyDescent="0.25">
      <c r="A737" s="14" t="s">
        <v>784</v>
      </c>
      <c r="B737" s="20"/>
      <c r="C737" s="16">
        <v>0.43055555555555558</v>
      </c>
      <c r="D737" s="17" t="s">
        <v>1076</v>
      </c>
      <c r="E737" s="14">
        <v>31.797999999999998</v>
      </c>
      <c r="F737" s="14">
        <v>57</v>
      </c>
      <c r="G737" s="14">
        <v>70.099999999999994</v>
      </c>
      <c r="H737" s="18">
        <v>278</v>
      </c>
      <c r="I737" s="19">
        <v>277.52</v>
      </c>
      <c r="J737" s="12">
        <f t="shared" si="44"/>
        <v>0.48000000000001819</v>
      </c>
      <c r="K737" s="14">
        <f t="shared" si="45"/>
        <v>0.23040000000001745</v>
      </c>
      <c r="L737" s="14">
        <f t="shared" si="46"/>
        <v>0.17266187050360365</v>
      </c>
      <c r="M737" s="14">
        <f t="shared" si="47"/>
        <v>1</v>
      </c>
    </row>
    <row r="738" spans="1:13" x14ac:dyDescent="0.25">
      <c r="A738" s="14" t="s">
        <v>785</v>
      </c>
      <c r="B738" s="20"/>
      <c r="C738" s="16">
        <v>0.44444444444444442</v>
      </c>
      <c r="D738" s="17" t="s">
        <v>1076</v>
      </c>
      <c r="E738" s="14">
        <v>32.793000000000013</v>
      </c>
      <c r="F738" s="14">
        <v>36</v>
      </c>
      <c r="G738" s="14">
        <v>85.2</v>
      </c>
      <c r="H738" s="18">
        <v>323</v>
      </c>
      <c r="I738" s="19">
        <v>321.19970999999998</v>
      </c>
      <c r="J738" s="12">
        <f t="shared" si="44"/>
        <v>1.8002900000000182</v>
      </c>
      <c r="K738" s="14">
        <f t="shared" si="45"/>
        <v>3.2410440841000652</v>
      </c>
      <c r="L738" s="14">
        <f t="shared" si="46"/>
        <v>0.55736532507740499</v>
      </c>
      <c r="M738" s="14">
        <f t="shared" si="47"/>
        <v>2</v>
      </c>
    </row>
    <row r="739" spans="1:13" x14ac:dyDescent="0.25">
      <c r="A739" s="14" t="s">
        <v>786</v>
      </c>
      <c r="B739" s="20"/>
      <c r="C739" s="16">
        <v>0.45833333333333331</v>
      </c>
      <c r="D739" s="17" t="s">
        <v>1076</v>
      </c>
      <c r="E739" s="14">
        <v>32.447000000000003</v>
      </c>
      <c r="F739" s="14">
        <v>35</v>
      </c>
      <c r="G739" s="14">
        <v>82.2</v>
      </c>
      <c r="H739" s="18">
        <v>278</v>
      </c>
      <c r="I739" s="19">
        <v>277.56</v>
      </c>
      <c r="J739" s="12">
        <f t="shared" si="44"/>
        <v>0.43999999999999773</v>
      </c>
      <c r="K739" s="14">
        <f t="shared" si="45"/>
        <v>0.193599999999998</v>
      </c>
      <c r="L739" s="14">
        <f t="shared" si="46"/>
        <v>0.15827338129496321</v>
      </c>
      <c r="M739" s="14">
        <f t="shared" si="47"/>
        <v>3</v>
      </c>
    </row>
    <row r="740" spans="1:13" x14ac:dyDescent="0.25">
      <c r="A740" s="14" t="s">
        <v>787</v>
      </c>
      <c r="B740" s="20"/>
      <c r="C740" s="16">
        <v>0.47222222222222221</v>
      </c>
      <c r="D740" s="17" t="s">
        <v>1076</v>
      </c>
      <c r="E740" s="14">
        <v>31.576000000000001</v>
      </c>
      <c r="F740" s="14">
        <v>36</v>
      </c>
      <c r="G740" s="14">
        <v>61.3</v>
      </c>
      <c r="H740" s="18">
        <v>247</v>
      </c>
      <c r="I740" s="19">
        <v>244.8247200000003</v>
      </c>
      <c r="J740" s="12">
        <f t="shared" si="44"/>
        <v>2.1752799999997023</v>
      </c>
      <c r="K740" s="14">
        <f t="shared" si="45"/>
        <v>4.7318430783987049</v>
      </c>
      <c r="L740" s="14">
        <f t="shared" si="46"/>
        <v>0.88068016194319931</v>
      </c>
      <c r="M740" s="14">
        <f t="shared" si="47"/>
        <v>4</v>
      </c>
    </row>
    <row r="741" spans="1:13" x14ac:dyDescent="0.25">
      <c r="A741" s="14" t="s">
        <v>788</v>
      </c>
      <c r="B741" s="20"/>
      <c r="C741" s="16">
        <v>0.4861111111111111</v>
      </c>
      <c r="D741" s="17" t="s">
        <v>1076</v>
      </c>
      <c r="E741" s="14">
        <v>33.171000000000006</v>
      </c>
      <c r="F741" s="14">
        <v>64</v>
      </c>
      <c r="G741" s="14">
        <v>84.9</v>
      </c>
      <c r="H741" s="18">
        <v>334</v>
      </c>
      <c r="I741" s="19">
        <v>336.67937000000001</v>
      </c>
      <c r="J741" s="12">
        <f t="shared" si="44"/>
        <v>2.6793700000000058</v>
      </c>
      <c r="K741" s="14">
        <f t="shared" si="45"/>
        <v>7.1790235969000307</v>
      </c>
      <c r="L741" s="14">
        <f t="shared" si="46"/>
        <v>0.80220658682634904</v>
      </c>
      <c r="M741" s="14">
        <f t="shared" si="47"/>
        <v>5</v>
      </c>
    </row>
    <row r="742" spans="1:13" x14ac:dyDescent="0.25">
      <c r="A742" s="14" t="s">
        <v>789</v>
      </c>
      <c r="B742" s="21"/>
      <c r="C742" s="16">
        <v>0.5</v>
      </c>
      <c r="D742" s="17" t="s">
        <v>1076</v>
      </c>
      <c r="E742" s="14">
        <v>32.326000000000008</v>
      </c>
      <c r="F742" s="14">
        <v>83</v>
      </c>
      <c r="G742" s="14">
        <v>68</v>
      </c>
      <c r="H742" s="18">
        <v>298</v>
      </c>
      <c r="I742" s="19">
        <v>297.42721999999998</v>
      </c>
      <c r="J742" s="12">
        <f t="shared" si="44"/>
        <v>0.57278000000002294</v>
      </c>
      <c r="K742" s="14">
        <f t="shared" si="45"/>
        <v>0.32807692840002628</v>
      </c>
      <c r="L742" s="14">
        <f t="shared" si="46"/>
        <v>0.19220805369128288</v>
      </c>
      <c r="M742" s="14">
        <f t="shared" si="47"/>
        <v>1</v>
      </c>
    </row>
    <row r="743" spans="1:13" x14ac:dyDescent="0.25">
      <c r="A743" s="14" t="s">
        <v>790</v>
      </c>
      <c r="B743" s="15" t="s">
        <v>791</v>
      </c>
      <c r="C743" s="16">
        <v>0.375</v>
      </c>
      <c r="D743" s="17" t="s">
        <v>1076</v>
      </c>
      <c r="E743" s="14">
        <v>31.831</v>
      </c>
      <c r="F743" s="14">
        <v>55</v>
      </c>
      <c r="G743" s="14">
        <v>59.2</v>
      </c>
      <c r="H743" s="18">
        <v>253</v>
      </c>
      <c r="I743" s="19">
        <v>254.98956999999999</v>
      </c>
      <c r="J743" s="12">
        <f t="shared" si="44"/>
        <v>1.9895699999999863</v>
      </c>
      <c r="K743" s="14">
        <f t="shared" si="45"/>
        <v>3.9583887848999453</v>
      </c>
      <c r="L743" s="14">
        <f t="shared" si="46"/>
        <v>0.78639130434782079</v>
      </c>
      <c r="M743" s="14">
        <f t="shared" si="47"/>
        <v>2</v>
      </c>
    </row>
    <row r="744" spans="1:13" x14ac:dyDescent="0.25">
      <c r="A744" s="14" t="s">
        <v>792</v>
      </c>
      <c r="B744" s="20"/>
      <c r="C744" s="16">
        <v>0.3888888888888889</v>
      </c>
      <c r="D744" s="17" t="s">
        <v>1076</v>
      </c>
      <c r="E744" s="14">
        <v>32.101999999999997</v>
      </c>
      <c r="F744" s="14">
        <v>68</v>
      </c>
      <c r="G744" s="14">
        <v>85.3</v>
      </c>
      <c r="H744" s="18">
        <v>275</v>
      </c>
      <c r="I744" s="19">
        <v>276.10594000000009</v>
      </c>
      <c r="J744" s="12">
        <f t="shared" si="44"/>
        <v>1.1059400000000892</v>
      </c>
      <c r="K744" s="14">
        <f t="shared" si="45"/>
        <v>1.2231032836001974</v>
      </c>
      <c r="L744" s="14">
        <f t="shared" si="46"/>
        <v>0.40216000000003244</v>
      </c>
      <c r="M744" s="14">
        <f t="shared" si="47"/>
        <v>3</v>
      </c>
    </row>
    <row r="745" spans="1:13" x14ac:dyDescent="0.25">
      <c r="A745" s="14" t="s">
        <v>793</v>
      </c>
      <c r="B745" s="20"/>
      <c r="C745" s="16">
        <v>0.40277777777777779</v>
      </c>
      <c r="D745" s="17" t="s">
        <v>1076</v>
      </c>
      <c r="E745" s="14">
        <v>32.685000000000002</v>
      </c>
      <c r="F745" s="14">
        <v>80</v>
      </c>
      <c r="G745" s="14">
        <v>75.099999999999994</v>
      </c>
      <c r="H745" s="18">
        <v>316</v>
      </c>
      <c r="I745" s="19">
        <v>314.77695</v>
      </c>
      <c r="J745" s="12">
        <f t="shared" si="44"/>
        <v>1.2230500000000006</v>
      </c>
      <c r="K745" s="14">
        <f t="shared" si="45"/>
        <v>1.4958513025000015</v>
      </c>
      <c r="L745" s="14">
        <f t="shared" si="46"/>
        <v>0.38704113924050654</v>
      </c>
      <c r="M745" s="14">
        <f t="shared" si="47"/>
        <v>4</v>
      </c>
    </row>
    <row r="746" spans="1:13" x14ac:dyDescent="0.25">
      <c r="A746" s="14" t="s">
        <v>794</v>
      </c>
      <c r="B746" s="20"/>
      <c r="C746" s="16">
        <v>0.41666666666666669</v>
      </c>
      <c r="D746" s="17" t="s">
        <v>1076</v>
      </c>
      <c r="E746" s="14">
        <v>33.595999999999997</v>
      </c>
      <c r="F746" s="14">
        <v>21</v>
      </c>
      <c r="G746" s="14">
        <v>84.9</v>
      </c>
      <c r="H746" s="18">
        <v>373</v>
      </c>
      <c r="I746" s="19">
        <v>371.95411999999999</v>
      </c>
      <c r="J746" s="12">
        <f t="shared" si="44"/>
        <v>1.045880000000011</v>
      </c>
      <c r="K746" s="14">
        <f t="shared" si="45"/>
        <v>1.0938649744000231</v>
      </c>
      <c r="L746" s="14">
        <f t="shared" si="46"/>
        <v>0.28039678284182601</v>
      </c>
      <c r="M746" s="14">
        <f t="shared" si="47"/>
        <v>5</v>
      </c>
    </row>
    <row r="747" spans="1:13" x14ac:dyDescent="0.25">
      <c r="A747" s="14" t="s">
        <v>795</v>
      </c>
      <c r="B747" s="20"/>
      <c r="C747" s="16">
        <v>0.43055555555555558</v>
      </c>
      <c r="D747" s="17" t="s">
        <v>1076</v>
      </c>
      <c r="E747" s="14">
        <v>31.920999999999999</v>
      </c>
      <c r="F747" s="14">
        <v>41</v>
      </c>
      <c r="G747" s="14">
        <v>79.8</v>
      </c>
      <c r="H747" s="18">
        <v>254</v>
      </c>
      <c r="I747" s="19">
        <v>253.34187</v>
      </c>
      <c r="J747" s="12">
        <f t="shared" si="44"/>
        <v>0.65812999999999988</v>
      </c>
      <c r="K747" s="14">
        <f t="shared" si="45"/>
        <v>0.43313509689999985</v>
      </c>
      <c r="L747" s="14">
        <f t="shared" si="46"/>
        <v>0.25910629921259837</v>
      </c>
      <c r="M747" s="14">
        <f t="shared" si="47"/>
        <v>1</v>
      </c>
    </row>
    <row r="748" spans="1:13" x14ac:dyDescent="0.25">
      <c r="A748" s="14" t="s">
        <v>796</v>
      </c>
      <c r="B748" s="20"/>
      <c r="C748" s="16">
        <v>0.44444444444444442</v>
      </c>
      <c r="D748" s="17" t="s">
        <v>1076</v>
      </c>
      <c r="E748" s="14">
        <v>32.871000000000002</v>
      </c>
      <c r="F748" s="14">
        <v>25</v>
      </c>
      <c r="G748" s="14">
        <v>75.400000000000006</v>
      </c>
      <c r="H748" s="18">
        <v>319</v>
      </c>
      <c r="I748" s="19">
        <v>321.83837000000022</v>
      </c>
      <c r="J748" s="12">
        <f t="shared" si="44"/>
        <v>2.838370000000225</v>
      </c>
      <c r="K748" s="14">
        <f t="shared" si="45"/>
        <v>8.0563442569012764</v>
      </c>
      <c r="L748" s="14">
        <f t="shared" si="46"/>
        <v>0.8897711598746787</v>
      </c>
      <c r="M748" s="14">
        <f t="shared" si="47"/>
        <v>2</v>
      </c>
    </row>
    <row r="749" spans="1:13" x14ac:dyDescent="0.25">
      <c r="A749" s="14" t="s">
        <v>797</v>
      </c>
      <c r="B749" s="20"/>
      <c r="C749" s="16">
        <v>0.45833333333333331</v>
      </c>
      <c r="D749" s="17" t="s">
        <v>1076</v>
      </c>
      <c r="E749" s="14">
        <v>32.386000000000003</v>
      </c>
      <c r="F749" s="14">
        <v>46</v>
      </c>
      <c r="G749" s="14">
        <v>93.3</v>
      </c>
      <c r="H749" s="18">
        <v>289</v>
      </c>
      <c r="I749" s="19">
        <v>292.99542000000019</v>
      </c>
      <c r="J749" s="12">
        <f t="shared" si="44"/>
        <v>3.9954200000001947</v>
      </c>
      <c r="K749" s="14">
        <f t="shared" si="45"/>
        <v>15.963380976401556</v>
      </c>
      <c r="L749" s="14">
        <f t="shared" si="46"/>
        <v>1.3824982698962611</v>
      </c>
      <c r="M749" s="14">
        <f t="shared" si="47"/>
        <v>3</v>
      </c>
    </row>
    <row r="750" spans="1:13" x14ac:dyDescent="0.25">
      <c r="A750" s="14" t="s">
        <v>798</v>
      </c>
      <c r="B750" s="20"/>
      <c r="C750" s="16">
        <v>0.47222222222222221</v>
      </c>
      <c r="D750" s="17" t="s">
        <v>1076</v>
      </c>
      <c r="E750" s="14">
        <v>32.865000000000002</v>
      </c>
      <c r="F750" s="14">
        <v>72</v>
      </c>
      <c r="G750" s="14">
        <v>62.8</v>
      </c>
      <c r="H750" s="18">
        <v>316</v>
      </c>
      <c r="I750" s="19">
        <v>319.48155000000003</v>
      </c>
      <c r="J750" s="12">
        <f t="shared" si="44"/>
        <v>3.481550000000027</v>
      </c>
      <c r="K750" s="14">
        <f t="shared" si="45"/>
        <v>12.121190402500188</v>
      </c>
      <c r="L750" s="14">
        <f t="shared" si="46"/>
        <v>1.1017563291139325</v>
      </c>
      <c r="M750" s="14">
        <f t="shared" si="47"/>
        <v>4</v>
      </c>
    </row>
    <row r="751" spans="1:13" x14ac:dyDescent="0.25">
      <c r="A751" s="14" t="s">
        <v>799</v>
      </c>
      <c r="B751" s="20"/>
      <c r="C751" s="16">
        <v>0.4861111111111111</v>
      </c>
      <c r="D751" s="17" t="s">
        <v>1076</v>
      </c>
      <c r="E751" s="14">
        <v>32.403000000000013</v>
      </c>
      <c r="F751" s="14">
        <v>20</v>
      </c>
      <c r="G751" s="14">
        <v>56.8</v>
      </c>
      <c r="H751" s="18">
        <v>311</v>
      </c>
      <c r="I751" s="19">
        <v>310.69</v>
      </c>
      <c r="J751" s="12">
        <f t="shared" si="44"/>
        <v>0.31000000000000227</v>
      </c>
      <c r="K751" s="14">
        <f t="shared" si="45"/>
        <v>9.6100000000001407E-2</v>
      </c>
      <c r="L751" s="14">
        <f t="shared" si="46"/>
        <v>9.967845659164061E-2</v>
      </c>
      <c r="M751" s="14">
        <f t="shared" si="47"/>
        <v>5</v>
      </c>
    </row>
    <row r="752" spans="1:13" x14ac:dyDescent="0.25">
      <c r="A752" s="14" t="s">
        <v>800</v>
      </c>
      <c r="B752" s="21"/>
      <c r="C752" s="16">
        <v>0.5</v>
      </c>
      <c r="D752" s="17" t="s">
        <v>1076</v>
      </c>
      <c r="E752" s="14">
        <v>32.523000000000003</v>
      </c>
      <c r="F752" s="14">
        <v>49</v>
      </c>
      <c r="G752" s="14">
        <v>68.2</v>
      </c>
      <c r="H752" s="18">
        <v>305</v>
      </c>
      <c r="I752" s="19">
        <v>301.14281000000011</v>
      </c>
      <c r="J752" s="12">
        <f t="shared" si="44"/>
        <v>3.8571899999998891</v>
      </c>
      <c r="K752" s="14">
        <f t="shared" si="45"/>
        <v>14.877914696099145</v>
      </c>
      <c r="L752" s="14">
        <f t="shared" si="46"/>
        <v>1.264652459016357</v>
      </c>
      <c r="M752" s="14">
        <f t="shared" si="47"/>
        <v>1</v>
      </c>
    </row>
    <row r="753" spans="1:13" x14ac:dyDescent="0.25">
      <c r="A753" s="14" t="s">
        <v>801</v>
      </c>
      <c r="B753" s="15" t="s">
        <v>802</v>
      </c>
      <c r="C753" s="16">
        <v>0.375</v>
      </c>
      <c r="D753" s="17" t="s">
        <v>1076</v>
      </c>
      <c r="E753" s="14">
        <v>31.372</v>
      </c>
      <c r="F753" s="14">
        <v>27</v>
      </c>
      <c r="G753" s="14">
        <v>60.5</v>
      </c>
      <c r="H753" s="18">
        <v>221</v>
      </c>
      <c r="I753" s="19">
        <v>219.69283999999999</v>
      </c>
      <c r="J753" s="12">
        <f t="shared" si="44"/>
        <v>1.3071600000000103</v>
      </c>
      <c r="K753" s="14">
        <f t="shared" si="45"/>
        <v>1.708667265600027</v>
      </c>
      <c r="L753" s="14">
        <f t="shared" si="46"/>
        <v>0.5914751131221766</v>
      </c>
      <c r="M753" s="14">
        <f t="shared" si="47"/>
        <v>2</v>
      </c>
    </row>
    <row r="754" spans="1:13" x14ac:dyDescent="0.25">
      <c r="A754" s="14" t="s">
        <v>803</v>
      </c>
      <c r="B754" s="20"/>
      <c r="C754" s="16">
        <v>0.3888888888888889</v>
      </c>
      <c r="D754" s="17" t="s">
        <v>1076</v>
      </c>
      <c r="E754" s="14">
        <v>32.527000000000001</v>
      </c>
      <c r="F754" s="14">
        <v>51</v>
      </c>
      <c r="G754" s="14">
        <v>57.8</v>
      </c>
      <c r="H754" s="18">
        <v>310</v>
      </c>
      <c r="I754" s="19">
        <v>308.38069000000002</v>
      </c>
      <c r="J754" s="12">
        <f t="shared" si="44"/>
        <v>1.6193099999999845</v>
      </c>
      <c r="K754" s="14">
        <f t="shared" si="45"/>
        <v>2.6221648760999496</v>
      </c>
      <c r="L754" s="14">
        <f t="shared" si="46"/>
        <v>0.5223580645161241</v>
      </c>
      <c r="M754" s="14">
        <f t="shared" si="47"/>
        <v>3</v>
      </c>
    </row>
    <row r="755" spans="1:13" x14ac:dyDescent="0.25">
      <c r="A755" s="14" t="s">
        <v>804</v>
      </c>
      <c r="B755" s="20"/>
      <c r="C755" s="16">
        <v>0.40277777777777779</v>
      </c>
      <c r="D755" s="17" t="s">
        <v>1076</v>
      </c>
      <c r="E755" s="14">
        <v>32.539000000000001</v>
      </c>
      <c r="F755" s="14">
        <v>72</v>
      </c>
      <c r="G755" s="14">
        <v>90</v>
      </c>
      <c r="H755" s="18">
        <v>322</v>
      </c>
      <c r="I755" s="19">
        <v>321.58999999999997</v>
      </c>
      <c r="J755" s="12">
        <f t="shared" si="44"/>
        <v>0.41000000000002501</v>
      </c>
      <c r="K755" s="14">
        <f t="shared" si="45"/>
        <v>0.16810000000002051</v>
      </c>
      <c r="L755" s="14">
        <f t="shared" si="46"/>
        <v>0.12732919254659161</v>
      </c>
      <c r="M755" s="14">
        <f t="shared" si="47"/>
        <v>4</v>
      </c>
    </row>
    <row r="756" spans="1:13" x14ac:dyDescent="0.25">
      <c r="A756" s="14" t="s">
        <v>805</v>
      </c>
      <c r="B756" s="20"/>
      <c r="C756" s="16">
        <v>0.41666666666666669</v>
      </c>
      <c r="D756" s="17" t="s">
        <v>1076</v>
      </c>
      <c r="E756" s="14">
        <v>31.626999999999999</v>
      </c>
      <c r="F756" s="14">
        <v>49</v>
      </c>
      <c r="G756" s="14">
        <v>93.1</v>
      </c>
      <c r="H756" s="18">
        <v>258</v>
      </c>
      <c r="I756" s="19">
        <v>259.51</v>
      </c>
      <c r="J756" s="12">
        <f t="shared" si="44"/>
        <v>1.5099999999999909</v>
      </c>
      <c r="K756" s="14">
        <f t="shared" si="45"/>
        <v>2.2800999999999725</v>
      </c>
      <c r="L756" s="14">
        <f t="shared" si="46"/>
        <v>0.58527131782945385</v>
      </c>
      <c r="M756" s="14">
        <f t="shared" si="47"/>
        <v>5</v>
      </c>
    </row>
    <row r="757" spans="1:13" x14ac:dyDescent="0.25">
      <c r="A757" s="14" t="s">
        <v>806</v>
      </c>
      <c r="B757" s="20"/>
      <c r="C757" s="16">
        <v>0.43055555555555558</v>
      </c>
      <c r="D757" s="17" t="s">
        <v>1076</v>
      </c>
      <c r="E757" s="14">
        <v>33.284000000000013</v>
      </c>
      <c r="F757" s="14">
        <v>67</v>
      </c>
      <c r="G757" s="14">
        <v>84.1</v>
      </c>
      <c r="H757" s="18">
        <v>332</v>
      </c>
      <c r="I757" s="19">
        <v>329.39947999999998</v>
      </c>
      <c r="J757" s="12">
        <f t="shared" si="44"/>
        <v>2.6005200000000173</v>
      </c>
      <c r="K757" s="14">
        <f t="shared" si="45"/>
        <v>6.7627042704000901</v>
      </c>
      <c r="L757" s="14">
        <f t="shared" si="46"/>
        <v>0.78328915662651122</v>
      </c>
      <c r="M757" s="14">
        <f t="shared" si="47"/>
        <v>1</v>
      </c>
    </row>
    <row r="758" spans="1:13" x14ac:dyDescent="0.25">
      <c r="A758" s="14" t="s">
        <v>807</v>
      </c>
      <c r="B758" s="20"/>
      <c r="C758" s="16">
        <v>0.44444444444444442</v>
      </c>
      <c r="D758" s="17" t="s">
        <v>1076</v>
      </c>
      <c r="E758" s="14">
        <v>33.19</v>
      </c>
      <c r="F758" s="14">
        <v>24</v>
      </c>
      <c r="G758" s="14">
        <v>62.1</v>
      </c>
      <c r="H758" s="18">
        <v>337</v>
      </c>
      <c r="I758" s="19">
        <v>340.80929999999989</v>
      </c>
      <c r="J758" s="12">
        <f t="shared" si="44"/>
        <v>3.8092999999998938</v>
      </c>
      <c r="K758" s="14">
        <f t="shared" si="45"/>
        <v>14.51076648999919</v>
      </c>
      <c r="L758" s="14">
        <f t="shared" si="46"/>
        <v>1.1303560830860218</v>
      </c>
      <c r="M758" s="14">
        <f t="shared" si="47"/>
        <v>2</v>
      </c>
    </row>
    <row r="759" spans="1:13" x14ac:dyDescent="0.25">
      <c r="A759" s="14" t="s">
        <v>808</v>
      </c>
      <c r="B759" s="20"/>
      <c r="C759" s="16">
        <v>0.45833333333333331</v>
      </c>
      <c r="D759" s="17" t="s">
        <v>1076</v>
      </c>
      <c r="E759" s="14">
        <v>32.404000000000003</v>
      </c>
      <c r="F759" s="14">
        <v>25</v>
      </c>
      <c r="G759" s="14">
        <v>90.6</v>
      </c>
      <c r="H759" s="18">
        <v>306</v>
      </c>
      <c r="I759" s="19">
        <v>304.18</v>
      </c>
      <c r="J759" s="12">
        <f t="shared" si="44"/>
        <v>1.8199999999999932</v>
      </c>
      <c r="K759" s="14">
        <f t="shared" si="45"/>
        <v>3.3123999999999754</v>
      </c>
      <c r="L759" s="14">
        <f t="shared" si="46"/>
        <v>0.59477124183006314</v>
      </c>
      <c r="M759" s="14">
        <f t="shared" si="47"/>
        <v>3</v>
      </c>
    </row>
    <row r="760" spans="1:13" x14ac:dyDescent="0.25">
      <c r="A760" s="14" t="s">
        <v>809</v>
      </c>
      <c r="B760" s="20"/>
      <c r="C760" s="16">
        <v>0.47222222222222221</v>
      </c>
      <c r="D760" s="17" t="s">
        <v>1076</v>
      </c>
      <c r="E760" s="14">
        <v>31.795999999999999</v>
      </c>
      <c r="F760" s="14">
        <v>82</v>
      </c>
      <c r="G760" s="14">
        <v>78.099999999999994</v>
      </c>
      <c r="H760" s="18">
        <v>251</v>
      </c>
      <c r="I760" s="19">
        <v>254.90812</v>
      </c>
      <c r="J760" s="12">
        <f t="shared" si="44"/>
        <v>3.9081199999999967</v>
      </c>
      <c r="K760" s="14">
        <f t="shared" si="45"/>
        <v>15.273401934399974</v>
      </c>
      <c r="L760" s="14">
        <f t="shared" si="46"/>
        <v>1.5570199203187238</v>
      </c>
      <c r="M760" s="14">
        <f t="shared" si="47"/>
        <v>4</v>
      </c>
    </row>
    <row r="761" spans="1:13" x14ac:dyDescent="0.25">
      <c r="A761" s="14" t="s">
        <v>810</v>
      </c>
      <c r="B761" s="20"/>
      <c r="C761" s="16">
        <v>0.4861111111111111</v>
      </c>
      <c r="D761" s="17" t="s">
        <v>1076</v>
      </c>
      <c r="E761" s="14">
        <v>32.701000000000008</v>
      </c>
      <c r="F761" s="14">
        <v>74</v>
      </c>
      <c r="G761" s="14">
        <v>60.4</v>
      </c>
      <c r="H761" s="18">
        <v>316</v>
      </c>
      <c r="I761" s="19">
        <v>311.72847000000053</v>
      </c>
      <c r="J761" s="12">
        <f t="shared" si="44"/>
        <v>4.2715299999994727</v>
      </c>
      <c r="K761" s="14">
        <f t="shared" si="45"/>
        <v>18.245968540895497</v>
      </c>
      <c r="L761" s="14">
        <f t="shared" si="46"/>
        <v>1.351749999999833</v>
      </c>
      <c r="M761" s="14">
        <f t="shared" si="47"/>
        <v>5</v>
      </c>
    </row>
    <row r="762" spans="1:13" x14ac:dyDescent="0.25">
      <c r="A762" s="14" t="s">
        <v>811</v>
      </c>
      <c r="B762" s="21"/>
      <c r="C762" s="16">
        <v>0.5</v>
      </c>
      <c r="D762" s="17" t="s">
        <v>1076</v>
      </c>
      <c r="E762" s="14">
        <v>32.067000000000007</v>
      </c>
      <c r="F762" s="14">
        <v>84</v>
      </c>
      <c r="G762" s="14">
        <v>60.6</v>
      </c>
      <c r="H762" s="18">
        <v>281</v>
      </c>
      <c r="I762" s="19">
        <v>279.02449000000001</v>
      </c>
      <c r="J762" s="12">
        <f t="shared" si="44"/>
        <v>1.9755099999999857</v>
      </c>
      <c r="K762" s="14">
        <f t="shared" si="45"/>
        <v>3.9026397600999432</v>
      </c>
      <c r="L762" s="14">
        <f t="shared" si="46"/>
        <v>0.70302846975088462</v>
      </c>
      <c r="M762" s="14">
        <f t="shared" si="47"/>
        <v>1</v>
      </c>
    </row>
    <row r="763" spans="1:13" x14ac:dyDescent="0.25">
      <c r="A763" s="14" t="s">
        <v>812</v>
      </c>
      <c r="B763" s="15" t="s">
        <v>813</v>
      </c>
      <c r="C763" s="16">
        <v>0.375</v>
      </c>
      <c r="D763" s="17" t="s">
        <v>1076</v>
      </c>
      <c r="E763" s="14">
        <v>31.94</v>
      </c>
      <c r="F763" s="14">
        <v>76</v>
      </c>
      <c r="G763" s="14">
        <v>80.3</v>
      </c>
      <c r="H763" s="18">
        <v>258</v>
      </c>
      <c r="I763" s="19">
        <v>255.4718</v>
      </c>
      <c r="J763" s="12">
        <f t="shared" si="44"/>
        <v>2.5281999999999982</v>
      </c>
      <c r="K763" s="14">
        <f t="shared" si="45"/>
        <v>6.3917952399999907</v>
      </c>
      <c r="L763" s="14">
        <f t="shared" si="46"/>
        <v>0.9799224806201543</v>
      </c>
      <c r="M763" s="14">
        <f t="shared" si="47"/>
        <v>2</v>
      </c>
    </row>
    <row r="764" spans="1:13" x14ac:dyDescent="0.25">
      <c r="A764" s="14" t="s">
        <v>814</v>
      </c>
      <c r="B764" s="20"/>
      <c r="C764" s="16">
        <v>0.3888888888888889</v>
      </c>
      <c r="D764" s="17" t="s">
        <v>1076</v>
      </c>
      <c r="E764" s="14">
        <v>32.116999999999997</v>
      </c>
      <c r="F764" s="14">
        <v>71</v>
      </c>
      <c r="G764" s="14">
        <v>58.7</v>
      </c>
      <c r="H764" s="18">
        <v>277</v>
      </c>
      <c r="I764" s="19">
        <v>276.9979900000003</v>
      </c>
      <c r="J764" s="12">
        <f t="shared" si="44"/>
        <v>2.009999999700085E-3</v>
      </c>
      <c r="K764" s="14">
        <f t="shared" si="45"/>
        <v>4.0400999987943414E-6</v>
      </c>
      <c r="L764" s="14">
        <f t="shared" si="46"/>
        <v>7.2563176884479601E-4</v>
      </c>
      <c r="M764" s="14">
        <f t="shared" si="47"/>
        <v>3</v>
      </c>
    </row>
    <row r="765" spans="1:13" x14ac:dyDescent="0.25">
      <c r="A765" s="14" t="s">
        <v>815</v>
      </c>
      <c r="B765" s="20"/>
      <c r="C765" s="16">
        <v>0.40277777777777779</v>
      </c>
      <c r="D765" s="17" t="s">
        <v>1076</v>
      </c>
      <c r="E765" s="14">
        <v>31.88</v>
      </c>
      <c r="F765" s="14">
        <v>84</v>
      </c>
      <c r="G765" s="14">
        <v>86.1</v>
      </c>
      <c r="H765" s="18">
        <v>233</v>
      </c>
      <c r="I765" s="19">
        <v>231.52</v>
      </c>
      <c r="J765" s="12">
        <f t="shared" si="44"/>
        <v>1.4799999999999898</v>
      </c>
      <c r="K765" s="14">
        <f t="shared" si="45"/>
        <v>2.1903999999999697</v>
      </c>
      <c r="L765" s="14">
        <f t="shared" si="46"/>
        <v>0.63519313304720593</v>
      </c>
      <c r="M765" s="14">
        <f t="shared" si="47"/>
        <v>4</v>
      </c>
    </row>
    <row r="766" spans="1:13" x14ac:dyDescent="0.25">
      <c r="A766" s="14" t="s">
        <v>816</v>
      </c>
      <c r="B766" s="20"/>
      <c r="C766" s="16">
        <v>0.41666666666666669</v>
      </c>
      <c r="D766" s="17" t="s">
        <v>1076</v>
      </c>
      <c r="E766" s="14">
        <v>31.887</v>
      </c>
      <c r="F766" s="14">
        <v>68</v>
      </c>
      <c r="G766" s="14">
        <v>85.8</v>
      </c>
      <c r="H766" s="18">
        <v>254</v>
      </c>
      <c r="I766" s="19">
        <v>252.31988999999999</v>
      </c>
      <c r="J766" s="12">
        <f t="shared" si="44"/>
        <v>1.6801100000000133</v>
      </c>
      <c r="K766" s="14">
        <f t="shared" si="45"/>
        <v>2.822769612100045</v>
      </c>
      <c r="L766" s="14">
        <f t="shared" si="46"/>
        <v>0.66146062992126509</v>
      </c>
      <c r="M766" s="14">
        <f t="shared" si="47"/>
        <v>5</v>
      </c>
    </row>
    <row r="767" spans="1:13" x14ac:dyDescent="0.25">
      <c r="A767" s="14" t="s">
        <v>817</v>
      </c>
      <c r="B767" s="20"/>
      <c r="C767" s="16">
        <v>0.43055555555555558</v>
      </c>
      <c r="D767" s="17" t="s">
        <v>1076</v>
      </c>
      <c r="E767" s="14">
        <v>32.595999999999997</v>
      </c>
      <c r="F767" s="14">
        <v>25</v>
      </c>
      <c r="G767" s="14">
        <v>57.5</v>
      </c>
      <c r="H767" s="18">
        <v>303</v>
      </c>
      <c r="I767" s="19">
        <v>305.48412000000008</v>
      </c>
      <c r="J767" s="12">
        <f t="shared" si="44"/>
        <v>2.4841200000000754</v>
      </c>
      <c r="K767" s="14">
        <f t="shared" si="45"/>
        <v>6.1708521744003741</v>
      </c>
      <c r="L767" s="14">
        <f t="shared" si="46"/>
        <v>0.81984158415844066</v>
      </c>
      <c r="M767" s="14">
        <f t="shared" si="47"/>
        <v>1</v>
      </c>
    </row>
    <row r="768" spans="1:13" x14ac:dyDescent="0.25">
      <c r="A768" s="14" t="s">
        <v>818</v>
      </c>
      <c r="B768" s="20"/>
      <c r="C768" s="16">
        <v>0.44444444444444442</v>
      </c>
      <c r="D768" s="17" t="s">
        <v>1076</v>
      </c>
      <c r="E768" s="14">
        <v>32.066000000000003</v>
      </c>
      <c r="F768" s="14">
        <v>51</v>
      </c>
      <c r="G768" s="14">
        <v>83.1</v>
      </c>
      <c r="H768" s="18">
        <v>262</v>
      </c>
      <c r="I768" s="19">
        <v>259.96501999999998</v>
      </c>
      <c r="J768" s="12">
        <f t="shared" si="44"/>
        <v>2.0349800000000187</v>
      </c>
      <c r="K768" s="14">
        <f t="shared" si="45"/>
        <v>4.1411436004000759</v>
      </c>
      <c r="L768" s="14">
        <f t="shared" si="46"/>
        <v>0.77670992366412928</v>
      </c>
      <c r="M768" s="14">
        <f t="shared" si="47"/>
        <v>2</v>
      </c>
    </row>
    <row r="769" spans="1:13" x14ac:dyDescent="0.25">
      <c r="A769" s="14" t="s">
        <v>819</v>
      </c>
      <c r="B769" s="20"/>
      <c r="C769" s="16">
        <v>0.45833333333333331</v>
      </c>
      <c r="D769" s="17" t="s">
        <v>1076</v>
      </c>
      <c r="E769" s="14">
        <v>33.523000000000003</v>
      </c>
      <c r="F769" s="14">
        <v>52</v>
      </c>
      <c r="G769" s="14">
        <v>77.900000000000006</v>
      </c>
      <c r="H769" s="18">
        <v>376</v>
      </c>
      <c r="I769" s="19">
        <v>375.19</v>
      </c>
      <c r="J769" s="12">
        <f t="shared" si="44"/>
        <v>0.81000000000000227</v>
      </c>
      <c r="K769" s="14">
        <f t="shared" si="45"/>
        <v>0.65610000000000368</v>
      </c>
      <c r="L769" s="14">
        <f t="shared" si="46"/>
        <v>0.21542553191489425</v>
      </c>
      <c r="M769" s="14">
        <f t="shared" si="47"/>
        <v>3</v>
      </c>
    </row>
    <row r="770" spans="1:13" x14ac:dyDescent="0.25">
      <c r="A770" s="14" t="s">
        <v>820</v>
      </c>
      <c r="B770" s="20"/>
      <c r="C770" s="16">
        <v>0.47222222222222221</v>
      </c>
      <c r="D770" s="17" t="s">
        <v>1076</v>
      </c>
      <c r="E770" s="14">
        <v>32.866</v>
      </c>
      <c r="F770" s="14">
        <v>49</v>
      </c>
      <c r="G770" s="14">
        <v>56.6</v>
      </c>
      <c r="H770" s="18">
        <v>308</v>
      </c>
      <c r="I770" s="19">
        <v>306.54102</v>
      </c>
      <c r="J770" s="12">
        <f t="shared" si="44"/>
        <v>1.4589799999999968</v>
      </c>
      <c r="K770" s="14">
        <f t="shared" si="45"/>
        <v>2.1286226403999908</v>
      </c>
      <c r="L770" s="14">
        <f t="shared" si="46"/>
        <v>0.47369480519480417</v>
      </c>
      <c r="M770" s="14">
        <f t="shared" si="47"/>
        <v>4</v>
      </c>
    </row>
    <row r="771" spans="1:13" x14ac:dyDescent="0.25">
      <c r="A771" s="14" t="s">
        <v>821</v>
      </c>
      <c r="B771" s="20"/>
      <c r="C771" s="16">
        <v>0.4861111111111111</v>
      </c>
      <c r="D771" s="17" t="s">
        <v>1076</v>
      </c>
      <c r="E771" s="14">
        <v>31.503</v>
      </c>
      <c r="F771" s="14">
        <v>63</v>
      </c>
      <c r="G771" s="14">
        <v>81</v>
      </c>
      <c r="H771" s="18">
        <v>237</v>
      </c>
      <c r="I771" s="19">
        <v>240.4834100000003</v>
      </c>
      <c r="J771" s="12">
        <f t="shared" ref="J771:J834" si="48">IF(OR(H771="",I771=""),"",ABS(H771-I771))</f>
        <v>3.4834100000003048</v>
      </c>
      <c r="K771" s="14">
        <f t="shared" ref="K771:K834" si="49">IF(OR(H771="",I771=""),"",(H771-I771)^2)</f>
        <v>12.134145228102124</v>
      </c>
      <c r="L771" s="14">
        <f t="shared" ref="L771:L834" si="50">IF(OR(H771="",I771=""),"",IF(H771=0,"",ABS((H771-I771)/H771)*100))</f>
        <v>1.4697932489452763</v>
      </c>
      <c r="M771" s="14">
        <f t="shared" ref="M771:M834" si="51">MOD(ROW()-2,5)+1</f>
        <v>5</v>
      </c>
    </row>
    <row r="772" spans="1:13" x14ac:dyDescent="0.25">
      <c r="A772" s="14" t="s">
        <v>822</v>
      </c>
      <c r="B772" s="21"/>
      <c r="C772" s="16">
        <v>0.5</v>
      </c>
      <c r="D772" s="17" t="s">
        <v>1076</v>
      </c>
      <c r="E772" s="14">
        <v>32.146000000000001</v>
      </c>
      <c r="F772" s="14">
        <v>33</v>
      </c>
      <c r="G772" s="14">
        <v>71.5</v>
      </c>
      <c r="H772" s="18">
        <v>280</v>
      </c>
      <c r="I772" s="19">
        <v>278.72262000000001</v>
      </c>
      <c r="J772" s="12">
        <f t="shared" si="48"/>
        <v>1.2773799999999937</v>
      </c>
      <c r="K772" s="14">
        <f t="shared" si="49"/>
        <v>1.6316996643999839</v>
      </c>
      <c r="L772" s="14">
        <f t="shared" si="50"/>
        <v>0.45620714285714059</v>
      </c>
      <c r="M772" s="14">
        <f t="shared" si="51"/>
        <v>1</v>
      </c>
    </row>
    <row r="773" spans="1:13" x14ac:dyDescent="0.25">
      <c r="A773" s="14" t="s">
        <v>823</v>
      </c>
      <c r="B773" s="15" t="s">
        <v>824</v>
      </c>
      <c r="C773" s="16">
        <v>0.375</v>
      </c>
      <c r="D773" s="17" t="s">
        <v>1076</v>
      </c>
      <c r="E773" s="14">
        <v>31.867999999999999</v>
      </c>
      <c r="F773" s="14">
        <v>83</v>
      </c>
      <c r="G773" s="14">
        <v>73.2</v>
      </c>
      <c r="H773" s="18">
        <v>276</v>
      </c>
      <c r="I773" s="19">
        <v>274.56</v>
      </c>
      <c r="J773" s="12">
        <f t="shared" si="48"/>
        <v>1.4399999999999977</v>
      </c>
      <c r="K773" s="14">
        <f t="shared" si="49"/>
        <v>2.0735999999999937</v>
      </c>
      <c r="L773" s="14">
        <f t="shared" si="50"/>
        <v>0.52173913043478182</v>
      </c>
      <c r="M773" s="14">
        <f t="shared" si="51"/>
        <v>2</v>
      </c>
    </row>
    <row r="774" spans="1:13" x14ac:dyDescent="0.25">
      <c r="A774" s="14" t="s">
        <v>825</v>
      </c>
      <c r="B774" s="20"/>
      <c r="C774" s="16">
        <v>0.3888888888888889</v>
      </c>
      <c r="D774" s="17" t="s">
        <v>1076</v>
      </c>
      <c r="E774" s="14">
        <v>32.497999999999998</v>
      </c>
      <c r="F774" s="14">
        <v>54</v>
      </c>
      <c r="G774" s="14">
        <v>70.7</v>
      </c>
      <c r="H774" s="18">
        <v>286</v>
      </c>
      <c r="I774" s="19">
        <v>281.65606000000002</v>
      </c>
      <c r="J774" s="12">
        <f t="shared" si="48"/>
        <v>4.343939999999975</v>
      </c>
      <c r="K774" s="14">
        <f t="shared" si="49"/>
        <v>18.869814723599784</v>
      </c>
      <c r="L774" s="14">
        <f t="shared" si="50"/>
        <v>1.5188601398601311</v>
      </c>
      <c r="M774" s="14">
        <f t="shared" si="51"/>
        <v>3</v>
      </c>
    </row>
    <row r="775" spans="1:13" x14ac:dyDescent="0.25">
      <c r="A775" s="14" t="s">
        <v>826</v>
      </c>
      <c r="B775" s="20"/>
      <c r="C775" s="16">
        <v>0.40277777777777779</v>
      </c>
      <c r="D775" s="17" t="s">
        <v>1076</v>
      </c>
      <c r="E775" s="14">
        <v>34.252000000000002</v>
      </c>
      <c r="F775" s="14">
        <v>71</v>
      </c>
      <c r="G775" s="14">
        <v>59</v>
      </c>
      <c r="H775" s="18">
        <v>415</v>
      </c>
      <c r="I775" s="19">
        <v>413.89</v>
      </c>
      <c r="J775" s="12">
        <f t="shared" si="48"/>
        <v>1.1100000000000136</v>
      </c>
      <c r="K775" s="14">
        <f t="shared" si="49"/>
        <v>1.2321000000000304</v>
      </c>
      <c r="L775" s="14">
        <f t="shared" si="50"/>
        <v>0.2674698795180756</v>
      </c>
      <c r="M775" s="14">
        <f t="shared" si="51"/>
        <v>4</v>
      </c>
    </row>
    <row r="776" spans="1:13" x14ac:dyDescent="0.25">
      <c r="A776" s="14" t="s">
        <v>827</v>
      </c>
      <c r="B776" s="20"/>
      <c r="C776" s="16">
        <v>0.41666666666666669</v>
      </c>
      <c r="D776" s="17" t="s">
        <v>1076</v>
      </c>
      <c r="E776" s="14">
        <v>33.902000000000001</v>
      </c>
      <c r="F776" s="14">
        <v>31</v>
      </c>
      <c r="G776" s="14">
        <v>93.9</v>
      </c>
      <c r="H776" s="18">
        <v>384</v>
      </c>
      <c r="I776" s="19">
        <v>383.15194000000002</v>
      </c>
      <c r="J776" s="12">
        <f t="shared" si="48"/>
        <v>0.84805999999997539</v>
      </c>
      <c r="K776" s="14">
        <f t="shared" si="49"/>
        <v>0.71920576359995825</v>
      </c>
      <c r="L776" s="14">
        <f t="shared" si="50"/>
        <v>0.22084895833332693</v>
      </c>
      <c r="M776" s="14">
        <f t="shared" si="51"/>
        <v>5</v>
      </c>
    </row>
    <row r="777" spans="1:13" x14ac:dyDescent="0.25">
      <c r="A777" s="14" t="s">
        <v>828</v>
      </c>
      <c r="B777" s="20"/>
      <c r="C777" s="16">
        <v>0.43055555555555558</v>
      </c>
      <c r="D777" s="17" t="s">
        <v>1076</v>
      </c>
      <c r="E777" s="14">
        <v>32.706000000000003</v>
      </c>
      <c r="F777" s="14">
        <v>72</v>
      </c>
      <c r="G777" s="14">
        <v>57.5</v>
      </c>
      <c r="H777" s="18">
        <v>303</v>
      </c>
      <c r="I777" s="19">
        <v>299.02582000000001</v>
      </c>
      <c r="J777" s="12">
        <f t="shared" si="48"/>
        <v>3.9741799999999898</v>
      </c>
      <c r="K777" s="14">
        <f t="shared" si="49"/>
        <v>15.79410667239992</v>
      </c>
      <c r="L777" s="14">
        <f t="shared" si="50"/>
        <v>1.3116105610561024</v>
      </c>
      <c r="M777" s="14">
        <f t="shared" si="51"/>
        <v>1</v>
      </c>
    </row>
    <row r="778" spans="1:13" x14ac:dyDescent="0.25">
      <c r="A778" s="14" t="s">
        <v>829</v>
      </c>
      <c r="B778" s="20"/>
      <c r="C778" s="16">
        <v>0.44444444444444442</v>
      </c>
      <c r="D778" s="17" t="s">
        <v>1076</v>
      </c>
      <c r="E778" s="14">
        <v>32.007000000000012</v>
      </c>
      <c r="F778" s="14">
        <v>65</v>
      </c>
      <c r="G778" s="14">
        <v>81.599999999999994</v>
      </c>
      <c r="H778" s="18">
        <v>275</v>
      </c>
      <c r="I778" s="19">
        <v>271.45629000000002</v>
      </c>
      <c r="J778" s="12">
        <f t="shared" si="48"/>
        <v>3.5437099999999759</v>
      </c>
      <c r="K778" s="14">
        <f t="shared" si="49"/>
        <v>12.557880564099829</v>
      </c>
      <c r="L778" s="14">
        <f t="shared" si="50"/>
        <v>1.2886218181818094</v>
      </c>
      <c r="M778" s="14">
        <f t="shared" si="51"/>
        <v>2</v>
      </c>
    </row>
    <row r="779" spans="1:13" x14ac:dyDescent="0.25">
      <c r="A779" s="14" t="s">
        <v>830</v>
      </c>
      <c r="B779" s="20"/>
      <c r="C779" s="16">
        <v>0.45833333333333331</v>
      </c>
      <c r="D779" s="17" t="s">
        <v>1076</v>
      </c>
      <c r="E779" s="14">
        <v>31.606000000000002</v>
      </c>
      <c r="F779" s="14">
        <v>24</v>
      </c>
      <c r="G779" s="14">
        <v>84</v>
      </c>
      <c r="H779" s="18">
        <v>249</v>
      </c>
      <c r="I779" s="19">
        <v>246.60882000000021</v>
      </c>
      <c r="J779" s="12">
        <f t="shared" si="48"/>
        <v>2.3911799999997925</v>
      </c>
      <c r="K779" s="14">
        <f t="shared" si="49"/>
        <v>5.7177417923990079</v>
      </c>
      <c r="L779" s="14">
        <f t="shared" si="50"/>
        <v>0.9603132530119648</v>
      </c>
      <c r="M779" s="14">
        <f t="shared" si="51"/>
        <v>3</v>
      </c>
    </row>
    <row r="780" spans="1:13" x14ac:dyDescent="0.25">
      <c r="A780" s="14" t="s">
        <v>831</v>
      </c>
      <c r="B780" s="20"/>
      <c r="C780" s="16">
        <v>0.47222222222222221</v>
      </c>
      <c r="D780" s="17" t="s">
        <v>1076</v>
      </c>
      <c r="E780" s="14">
        <v>33.338000000000001</v>
      </c>
      <c r="F780" s="14">
        <v>24</v>
      </c>
      <c r="G780" s="14">
        <v>89.8</v>
      </c>
      <c r="H780" s="18">
        <v>344</v>
      </c>
      <c r="I780" s="19">
        <v>345.61086</v>
      </c>
      <c r="J780" s="12">
        <f t="shared" si="48"/>
        <v>1.6108600000000024</v>
      </c>
      <c r="K780" s="14">
        <f t="shared" si="49"/>
        <v>2.5948699396000077</v>
      </c>
      <c r="L780" s="14">
        <f t="shared" si="50"/>
        <v>0.46827325581395418</v>
      </c>
      <c r="M780" s="14">
        <f t="shared" si="51"/>
        <v>4</v>
      </c>
    </row>
    <row r="781" spans="1:13" x14ac:dyDescent="0.25">
      <c r="A781" s="14" t="s">
        <v>832</v>
      </c>
      <c r="B781" s="20"/>
      <c r="C781" s="16">
        <v>0.4861111111111111</v>
      </c>
      <c r="D781" s="17" t="s">
        <v>1076</v>
      </c>
      <c r="E781" s="14">
        <v>32.325000000000003</v>
      </c>
      <c r="F781" s="14">
        <v>50</v>
      </c>
      <c r="G781" s="14">
        <v>89.3</v>
      </c>
      <c r="H781" s="18">
        <v>290</v>
      </c>
      <c r="I781" s="19">
        <v>289.36775000000011</v>
      </c>
      <c r="J781" s="12">
        <f t="shared" si="48"/>
        <v>0.6322499999998854</v>
      </c>
      <c r="K781" s="14">
        <f t="shared" si="49"/>
        <v>0.39974006249985511</v>
      </c>
      <c r="L781" s="14">
        <f t="shared" si="50"/>
        <v>0.21801724137927081</v>
      </c>
      <c r="M781" s="14">
        <f t="shared" si="51"/>
        <v>5</v>
      </c>
    </row>
    <row r="782" spans="1:13" x14ac:dyDescent="0.25">
      <c r="A782" s="14" t="s">
        <v>833</v>
      </c>
      <c r="B782" s="21"/>
      <c r="C782" s="16">
        <v>0.5</v>
      </c>
      <c r="D782" s="17" t="s">
        <v>1076</v>
      </c>
      <c r="E782" s="14">
        <v>32.781000000000013</v>
      </c>
      <c r="F782" s="14">
        <v>40</v>
      </c>
      <c r="G782" s="14">
        <v>82.1</v>
      </c>
      <c r="H782" s="18">
        <v>313</v>
      </c>
      <c r="I782" s="19">
        <v>316.48607000000038</v>
      </c>
      <c r="J782" s="12">
        <f t="shared" si="48"/>
        <v>3.4860700000003817</v>
      </c>
      <c r="K782" s="14">
        <f t="shared" si="49"/>
        <v>12.152684044902662</v>
      </c>
      <c r="L782" s="14">
        <f t="shared" si="50"/>
        <v>1.1137603833867034</v>
      </c>
      <c r="M782" s="14">
        <f t="shared" si="51"/>
        <v>1</v>
      </c>
    </row>
    <row r="783" spans="1:13" x14ac:dyDescent="0.25">
      <c r="A783" s="14" t="s">
        <v>834</v>
      </c>
      <c r="B783" s="15" t="s">
        <v>835</v>
      </c>
      <c r="C783" s="16">
        <v>0.375</v>
      </c>
      <c r="D783" s="17" t="s">
        <v>1076</v>
      </c>
      <c r="E783" s="14">
        <v>32.298000000000002</v>
      </c>
      <c r="F783" s="14">
        <v>36</v>
      </c>
      <c r="G783" s="14">
        <v>81.5</v>
      </c>
      <c r="H783" s="18">
        <v>289</v>
      </c>
      <c r="I783" s="19">
        <v>287.76206000000002</v>
      </c>
      <c r="J783" s="12">
        <f t="shared" si="48"/>
        <v>1.2379399999999805</v>
      </c>
      <c r="K783" s="14">
        <f t="shared" si="49"/>
        <v>1.5324954435999518</v>
      </c>
      <c r="L783" s="14">
        <f t="shared" si="50"/>
        <v>0.42835294117646383</v>
      </c>
      <c r="M783" s="14">
        <f t="shared" si="51"/>
        <v>2</v>
      </c>
    </row>
    <row r="784" spans="1:13" x14ac:dyDescent="0.25">
      <c r="A784" s="14" t="s">
        <v>836</v>
      </c>
      <c r="B784" s="20"/>
      <c r="C784" s="16">
        <v>0.3888888888888889</v>
      </c>
      <c r="D784" s="17" t="s">
        <v>1076</v>
      </c>
      <c r="E784" s="14">
        <v>32.460000000000008</v>
      </c>
      <c r="F784" s="14">
        <v>36</v>
      </c>
      <c r="G784" s="14">
        <v>61.7</v>
      </c>
      <c r="H784" s="18">
        <v>304</v>
      </c>
      <c r="I784" s="19">
        <v>302.39620000000002</v>
      </c>
      <c r="J784" s="12">
        <f t="shared" si="48"/>
        <v>1.6037999999999784</v>
      </c>
      <c r="K784" s="14">
        <f t="shared" si="49"/>
        <v>2.5721744399999307</v>
      </c>
      <c r="L784" s="14">
        <f t="shared" si="50"/>
        <v>0.52756578947367716</v>
      </c>
      <c r="M784" s="14">
        <f t="shared" si="51"/>
        <v>3</v>
      </c>
    </row>
    <row r="785" spans="1:13" x14ac:dyDescent="0.25">
      <c r="A785" s="14" t="s">
        <v>837</v>
      </c>
      <c r="B785" s="20"/>
      <c r="C785" s="16">
        <v>0.40277777777777779</v>
      </c>
      <c r="D785" s="17" t="s">
        <v>1076</v>
      </c>
      <c r="E785" s="14">
        <v>32.25</v>
      </c>
      <c r="F785" s="14">
        <v>53</v>
      </c>
      <c r="G785" s="14">
        <v>60.4</v>
      </c>
      <c r="H785" s="18">
        <v>300</v>
      </c>
      <c r="I785" s="19">
        <v>298.89</v>
      </c>
      <c r="J785" s="12">
        <f t="shared" si="48"/>
        <v>1.1100000000000136</v>
      </c>
      <c r="K785" s="14">
        <f t="shared" si="49"/>
        <v>1.2321000000000304</v>
      </c>
      <c r="L785" s="14">
        <f t="shared" si="50"/>
        <v>0.37000000000000455</v>
      </c>
      <c r="M785" s="14">
        <f t="shared" si="51"/>
        <v>4</v>
      </c>
    </row>
    <row r="786" spans="1:13" x14ac:dyDescent="0.25">
      <c r="A786" s="14" t="s">
        <v>838</v>
      </c>
      <c r="B786" s="20"/>
      <c r="C786" s="16">
        <v>0.41666666666666669</v>
      </c>
      <c r="D786" s="17" t="s">
        <v>1076</v>
      </c>
      <c r="E786" s="14">
        <v>32.415999999999997</v>
      </c>
      <c r="F786" s="14">
        <v>46</v>
      </c>
      <c r="G786" s="14">
        <v>61.5</v>
      </c>
      <c r="H786" s="18">
        <v>283</v>
      </c>
      <c r="I786" s="19">
        <v>281.77951999999999</v>
      </c>
      <c r="J786" s="12">
        <f t="shared" si="48"/>
        <v>1.2204800000000091</v>
      </c>
      <c r="K786" s="14">
        <f t="shared" si="49"/>
        <v>1.4895714304000223</v>
      </c>
      <c r="L786" s="14">
        <f t="shared" si="50"/>
        <v>0.43126501766784775</v>
      </c>
      <c r="M786" s="14">
        <f t="shared" si="51"/>
        <v>5</v>
      </c>
    </row>
    <row r="787" spans="1:13" x14ac:dyDescent="0.25">
      <c r="A787" s="14" t="s">
        <v>839</v>
      </c>
      <c r="B787" s="20"/>
      <c r="C787" s="16">
        <v>0.43055555555555558</v>
      </c>
      <c r="D787" s="17" t="s">
        <v>1076</v>
      </c>
      <c r="E787" s="14">
        <v>32.286000000000001</v>
      </c>
      <c r="F787" s="14">
        <v>77</v>
      </c>
      <c r="G787" s="14">
        <v>81.7</v>
      </c>
      <c r="H787" s="18">
        <v>307</v>
      </c>
      <c r="I787" s="19">
        <v>306.61</v>
      </c>
      <c r="J787" s="12">
        <f t="shared" si="48"/>
        <v>0.38999999999998636</v>
      </c>
      <c r="K787" s="14">
        <f t="shared" si="49"/>
        <v>0.15209999999998935</v>
      </c>
      <c r="L787" s="14">
        <f t="shared" si="50"/>
        <v>0.12703583061888807</v>
      </c>
      <c r="M787" s="14">
        <f t="shared" si="51"/>
        <v>1</v>
      </c>
    </row>
    <row r="788" spans="1:13" x14ac:dyDescent="0.25">
      <c r="A788" s="14" t="s">
        <v>840</v>
      </c>
      <c r="B788" s="20"/>
      <c r="C788" s="16">
        <v>0.44444444444444442</v>
      </c>
      <c r="D788" s="17" t="s">
        <v>1076</v>
      </c>
      <c r="E788" s="14">
        <v>32.045000000000002</v>
      </c>
      <c r="F788" s="14">
        <v>26</v>
      </c>
      <c r="G788" s="14">
        <v>75</v>
      </c>
      <c r="H788" s="18">
        <v>255</v>
      </c>
      <c r="I788" s="19">
        <v>254.31</v>
      </c>
      <c r="J788" s="12">
        <f t="shared" si="48"/>
        <v>0.68999999999999773</v>
      </c>
      <c r="K788" s="14">
        <f t="shared" si="49"/>
        <v>0.47609999999999686</v>
      </c>
      <c r="L788" s="14">
        <f t="shared" si="50"/>
        <v>0.27058823529411674</v>
      </c>
      <c r="M788" s="14">
        <f t="shared" si="51"/>
        <v>2</v>
      </c>
    </row>
    <row r="789" spans="1:13" x14ac:dyDescent="0.25">
      <c r="A789" s="14" t="s">
        <v>841</v>
      </c>
      <c r="B789" s="20"/>
      <c r="C789" s="16">
        <v>0.45833333333333331</v>
      </c>
      <c r="D789" s="17" t="s">
        <v>1076</v>
      </c>
      <c r="E789" s="14">
        <v>31.634</v>
      </c>
      <c r="F789" s="14">
        <v>52</v>
      </c>
      <c r="G789" s="14">
        <v>77.599999999999994</v>
      </c>
      <c r="H789" s="18">
        <v>247</v>
      </c>
      <c r="I789" s="19">
        <v>248.27398000000019</v>
      </c>
      <c r="J789" s="12">
        <f t="shared" si="48"/>
        <v>1.2739800000001935</v>
      </c>
      <c r="K789" s="14">
        <f t="shared" si="49"/>
        <v>1.6230250404004931</v>
      </c>
      <c r="L789" s="14">
        <f t="shared" si="50"/>
        <v>0.51578137651829703</v>
      </c>
      <c r="M789" s="14">
        <f t="shared" si="51"/>
        <v>3</v>
      </c>
    </row>
    <row r="790" spans="1:13" x14ac:dyDescent="0.25">
      <c r="A790" s="14" t="s">
        <v>842</v>
      </c>
      <c r="B790" s="20"/>
      <c r="C790" s="16">
        <v>0.47222222222222221</v>
      </c>
      <c r="D790" s="17" t="s">
        <v>1076</v>
      </c>
      <c r="E790" s="14">
        <v>30.396000000000001</v>
      </c>
      <c r="F790" s="14">
        <v>64</v>
      </c>
      <c r="G790" s="14">
        <v>85.4</v>
      </c>
      <c r="H790" s="18">
        <v>180</v>
      </c>
      <c r="I790" s="19">
        <v>179.65011999999999</v>
      </c>
      <c r="J790" s="12">
        <f t="shared" si="48"/>
        <v>0.34988000000001307</v>
      </c>
      <c r="K790" s="14">
        <f t="shared" si="49"/>
        <v>0.12241601440000914</v>
      </c>
      <c r="L790" s="14">
        <f t="shared" si="50"/>
        <v>0.19437777777778503</v>
      </c>
      <c r="M790" s="14">
        <f t="shared" si="51"/>
        <v>4</v>
      </c>
    </row>
    <row r="791" spans="1:13" x14ac:dyDescent="0.25">
      <c r="A791" s="14" t="s">
        <v>843</v>
      </c>
      <c r="B791" s="20"/>
      <c r="C791" s="16">
        <v>0.4861111111111111</v>
      </c>
      <c r="D791" s="17" t="s">
        <v>1076</v>
      </c>
      <c r="E791" s="14">
        <v>31.724</v>
      </c>
      <c r="F791" s="14">
        <v>37</v>
      </c>
      <c r="G791" s="14">
        <v>56.3</v>
      </c>
      <c r="H791" s="18">
        <v>256</v>
      </c>
      <c r="I791" s="19">
        <v>253.62628000000021</v>
      </c>
      <c r="J791" s="12">
        <f t="shared" si="48"/>
        <v>2.3737199999997927</v>
      </c>
      <c r="K791" s="14">
        <f t="shared" si="49"/>
        <v>5.6345466383990157</v>
      </c>
      <c r="L791" s="14">
        <f t="shared" si="50"/>
        <v>0.92723437499991901</v>
      </c>
      <c r="M791" s="14">
        <f t="shared" si="51"/>
        <v>5</v>
      </c>
    </row>
    <row r="792" spans="1:13" x14ac:dyDescent="0.25">
      <c r="A792" s="14" t="s">
        <v>844</v>
      </c>
      <c r="B792" s="21"/>
      <c r="C792" s="16">
        <v>0.5</v>
      </c>
      <c r="D792" s="17" t="s">
        <v>1076</v>
      </c>
      <c r="E792" s="14">
        <v>31.292000000000002</v>
      </c>
      <c r="F792" s="14">
        <v>28</v>
      </c>
      <c r="G792" s="14">
        <v>76</v>
      </c>
      <c r="H792" s="18">
        <v>222</v>
      </c>
      <c r="I792" s="19">
        <v>225.93523999999999</v>
      </c>
      <c r="J792" s="12">
        <f t="shared" si="48"/>
        <v>3.9352399999999932</v>
      </c>
      <c r="K792" s="14">
        <f t="shared" si="49"/>
        <v>15.486113857599946</v>
      </c>
      <c r="L792" s="14">
        <f t="shared" si="50"/>
        <v>1.7726306306306276</v>
      </c>
      <c r="M792" s="14">
        <f t="shared" si="51"/>
        <v>1</v>
      </c>
    </row>
    <row r="793" spans="1:13" x14ac:dyDescent="0.25">
      <c r="A793" s="14" t="s">
        <v>845</v>
      </c>
      <c r="B793" s="15" t="s">
        <v>846</v>
      </c>
      <c r="C793" s="16">
        <v>0.375</v>
      </c>
      <c r="D793" s="17" t="s">
        <v>1076</v>
      </c>
      <c r="E793" s="14">
        <v>32.743000000000002</v>
      </c>
      <c r="F793" s="14">
        <v>25</v>
      </c>
      <c r="G793" s="14">
        <v>73.2</v>
      </c>
      <c r="H793" s="18">
        <v>312</v>
      </c>
      <c r="I793" s="19">
        <v>314.22620999999998</v>
      </c>
      <c r="J793" s="12">
        <f t="shared" si="48"/>
        <v>2.2262099999999805</v>
      </c>
      <c r="K793" s="14">
        <f t="shared" si="49"/>
        <v>4.9560109640999128</v>
      </c>
      <c r="L793" s="14">
        <f t="shared" si="50"/>
        <v>0.71352884615383982</v>
      </c>
      <c r="M793" s="14">
        <f t="shared" si="51"/>
        <v>2</v>
      </c>
    </row>
    <row r="794" spans="1:13" x14ac:dyDescent="0.25">
      <c r="A794" s="14" t="s">
        <v>847</v>
      </c>
      <c r="B794" s="20"/>
      <c r="C794" s="16">
        <v>0.3888888888888889</v>
      </c>
      <c r="D794" s="17" t="s">
        <v>1076</v>
      </c>
      <c r="E794" s="14">
        <v>31.46</v>
      </c>
      <c r="F794" s="14">
        <v>84</v>
      </c>
      <c r="G794" s="14">
        <v>66.8</v>
      </c>
      <c r="H794" s="18">
        <v>233</v>
      </c>
      <c r="I794" s="19">
        <v>236.92619999999999</v>
      </c>
      <c r="J794" s="12">
        <f t="shared" si="48"/>
        <v>3.9261999999999944</v>
      </c>
      <c r="K794" s="14">
        <f t="shared" si="49"/>
        <v>15.415046439999955</v>
      </c>
      <c r="L794" s="14">
        <f t="shared" si="50"/>
        <v>1.685064377682401</v>
      </c>
      <c r="M794" s="14">
        <f t="shared" si="51"/>
        <v>3</v>
      </c>
    </row>
    <row r="795" spans="1:13" x14ac:dyDescent="0.25">
      <c r="A795" s="14" t="s">
        <v>848</v>
      </c>
      <c r="B795" s="20"/>
      <c r="C795" s="16">
        <v>0.40277777777777779</v>
      </c>
      <c r="D795" s="17" t="s">
        <v>1076</v>
      </c>
      <c r="E795" s="14">
        <v>33.671000000000006</v>
      </c>
      <c r="F795" s="14">
        <v>29</v>
      </c>
      <c r="G795" s="14">
        <v>75.3</v>
      </c>
      <c r="H795" s="18">
        <v>364</v>
      </c>
      <c r="I795" s="19">
        <v>363.41437000000002</v>
      </c>
      <c r="J795" s="12">
        <f t="shared" si="48"/>
        <v>0.58562999999998056</v>
      </c>
      <c r="K795" s="14">
        <f t="shared" si="49"/>
        <v>0.34296249689997721</v>
      </c>
      <c r="L795" s="14">
        <f t="shared" si="50"/>
        <v>0.16088736263735731</v>
      </c>
      <c r="M795" s="14">
        <f t="shared" si="51"/>
        <v>4</v>
      </c>
    </row>
    <row r="796" spans="1:13" x14ac:dyDescent="0.25">
      <c r="A796" s="14" t="s">
        <v>849</v>
      </c>
      <c r="B796" s="20"/>
      <c r="C796" s="16">
        <v>0.41666666666666669</v>
      </c>
      <c r="D796" s="17" t="s">
        <v>1076</v>
      </c>
      <c r="E796" s="14">
        <v>32.701000000000008</v>
      </c>
      <c r="F796" s="14">
        <v>37</v>
      </c>
      <c r="G796" s="14">
        <v>60.7</v>
      </c>
      <c r="H796" s="18">
        <v>320</v>
      </c>
      <c r="I796" s="19">
        <v>318.72847000000002</v>
      </c>
      <c r="J796" s="12">
        <f t="shared" si="48"/>
        <v>1.2715299999999843</v>
      </c>
      <c r="K796" s="14">
        <f t="shared" si="49"/>
        <v>1.61678854089996</v>
      </c>
      <c r="L796" s="14">
        <f t="shared" si="50"/>
        <v>0.39735312499999509</v>
      </c>
      <c r="M796" s="14">
        <f t="shared" si="51"/>
        <v>5</v>
      </c>
    </row>
    <row r="797" spans="1:13" x14ac:dyDescent="0.25">
      <c r="A797" s="14" t="s">
        <v>850</v>
      </c>
      <c r="B797" s="20"/>
      <c r="C797" s="16">
        <v>0.43055555555555558</v>
      </c>
      <c r="D797" s="17" t="s">
        <v>1076</v>
      </c>
      <c r="E797" s="14">
        <v>32.888000000000012</v>
      </c>
      <c r="F797" s="14">
        <v>22</v>
      </c>
      <c r="G797" s="14">
        <v>74</v>
      </c>
      <c r="H797" s="18">
        <v>326</v>
      </c>
      <c r="I797" s="19">
        <v>322.84936000000022</v>
      </c>
      <c r="J797" s="12">
        <f t="shared" si="48"/>
        <v>3.1506399999997825</v>
      </c>
      <c r="K797" s="14">
        <f t="shared" si="49"/>
        <v>9.9265324095986287</v>
      </c>
      <c r="L797" s="14">
        <f t="shared" si="50"/>
        <v>0.96645398772999458</v>
      </c>
      <c r="M797" s="14">
        <f t="shared" si="51"/>
        <v>1</v>
      </c>
    </row>
    <row r="798" spans="1:13" x14ac:dyDescent="0.25">
      <c r="A798" s="14" t="s">
        <v>851</v>
      </c>
      <c r="B798" s="20"/>
      <c r="C798" s="16">
        <v>0.44444444444444442</v>
      </c>
      <c r="D798" s="17" t="s">
        <v>1076</v>
      </c>
      <c r="E798" s="14">
        <v>32.33</v>
      </c>
      <c r="F798" s="14">
        <v>54</v>
      </c>
      <c r="G798" s="14">
        <v>61</v>
      </c>
      <c r="H798" s="18">
        <v>283</v>
      </c>
      <c r="I798" s="19">
        <v>284.6651</v>
      </c>
      <c r="J798" s="12">
        <f t="shared" si="48"/>
        <v>1.6650999999999954</v>
      </c>
      <c r="K798" s="14">
        <f t="shared" si="49"/>
        <v>2.7725580099999845</v>
      </c>
      <c r="L798" s="14">
        <f t="shared" si="50"/>
        <v>0.5883745583038853</v>
      </c>
      <c r="M798" s="14">
        <f t="shared" si="51"/>
        <v>2</v>
      </c>
    </row>
    <row r="799" spans="1:13" x14ac:dyDescent="0.25">
      <c r="A799" s="14" t="s">
        <v>852</v>
      </c>
      <c r="B799" s="20"/>
      <c r="C799" s="16">
        <v>0.45833333333333331</v>
      </c>
      <c r="D799" s="17" t="s">
        <v>1076</v>
      </c>
      <c r="E799" s="14">
        <v>31.126000000000001</v>
      </c>
      <c r="F799" s="14">
        <v>55</v>
      </c>
      <c r="G799" s="14">
        <v>76.7</v>
      </c>
      <c r="H799" s="18">
        <v>227</v>
      </c>
      <c r="I799" s="19">
        <v>225.06322</v>
      </c>
      <c r="J799" s="12">
        <f t="shared" si="48"/>
        <v>1.9367799999999988</v>
      </c>
      <c r="K799" s="14">
        <f t="shared" si="49"/>
        <v>3.7511167683999953</v>
      </c>
      <c r="L799" s="14">
        <f t="shared" si="50"/>
        <v>0.85320704845814921</v>
      </c>
      <c r="M799" s="14">
        <f t="shared" si="51"/>
        <v>3</v>
      </c>
    </row>
    <row r="800" spans="1:13" x14ac:dyDescent="0.25">
      <c r="A800" s="14" t="s">
        <v>853</v>
      </c>
      <c r="B800" s="20"/>
      <c r="C800" s="16">
        <v>0.47222222222222221</v>
      </c>
      <c r="D800" s="17" t="s">
        <v>1076</v>
      </c>
      <c r="E800" s="14">
        <v>32.027000000000001</v>
      </c>
      <c r="F800" s="14">
        <v>26</v>
      </c>
      <c r="G800" s="14">
        <v>62.7</v>
      </c>
      <c r="H800" s="18">
        <v>275</v>
      </c>
      <c r="I800" s="19">
        <v>271.64569000000012</v>
      </c>
      <c r="J800" s="12">
        <f t="shared" si="48"/>
        <v>3.3543099999998844</v>
      </c>
      <c r="K800" s="14">
        <f t="shared" si="49"/>
        <v>11.251395576099224</v>
      </c>
      <c r="L800" s="14">
        <f t="shared" si="50"/>
        <v>1.2197490909090489</v>
      </c>
      <c r="M800" s="14">
        <f t="shared" si="51"/>
        <v>4</v>
      </c>
    </row>
    <row r="801" spans="1:13" x14ac:dyDescent="0.25">
      <c r="A801" s="14" t="s">
        <v>854</v>
      </c>
      <c r="B801" s="20"/>
      <c r="C801" s="16">
        <v>0.4861111111111111</v>
      </c>
      <c r="D801" s="17" t="s">
        <v>1076</v>
      </c>
      <c r="E801" s="14">
        <v>31.731999999999999</v>
      </c>
      <c r="F801" s="14">
        <v>70</v>
      </c>
      <c r="G801" s="14">
        <v>80.900000000000006</v>
      </c>
      <c r="H801" s="18">
        <v>262</v>
      </c>
      <c r="I801" s="19">
        <v>259.10203999999999</v>
      </c>
      <c r="J801" s="12">
        <f t="shared" si="48"/>
        <v>2.8979600000000119</v>
      </c>
      <c r="K801" s="14">
        <f t="shared" si="49"/>
        <v>8.3981721616000691</v>
      </c>
      <c r="L801" s="14">
        <f t="shared" si="50"/>
        <v>1.1060916030534396</v>
      </c>
      <c r="M801" s="14">
        <f t="shared" si="51"/>
        <v>5</v>
      </c>
    </row>
    <row r="802" spans="1:13" x14ac:dyDescent="0.25">
      <c r="A802" s="14" t="s">
        <v>855</v>
      </c>
      <c r="B802" s="21"/>
      <c r="C802" s="16">
        <v>0.5</v>
      </c>
      <c r="D802" s="17" t="s">
        <v>1076</v>
      </c>
      <c r="E802" s="14">
        <v>30.931000000000001</v>
      </c>
      <c r="F802" s="14">
        <v>61</v>
      </c>
      <c r="G802" s="14">
        <v>62.7</v>
      </c>
      <c r="H802" s="18">
        <v>212</v>
      </c>
      <c r="I802" s="19">
        <v>209.46656999999999</v>
      </c>
      <c r="J802" s="12">
        <f t="shared" si="48"/>
        <v>2.5334300000000098</v>
      </c>
      <c r="K802" s="14">
        <f t="shared" si="49"/>
        <v>6.4182675649000496</v>
      </c>
      <c r="L802" s="14">
        <f t="shared" si="50"/>
        <v>1.1950141509434009</v>
      </c>
      <c r="M802" s="14">
        <f t="shared" si="51"/>
        <v>1</v>
      </c>
    </row>
    <row r="803" spans="1:13" x14ac:dyDescent="0.25">
      <c r="A803" s="14" t="s">
        <v>856</v>
      </c>
      <c r="B803" s="15" t="s">
        <v>857</v>
      </c>
      <c r="C803" s="16">
        <v>0.375</v>
      </c>
      <c r="D803" s="17" t="s">
        <v>1076</v>
      </c>
      <c r="E803" s="14">
        <v>32.615000000000002</v>
      </c>
      <c r="F803" s="14">
        <v>41</v>
      </c>
      <c r="G803" s="14">
        <v>77.599999999999994</v>
      </c>
      <c r="H803" s="18">
        <v>299</v>
      </c>
      <c r="I803" s="19">
        <v>301.61405000000002</v>
      </c>
      <c r="J803" s="12">
        <f t="shared" si="48"/>
        <v>2.6140500000000202</v>
      </c>
      <c r="K803" s="14">
        <f t="shared" si="49"/>
        <v>6.8332574025001058</v>
      </c>
      <c r="L803" s="14">
        <f t="shared" si="50"/>
        <v>0.87426421404682952</v>
      </c>
      <c r="M803" s="14">
        <f t="shared" si="51"/>
        <v>2</v>
      </c>
    </row>
    <row r="804" spans="1:13" x14ac:dyDescent="0.25">
      <c r="A804" s="14" t="s">
        <v>858</v>
      </c>
      <c r="B804" s="20"/>
      <c r="C804" s="16">
        <v>0.3888888888888889</v>
      </c>
      <c r="D804" s="17" t="s">
        <v>1076</v>
      </c>
      <c r="E804" s="14">
        <v>31.870999999999999</v>
      </c>
      <c r="F804" s="14">
        <v>47</v>
      </c>
      <c r="G804" s="14">
        <v>58.9</v>
      </c>
      <c r="H804" s="18">
        <v>257</v>
      </c>
      <c r="I804" s="19">
        <v>259.36837000000003</v>
      </c>
      <c r="J804" s="12">
        <f t="shared" si="48"/>
        <v>2.3683700000000272</v>
      </c>
      <c r="K804" s="14">
        <f t="shared" si="49"/>
        <v>5.609176456900129</v>
      </c>
      <c r="L804" s="14">
        <f t="shared" si="50"/>
        <v>0.92154474708172274</v>
      </c>
      <c r="M804" s="14">
        <f t="shared" si="51"/>
        <v>3</v>
      </c>
    </row>
    <row r="805" spans="1:13" x14ac:dyDescent="0.25">
      <c r="A805" s="14" t="s">
        <v>859</v>
      </c>
      <c r="B805" s="20"/>
      <c r="C805" s="16">
        <v>0.40277777777777779</v>
      </c>
      <c r="D805" s="17" t="s">
        <v>1076</v>
      </c>
      <c r="E805" s="14">
        <v>33.536000000000001</v>
      </c>
      <c r="F805" s="14">
        <v>76</v>
      </c>
      <c r="G805" s="14">
        <v>85.5</v>
      </c>
      <c r="H805" s="18">
        <v>369</v>
      </c>
      <c r="I805" s="19">
        <v>365.38592</v>
      </c>
      <c r="J805" s="12">
        <f t="shared" si="48"/>
        <v>3.6140800000000013</v>
      </c>
      <c r="K805" s="14">
        <f t="shared" si="49"/>
        <v>13.06157424640001</v>
      </c>
      <c r="L805" s="14">
        <f t="shared" si="50"/>
        <v>0.9794254742547428</v>
      </c>
      <c r="M805" s="14">
        <f t="shared" si="51"/>
        <v>4</v>
      </c>
    </row>
    <row r="806" spans="1:13" x14ac:dyDescent="0.25">
      <c r="A806" s="14" t="s">
        <v>860</v>
      </c>
      <c r="B806" s="20"/>
      <c r="C806" s="16">
        <v>0.41666666666666669</v>
      </c>
      <c r="D806" s="17" t="s">
        <v>1076</v>
      </c>
      <c r="E806" s="14">
        <v>33.409000000000013</v>
      </c>
      <c r="F806" s="14">
        <v>31</v>
      </c>
      <c r="G806" s="14">
        <v>68.599999999999994</v>
      </c>
      <c r="H806" s="18">
        <v>360</v>
      </c>
      <c r="I806" s="19">
        <v>359.83323000000001</v>
      </c>
      <c r="J806" s="12">
        <f t="shared" si="48"/>
        <v>0.16676999999998543</v>
      </c>
      <c r="K806" s="14">
        <f t="shared" si="49"/>
        <v>2.781223289999514E-2</v>
      </c>
      <c r="L806" s="14">
        <f t="shared" si="50"/>
        <v>4.6324999999995953E-2</v>
      </c>
      <c r="M806" s="14">
        <f t="shared" si="51"/>
        <v>5</v>
      </c>
    </row>
    <row r="807" spans="1:13" x14ac:dyDescent="0.25">
      <c r="A807" s="14" t="s">
        <v>861</v>
      </c>
      <c r="B807" s="20"/>
      <c r="C807" s="16">
        <v>0.43055555555555558</v>
      </c>
      <c r="D807" s="17" t="s">
        <v>1076</v>
      </c>
      <c r="E807" s="14">
        <v>31.692</v>
      </c>
      <c r="F807" s="14">
        <v>26</v>
      </c>
      <c r="G807" s="14">
        <v>68.099999999999994</v>
      </c>
      <c r="H807" s="18">
        <v>252</v>
      </c>
      <c r="I807" s="19">
        <v>251.72324000000029</v>
      </c>
      <c r="J807" s="12">
        <f t="shared" si="48"/>
        <v>0.27675999999971168</v>
      </c>
      <c r="K807" s="14">
        <f t="shared" si="49"/>
        <v>7.6596097599840415E-2</v>
      </c>
      <c r="L807" s="14">
        <f t="shared" si="50"/>
        <v>0.1098253968252824</v>
      </c>
      <c r="M807" s="14">
        <f t="shared" si="51"/>
        <v>1</v>
      </c>
    </row>
    <row r="808" spans="1:13" x14ac:dyDescent="0.25">
      <c r="A808" s="14" t="s">
        <v>862</v>
      </c>
      <c r="B808" s="20"/>
      <c r="C808" s="16">
        <v>0.44444444444444442</v>
      </c>
      <c r="D808" s="17" t="s">
        <v>1076</v>
      </c>
      <c r="E808" s="14">
        <v>31.079000000000001</v>
      </c>
      <c r="F808" s="14">
        <v>57</v>
      </c>
      <c r="G808" s="14">
        <v>59.8</v>
      </c>
      <c r="H808" s="18">
        <v>216</v>
      </c>
      <c r="I808" s="19">
        <v>215.26813000000021</v>
      </c>
      <c r="J808" s="12">
        <f t="shared" si="48"/>
        <v>0.73186999999978752</v>
      </c>
      <c r="K808" s="14">
        <f t="shared" si="49"/>
        <v>0.53563369689968898</v>
      </c>
      <c r="L808" s="14">
        <f t="shared" si="50"/>
        <v>0.33882870370360535</v>
      </c>
      <c r="M808" s="14">
        <f t="shared" si="51"/>
        <v>2</v>
      </c>
    </row>
    <row r="809" spans="1:13" x14ac:dyDescent="0.25">
      <c r="A809" s="14" t="s">
        <v>863</v>
      </c>
      <c r="B809" s="20"/>
      <c r="C809" s="16">
        <v>0.45833333333333331</v>
      </c>
      <c r="D809" s="17" t="s">
        <v>1076</v>
      </c>
      <c r="E809" s="14">
        <v>31.273</v>
      </c>
      <c r="F809" s="14">
        <v>83</v>
      </c>
      <c r="G809" s="14">
        <v>67.8</v>
      </c>
      <c r="H809" s="18">
        <v>239</v>
      </c>
      <c r="I809" s="19">
        <v>238.46</v>
      </c>
      <c r="J809" s="12">
        <f t="shared" si="48"/>
        <v>0.53999999999999204</v>
      </c>
      <c r="K809" s="14">
        <f t="shared" si="49"/>
        <v>0.29159999999999142</v>
      </c>
      <c r="L809" s="14">
        <f t="shared" si="50"/>
        <v>0.22594142259413894</v>
      </c>
      <c r="M809" s="14">
        <f t="shared" si="51"/>
        <v>3</v>
      </c>
    </row>
    <row r="810" spans="1:13" x14ac:dyDescent="0.25">
      <c r="A810" s="14" t="s">
        <v>864</v>
      </c>
      <c r="B810" s="20"/>
      <c r="C810" s="16">
        <v>0.47222222222222221</v>
      </c>
      <c r="D810" s="17" t="s">
        <v>1076</v>
      </c>
      <c r="E810" s="14">
        <v>32.194000000000003</v>
      </c>
      <c r="F810" s="14">
        <v>42</v>
      </c>
      <c r="G810" s="14">
        <v>84.8</v>
      </c>
      <c r="H810" s="18">
        <v>276</v>
      </c>
      <c r="I810" s="19">
        <v>279.57718</v>
      </c>
      <c r="J810" s="12">
        <f t="shared" si="48"/>
        <v>3.5771799999999985</v>
      </c>
      <c r="K810" s="14">
        <f t="shared" si="49"/>
        <v>12.796216752399989</v>
      </c>
      <c r="L810" s="14">
        <f t="shared" si="50"/>
        <v>1.2960797101449271</v>
      </c>
      <c r="M810" s="14">
        <f t="shared" si="51"/>
        <v>4</v>
      </c>
    </row>
    <row r="811" spans="1:13" x14ac:dyDescent="0.25">
      <c r="A811" s="14" t="s">
        <v>865</v>
      </c>
      <c r="B811" s="20"/>
      <c r="C811" s="16">
        <v>0.4861111111111111</v>
      </c>
      <c r="D811" s="17" t="s">
        <v>1076</v>
      </c>
      <c r="E811" s="14">
        <v>32.347999999999999</v>
      </c>
      <c r="F811" s="14">
        <v>39</v>
      </c>
      <c r="G811" s="14">
        <v>77.400000000000006</v>
      </c>
      <c r="H811" s="18">
        <v>296</v>
      </c>
      <c r="I811" s="19">
        <v>299.73556000000002</v>
      </c>
      <c r="J811" s="12">
        <f t="shared" si="48"/>
        <v>3.7355600000000209</v>
      </c>
      <c r="K811" s="14">
        <f t="shared" si="49"/>
        <v>13.954408513600155</v>
      </c>
      <c r="L811" s="14">
        <f t="shared" si="50"/>
        <v>1.2620135135135206</v>
      </c>
      <c r="M811" s="14">
        <f t="shared" si="51"/>
        <v>5</v>
      </c>
    </row>
    <row r="812" spans="1:13" x14ac:dyDescent="0.25">
      <c r="A812" s="14" t="s">
        <v>866</v>
      </c>
      <c r="B812" s="21"/>
      <c r="C812" s="16">
        <v>0.5</v>
      </c>
      <c r="D812" s="17" t="s">
        <v>1076</v>
      </c>
      <c r="E812" s="14">
        <v>31.291</v>
      </c>
      <c r="F812" s="14">
        <v>21</v>
      </c>
      <c r="G812" s="14">
        <v>76</v>
      </c>
      <c r="H812" s="18">
        <v>226</v>
      </c>
      <c r="I812" s="19">
        <v>227.8757700000001</v>
      </c>
      <c r="J812" s="12">
        <f t="shared" si="48"/>
        <v>1.8757700000001023</v>
      </c>
      <c r="K812" s="14">
        <f t="shared" si="49"/>
        <v>3.5185130929003838</v>
      </c>
      <c r="L812" s="14">
        <f t="shared" si="50"/>
        <v>0.82998672566376219</v>
      </c>
      <c r="M812" s="14">
        <f t="shared" si="51"/>
        <v>1</v>
      </c>
    </row>
    <row r="813" spans="1:13" x14ac:dyDescent="0.25">
      <c r="A813" s="14" t="s">
        <v>867</v>
      </c>
      <c r="B813" s="15" t="s">
        <v>868</v>
      </c>
      <c r="C813" s="16">
        <v>0.375</v>
      </c>
      <c r="D813" s="17" t="s">
        <v>1076</v>
      </c>
      <c r="E813" s="14">
        <v>30.152000000000001</v>
      </c>
      <c r="F813" s="14">
        <v>43</v>
      </c>
      <c r="G813" s="14">
        <v>89.4</v>
      </c>
      <c r="H813" s="18">
        <v>158</v>
      </c>
      <c r="I813" s="19">
        <v>160.13943999999989</v>
      </c>
      <c r="J813" s="12">
        <f t="shared" si="48"/>
        <v>2.1394399999998939</v>
      </c>
      <c r="K813" s="14">
        <f t="shared" si="49"/>
        <v>4.5772035135995459</v>
      </c>
      <c r="L813" s="14">
        <f t="shared" si="50"/>
        <v>1.3540759493670214</v>
      </c>
      <c r="M813" s="14">
        <f t="shared" si="51"/>
        <v>2</v>
      </c>
    </row>
    <row r="814" spans="1:13" x14ac:dyDescent="0.25">
      <c r="A814" s="14" t="s">
        <v>869</v>
      </c>
      <c r="B814" s="20"/>
      <c r="C814" s="16">
        <v>0.3888888888888889</v>
      </c>
      <c r="D814" s="17" t="s">
        <v>1076</v>
      </c>
      <c r="E814" s="14">
        <v>32.628999999999998</v>
      </c>
      <c r="F814" s="14">
        <v>75</v>
      </c>
      <c r="G814" s="14">
        <v>94.6</v>
      </c>
      <c r="H814" s="18">
        <v>318</v>
      </c>
      <c r="I814" s="19">
        <v>316.89</v>
      </c>
      <c r="J814" s="12">
        <f t="shared" si="48"/>
        <v>1.1100000000000136</v>
      </c>
      <c r="K814" s="14">
        <f t="shared" si="49"/>
        <v>1.2321000000000304</v>
      </c>
      <c r="L814" s="14">
        <f t="shared" si="50"/>
        <v>0.34905660377358921</v>
      </c>
      <c r="M814" s="14">
        <f t="shared" si="51"/>
        <v>3</v>
      </c>
    </row>
    <row r="815" spans="1:13" x14ac:dyDescent="0.25">
      <c r="A815" s="14" t="s">
        <v>870</v>
      </c>
      <c r="B815" s="20"/>
      <c r="C815" s="16">
        <v>0.40277777777777779</v>
      </c>
      <c r="D815" s="17" t="s">
        <v>1076</v>
      </c>
      <c r="E815" s="14">
        <v>32.042000000000002</v>
      </c>
      <c r="F815" s="14">
        <v>46</v>
      </c>
      <c r="G815" s="14">
        <v>81.900000000000006</v>
      </c>
      <c r="H815" s="18">
        <v>280</v>
      </c>
      <c r="I815" s="19">
        <v>278.53773999999999</v>
      </c>
      <c r="J815" s="12">
        <f t="shared" si="48"/>
        <v>1.4622600000000148</v>
      </c>
      <c r="K815" s="14">
        <f t="shared" si="49"/>
        <v>2.1382043076000432</v>
      </c>
      <c r="L815" s="14">
        <f t="shared" si="50"/>
        <v>0.52223571428571947</v>
      </c>
      <c r="M815" s="14">
        <f t="shared" si="51"/>
        <v>4</v>
      </c>
    </row>
    <row r="816" spans="1:13" x14ac:dyDescent="0.25">
      <c r="A816" s="14" t="s">
        <v>871</v>
      </c>
      <c r="B816" s="20"/>
      <c r="C816" s="16">
        <v>0.41666666666666669</v>
      </c>
      <c r="D816" s="17" t="s">
        <v>1076</v>
      </c>
      <c r="E816" s="14">
        <v>32.597000000000001</v>
      </c>
      <c r="F816" s="14">
        <v>54</v>
      </c>
      <c r="G816" s="14">
        <v>63.8</v>
      </c>
      <c r="H816" s="18">
        <v>313</v>
      </c>
      <c r="I816" s="19">
        <v>311.54358999999999</v>
      </c>
      <c r="J816" s="12">
        <f t="shared" si="48"/>
        <v>1.4564100000000053</v>
      </c>
      <c r="K816" s="14">
        <f t="shared" si="49"/>
        <v>2.1211300881000157</v>
      </c>
      <c r="L816" s="14">
        <f t="shared" si="50"/>
        <v>0.46530670926517748</v>
      </c>
      <c r="M816" s="14">
        <f t="shared" si="51"/>
        <v>5</v>
      </c>
    </row>
    <row r="817" spans="1:13" x14ac:dyDescent="0.25">
      <c r="A817" s="14" t="s">
        <v>872</v>
      </c>
      <c r="B817" s="20"/>
      <c r="C817" s="16">
        <v>0.43055555555555558</v>
      </c>
      <c r="D817" s="17" t="s">
        <v>1076</v>
      </c>
      <c r="E817" s="14">
        <v>31.542000000000002</v>
      </c>
      <c r="F817" s="14">
        <v>35</v>
      </c>
      <c r="G817" s="14">
        <v>91.1</v>
      </c>
      <c r="H817" s="18">
        <v>255</v>
      </c>
      <c r="I817" s="19">
        <v>254.18</v>
      </c>
      <c r="J817" s="12">
        <f t="shared" si="48"/>
        <v>0.81999999999999318</v>
      </c>
      <c r="K817" s="14">
        <f t="shared" si="49"/>
        <v>0.67239999999998878</v>
      </c>
      <c r="L817" s="14">
        <f t="shared" si="50"/>
        <v>0.3215686274509777</v>
      </c>
      <c r="M817" s="14">
        <f t="shared" si="51"/>
        <v>1</v>
      </c>
    </row>
    <row r="818" spans="1:13" x14ac:dyDescent="0.25">
      <c r="A818" s="14" t="s">
        <v>873</v>
      </c>
      <c r="B818" s="20"/>
      <c r="C818" s="16">
        <v>0.44444444444444442</v>
      </c>
      <c r="D818" s="17" t="s">
        <v>1076</v>
      </c>
      <c r="E818" s="14">
        <v>30.236999999999998</v>
      </c>
      <c r="F818" s="14">
        <v>59</v>
      </c>
      <c r="G818" s="14">
        <v>94.8</v>
      </c>
      <c r="H818" s="18">
        <v>165</v>
      </c>
      <c r="I818" s="19">
        <v>165.19439000000011</v>
      </c>
      <c r="J818" s="12">
        <f t="shared" si="48"/>
        <v>0.1943900000001122</v>
      </c>
      <c r="K818" s="14">
        <f t="shared" si="49"/>
        <v>3.7787472100043622E-2</v>
      </c>
      <c r="L818" s="14">
        <f t="shared" si="50"/>
        <v>0.11781212121218922</v>
      </c>
      <c r="M818" s="14">
        <f t="shared" si="51"/>
        <v>2</v>
      </c>
    </row>
    <row r="819" spans="1:13" x14ac:dyDescent="0.25">
      <c r="A819" s="14" t="s">
        <v>874</v>
      </c>
      <c r="B819" s="20"/>
      <c r="C819" s="16">
        <v>0.45833333333333331</v>
      </c>
      <c r="D819" s="17" t="s">
        <v>1076</v>
      </c>
      <c r="E819" s="14">
        <v>32.263000000000012</v>
      </c>
      <c r="F819" s="14">
        <v>58</v>
      </c>
      <c r="G819" s="14">
        <v>84.1</v>
      </c>
      <c r="H819" s="18">
        <v>292</v>
      </c>
      <c r="I819" s="19">
        <v>289.68061</v>
      </c>
      <c r="J819" s="12">
        <f t="shared" si="48"/>
        <v>2.3193899999999985</v>
      </c>
      <c r="K819" s="14">
        <f t="shared" si="49"/>
        <v>5.3795699720999934</v>
      </c>
      <c r="L819" s="14">
        <f t="shared" si="50"/>
        <v>0.79431164383561592</v>
      </c>
      <c r="M819" s="14">
        <f t="shared" si="51"/>
        <v>3</v>
      </c>
    </row>
    <row r="820" spans="1:13" x14ac:dyDescent="0.25">
      <c r="A820" s="14" t="s">
        <v>875</v>
      </c>
      <c r="B820" s="20"/>
      <c r="C820" s="16">
        <v>0.47222222222222221</v>
      </c>
      <c r="D820" s="17" t="s">
        <v>1076</v>
      </c>
      <c r="E820" s="14">
        <v>32.148000000000003</v>
      </c>
      <c r="F820" s="14">
        <v>55</v>
      </c>
      <c r="G820" s="14">
        <v>76.400000000000006</v>
      </c>
      <c r="H820" s="18">
        <v>276</v>
      </c>
      <c r="I820" s="19">
        <v>278.84156000000007</v>
      </c>
      <c r="J820" s="12">
        <f t="shared" si="48"/>
        <v>2.8415600000000723</v>
      </c>
      <c r="K820" s="14">
        <f t="shared" si="49"/>
        <v>8.0744632336004099</v>
      </c>
      <c r="L820" s="14">
        <f t="shared" si="50"/>
        <v>1.0295507246377074</v>
      </c>
      <c r="M820" s="14">
        <f t="shared" si="51"/>
        <v>4</v>
      </c>
    </row>
    <row r="821" spans="1:13" x14ac:dyDescent="0.25">
      <c r="A821" s="14" t="s">
        <v>876</v>
      </c>
      <c r="B821" s="20"/>
      <c r="C821" s="16">
        <v>0.4861111111111111</v>
      </c>
      <c r="D821" s="17" t="s">
        <v>1076</v>
      </c>
      <c r="E821" s="14">
        <v>31.498000000000001</v>
      </c>
      <c r="F821" s="14">
        <v>51</v>
      </c>
      <c r="G821" s="14">
        <v>77</v>
      </c>
      <c r="H821" s="18">
        <v>243</v>
      </c>
      <c r="I821" s="19">
        <v>240.18606</v>
      </c>
      <c r="J821" s="12">
        <f t="shared" si="48"/>
        <v>2.8139400000000023</v>
      </c>
      <c r="K821" s="14">
        <f t="shared" si="49"/>
        <v>7.9182583236000132</v>
      </c>
      <c r="L821" s="14">
        <f t="shared" si="50"/>
        <v>1.158000000000001</v>
      </c>
      <c r="M821" s="14">
        <f t="shared" si="51"/>
        <v>5</v>
      </c>
    </row>
    <row r="822" spans="1:13" x14ac:dyDescent="0.25">
      <c r="A822" s="14" t="s">
        <v>877</v>
      </c>
      <c r="B822" s="21"/>
      <c r="C822" s="16">
        <v>0.5</v>
      </c>
      <c r="D822" s="17" t="s">
        <v>1076</v>
      </c>
      <c r="E822" s="14">
        <v>32.653000000000013</v>
      </c>
      <c r="F822" s="14">
        <v>34</v>
      </c>
      <c r="G822" s="14">
        <v>57.9</v>
      </c>
      <c r="H822" s="18">
        <v>308</v>
      </c>
      <c r="I822" s="19">
        <v>308.87391000000031</v>
      </c>
      <c r="J822" s="12">
        <f t="shared" si="48"/>
        <v>0.87391000000030772</v>
      </c>
      <c r="K822" s="14">
        <f t="shared" si="49"/>
        <v>0.76371868810053789</v>
      </c>
      <c r="L822" s="14">
        <f t="shared" si="50"/>
        <v>0.2837370129871129</v>
      </c>
      <c r="M822" s="14">
        <f t="shared" si="51"/>
        <v>1</v>
      </c>
    </row>
    <row r="823" spans="1:13" x14ac:dyDescent="0.25">
      <c r="A823" s="14" t="s">
        <v>878</v>
      </c>
      <c r="B823" s="15" t="s">
        <v>879</v>
      </c>
      <c r="C823" s="16">
        <v>0.375</v>
      </c>
      <c r="D823" s="17" t="s">
        <v>1076</v>
      </c>
      <c r="E823" s="14">
        <v>32.274000000000001</v>
      </c>
      <c r="F823" s="14">
        <v>54</v>
      </c>
      <c r="G823" s="14">
        <v>60.4</v>
      </c>
      <c r="H823" s="18">
        <v>287</v>
      </c>
      <c r="I823" s="19">
        <v>286.33477999999991</v>
      </c>
      <c r="J823" s="12">
        <f t="shared" si="48"/>
        <v>0.66522000000009029</v>
      </c>
      <c r="K823" s="14">
        <f t="shared" si="49"/>
        <v>0.44251764840012014</v>
      </c>
      <c r="L823" s="14">
        <f t="shared" si="50"/>
        <v>0.231783972125467</v>
      </c>
      <c r="M823" s="14">
        <f t="shared" si="51"/>
        <v>2</v>
      </c>
    </row>
    <row r="824" spans="1:13" x14ac:dyDescent="0.25">
      <c r="A824" s="14" t="s">
        <v>880</v>
      </c>
      <c r="B824" s="20"/>
      <c r="C824" s="16">
        <v>0.3888888888888889</v>
      </c>
      <c r="D824" s="17" t="s">
        <v>1076</v>
      </c>
      <c r="E824" s="14">
        <v>32.674999999999997</v>
      </c>
      <c r="F824" s="14">
        <v>42</v>
      </c>
      <c r="G824" s="14">
        <v>80.5</v>
      </c>
      <c r="H824" s="18">
        <v>316</v>
      </c>
      <c r="I824" s="19">
        <v>314.18225000000001</v>
      </c>
      <c r="J824" s="12">
        <f t="shared" si="48"/>
        <v>1.8177499999999895</v>
      </c>
      <c r="K824" s="14">
        <f t="shared" si="49"/>
        <v>3.3042150624999618</v>
      </c>
      <c r="L824" s="14">
        <f t="shared" si="50"/>
        <v>0.57523734177214858</v>
      </c>
      <c r="M824" s="14">
        <f t="shared" si="51"/>
        <v>3</v>
      </c>
    </row>
    <row r="825" spans="1:13" x14ac:dyDescent="0.25">
      <c r="A825" s="14" t="s">
        <v>881</v>
      </c>
      <c r="B825" s="20"/>
      <c r="C825" s="16">
        <v>0.40277777777777779</v>
      </c>
      <c r="D825" s="17" t="s">
        <v>1076</v>
      </c>
      <c r="E825" s="14">
        <v>29.835000000000001</v>
      </c>
      <c r="F825" s="14">
        <v>44</v>
      </c>
      <c r="G825" s="14">
        <v>84.8</v>
      </c>
      <c r="H825" s="18">
        <v>134</v>
      </c>
      <c r="I825" s="19">
        <v>135.28745000000001</v>
      </c>
      <c r="J825" s="12">
        <f t="shared" si="48"/>
        <v>1.2874500000000069</v>
      </c>
      <c r="K825" s="14">
        <f t="shared" si="49"/>
        <v>1.6575275025000178</v>
      </c>
      <c r="L825" s="14">
        <f t="shared" si="50"/>
        <v>0.96078358208955739</v>
      </c>
      <c r="M825" s="14">
        <f t="shared" si="51"/>
        <v>4</v>
      </c>
    </row>
    <row r="826" spans="1:13" x14ac:dyDescent="0.25">
      <c r="A826" s="14" t="s">
        <v>882</v>
      </c>
      <c r="B826" s="20"/>
      <c r="C826" s="16">
        <v>0.41666666666666669</v>
      </c>
      <c r="D826" s="17" t="s">
        <v>1076</v>
      </c>
      <c r="E826" s="14">
        <v>32.639000000000003</v>
      </c>
      <c r="F826" s="14">
        <v>74</v>
      </c>
      <c r="G826" s="14">
        <v>67.599999999999994</v>
      </c>
      <c r="H826" s="18">
        <v>328</v>
      </c>
      <c r="I826" s="19">
        <v>327.52</v>
      </c>
      <c r="J826" s="12">
        <f t="shared" si="48"/>
        <v>0.48000000000001819</v>
      </c>
      <c r="K826" s="14">
        <f t="shared" si="49"/>
        <v>0.23040000000001745</v>
      </c>
      <c r="L826" s="14">
        <f t="shared" si="50"/>
        <v>0.14634146341463969</v>
      </c>
      <c r="M826" s="14">
        <f t="shared" si="51"/>
        <v>5</v>
      </c>
    </row>
    <row r="827" spans="1:13" x14ac:dyDescent="0.25">
      <c r="A827" s="14" t="s">
        <v>883</v>
      </c>
      <c r="B827" s="20"/>
      <c r="C827" s="16">
        <v>0.43055555555555558</v>
      </c>
      <c r="D827" s="17" t="s">
        <v>1076</v>
      </c>
      <c r="E827" s="14">
        <v>31.87</v>
      </c>
      <c r="F827" s="14">
        <v>48</v>
      </c>
      <c r="G827" s="14">
        <v>75.900000000000006</v>
      </c>
      <c r="H827" s="18">
        <v>253</v>
      </c>
      <c r="I827" s="19">
        <v>254.30889999999999</v>
      </c>
      <c r="J827" s="12">
        <f t="shared" si="48"/>
        <v>1.3088999999999942</v>
      </c>
      <c r="K827" s="14">
        <f t="shared" si="49"/>
        <v>1.7132192099999848</v>
      </c>
      <c r="L827" s="14">
        <f t="shared" si="50"/>
        <v>0.51735177865612425</v>
      </c>
      <c r="M827" s="14">
        <f t="shared" si="51"/>
        <v>1</v>
      </c>
    </row>
    <row r="828" spans="1:13" x14ac:dyDescent="0.25">
      <c r="A828" s="14" t="s">
        <v>884</v>
      </c>
      <c r="B828" s="20"/>
      <c r="C828" s="16">
        <v>0.44444444444444442</v>
      </c>
      <c r="D828" s="17" t="s">
        <v>1076</v>
      </c>
      <c r="E828" s="14">
        <v>32.292000000000002</v>
      </c>
      <c r="F828" s="14">
        <v>23</v>
      </c>
      <c r="G828" s="14">
        <v>61.4</v>
      </c>
      <c r="H828" s="18">
        <v>276</v>
      </c>
      <c r="I828" s="19">
        <v>275.40523999999999</v>
      </c>
      <c r="J828" s="12">
        <f t="shared" si="48"/>
        <v>0.59476000000000795</v>
      </c>
      <c r="K828" s="14">
        <f t="shared" si="49"/>
        <v>0.35373945760000947</v>
      </c>
      <c r="L828" s="14">
        <f t="shared" si="50"/>
        <v>0.21549275362319126</v>
      </c>
      <c r="M828" s="14">
        <f t="shared" si="51"/>
        <v>2</v>
      </c>
    </row>
    <row r="829" spans="1:13" x14ac:dyDescent="0.25">
      <c r="A829" s="14" t="s">
        <v>885</v>
      </c>
      <c r="B829" s="20"/>
      <c r="C829" s="16">
        <v>0.45833333333333331</v>
      </c>
      <c r="D829" s="17" t="s">
        <v>1076</v>
      </c>
      <c r="E829" s="14">
        <v>33.31</v>
      </c>
      <c r="F829" s="14">
        <v>57</v>
      </c>
      <c r="G829" s="14">
        <v>80.099999999999994</v>
      </c>
      <c r="H829" s="18">
        <v>359</v>
      </c>
      <c r="I829" s="19">
        <v>356.51</v>
      </c>
      <c r="J829" s="12">
        <f t="shared" si="48"/>
        <v>2.4900000000000091</v>
      </c>
      <c r="K829" s="14">
        <f t="shared" si="49"/>
        <v>6.2001000000000452</v>
      </c>
      <c r="L829" s="14">
        <f t="shared" si="50"/>
        <v>0.69359331476323371</v>
      </c>
      <c r="M829" s="14">
        <f t="shared" si="51"/>
        <v>3</v>
      </c>
    </row>
    <row r="830" spans="1:13" x14ac:dyDescent="0.25">
      <c r="A830" s="14" t="s">
        <v>886</v>
      </c>
      <c r="B830" s="20"/>
      <c r="C830" s="16">
        <v>0.47222222222222221</v>
      </c>
      <c r="D830" s="17" t="s">
        <v>1076</v>
      </c>
      <c r="E830" s="14">
        <v>31.038</v>
      </c>
      <c r="F830" s="14">
        <v>29</v>
      </c>
      <c r="G830" s="14">
        <v>90.7</v>
      </c>
      <c r="H830" s="18">
        <v>220</v>
      </c>
      <c r="I830" s="19">
        <v>218.82986</v>
      </c>
      <c r="J830" s="12">
        <f t="shared" si="48"/>
        <v>1.1701400000000035</v>
      </c>
      <c r="K830" s="14">
        <f t="shared" si="49"/>
        <v>1.3692276196000082</v>
      </c>
      <c r="L830" s="14">
        <f t="shared" si="50"/>
        <v>0.53188181818181979</v>
      </c>
      <c r="M830" s="14">
        <f t="shared" si="51"/>
        <v>4</v>
      </c>
    </row>
    <row r="831" spans="1:13" x14ac:dyDescent="0.25">
      <c r="A831" s="14" t="s">
        <v>887</v>
      </c>
      <c r="B831" s="20"/>
      <c r="C831" s="16">
        <v>0.4861111111111111</v>
      </c>
      <c r="D831" s="17" t="s">
        <v>1076</v>
      </c>
      <c r="E831" s="14">
        <v>31.719000000000001</v>
      </c>
      <c r="F831" s="14">
        <v>70</v>
      </c>
      <c r="G831" s="14">
        <v>88.5</v>
      </c>
      <c r="H831" s="18">
        <v>259</v>
      </c>
      <c r="I831" s="19">
        <v>258.32893000000001</v>
      </c>
      <c r="J831" s="12">
        <f t="shared" si="48"/>
        <v>0.67106999999998607</v>
      </c>
      <c r="K831" s="14">
        <f t="shared" si="49"/>
        <v>0.45033494489998133</v>
      </c>
      <c r="L831" s="14">
        <f t="shared" si="50"/>
        <v>0.25910038610038072</v>
      </c>
      <c r="M831" s="14">
        <f t="shared" si="51"/>
        <v>5</v>
      </c>
    </row>
    <row r="832" spans="1:13" x14ac:dyDescent="0.25">
      <c r="A832" s="14" t="s">
        <v>888</v>
      </c>
      <c r="B832" s="21"/>
      <c r="C832" s="16">
        <v>0.5</v>
      </c>
      <c r="D832" s="17" t="s">
        <v>1076</v>
      </c>
      <c r="E832" s="14">
        <v>32.718000000000004</v>
      </c>
      <c r="F832" s="14">
        <v>27</v>
      </c>
      <c r="G832" s="14">
        <v>55.6</v>
      </c>
      <c r="H832" s="18">
        <v>319</v>
      </c>
      <c r="I832" s="19">
        <v>316.73946000000001</v>
      </c>
      <c r="J832" s="12">
        <f t="shared" si="48"/>
        <v>2.2605399999999918</v>
      </c>
      <c r="K832" s="14">
        <f t="shared" si="49"/>
        <v>5.110041091599963</v>
      </c>
      <c r="L832" s="14">
        <f t="shared" si="50"/>
        <v>0.70863322884012281</v>
      </c>
      <c r="M832" s="14">
        <f t="shared" si="51"/>
        <v>1</v>
      </c>
    </row>
    <row r="833" spans="1:13" x14ac:dyDescent="0.25">
      <c r="A833" s="14" t="s">
        <v>889</v>
      </c>
      <c r="B833" s="15" t="s">
        <v>890</v>
      </c>
      <c r="C833" s="16">
        <v>0.375</v>
      </c>
      <c r="D833" s="17" t="s">
        <v>1076</v>
      </c>
      <c r="E833" s="14">
        <v>33.082000000000008</v>
      </c>
      <c r="F833" s="14">
        <v>62</v>
      </c>
      <c r="G833" s="14">
        <v>94.1</v>
      </c>
      <c r="H833" s="18">
        <v>335</v>
      </c>
      <c r="I833" s="19">
        <v>334.38654000000042</v>
      </c>
      <c r="J833" s="12">
        <f t="shared" si="48"/>
        <v>0.61345999999957712</v>
      </c>
      <c r="K833" s="14">
        <f t="shared" si="49"/>
        <v>0.37633317159948115</v>
      </c>
      <c r="L833" s="14">
        <f t="shared" si="50"/>
        <v>0.18312238805957526</v>
      </c>
      <c r="M833" s="14">
        <f t="shared" si="51"/>
        <v>2</v>
      </c>
    </row>
    <row r="834" spans="1:13" x14ac:dyDescent="0.25">
      <c r="A834" s="14" t="s">
        <v>891</v>
      </c>
      <c r="B834" s="20"/>
      <c r="C834" s="16">
        <v>0.3888888888888889</v>
      </c>
      <c r="D834" s="17" t="s">
        <v>1076</v>
      </c>
      <c r="E834" s="14">
        <v>32.212000000000003</v>
      </c>
      <c r="F834" s="14">
        <v>34</v>
      </c>
      <c r="G834" s="14">
        <v>72.7</v>
      </c>
      <c r="H834" s="18">
        <v>274</v>
      </c>
      <c r="I834" s="19">
        <v>269.64764000000002</v>
      </c>
      <c r="J834" s="12">
        <f t="shared" si="48"/>
        <v>4.352359999999976</v>
      </c>
      <c r="K834" s="14">
        <f t="shared" si="49"/>
        <v>18.943037569599792</v>
      </c>
      <c r="L834" s="14">
        <f t="shared" si="50"/>
        <v>1.588452554744517</v>
      </c>
      <c r="M834" s="14">
        <f t="shared" si="51"/>
        <v>3</v>
      </c>
    </row>
    <row r="835" spans="1:13" x14ac:dyDescent="0.25">
      <c r="A835" s="14" t="s">
        <v>892</v>
      </c>
      <c r="B835" s="20"/>
      <c r="C835" s="16">
        <v>0.40277777777777779</v>
      </c>
      <c r="D835" s="17" t="s">
        <v>1076</v>
      </c>
      <c r="E835" s="14">
        <v>33.097999999999999</v>
      </c>
      <c r="F835" s="14">
        <v>43</v>
      </c>
      <c r="G835" s="14">
        <v>91.9</v>
      </c>
      <c r="H835" s="18">
        <v>336</v>
      </c>
      <c r="I835" s="19">
        <v>335.33805999999981</v>
      </c>
      <c r="J835" s="12">
        <f t="shared" ref="J835:J898" si="52">IF(OR(H835="",I835=""),"",ABS(H835-I835))</f>
        <v>0.66194000000018605</v>
      </c>
      <c r="K835" s="14">
        <f t="shared" ref="K835:K898" si="53">IF(OR(H835="",I835=""),"",(H835-I835)^2)</f>
        <v>0.4381645636002463</v>
      </c>
      <c r="L835" s="14">
        <f t="shared" ref="L835:L898" si="54">IF(OR(H835="",I835=""),"",IF(H835=0,"",ABS((H835-I835)/H835)*100))</f>
        <v>0.19700595238100774</v>
      </c>
      <c r="M835" s="14">
        <f t="shared" ref="M835:M898" si="55">MOD(ROW()-2,5)+1</f>
        <v>4</v>
      </c>
    </row>
    <row r="836" spans="1:13" x14ac:dyDescent="0.25">
      <c r="A836" s="14" t="s">
        <v>893</v>
      </c>
      <c r="B836" s="20"/>
      <c r="C836" s="16">
        <v>0.41666666666666669</v>
      </c>
      <c r="D836" s="17" t="s">
        <v>1076</v>
      </c>
      <c r="E836" s="14">
        <v>33.35</v>
      </c>
      <c r="F836" s="14">
        <v>79</v>
      </c>
      <c r="G836" s="14">
        <v>56.9</v>
      </c>
      <c r="H836" s="18">
        <v>344</v>
      </c>
      <c r="I836" s="19">
        <v>344.3245</v>
      </c>
      <c r="J836" s="12">
        <f t="shared" si="52"/>
        <v>0.32450000000000045</v>
      </c>
      <c r="K836" s="14">
        <f t="shared" si="53"/>
        <v>0.10530025000000029</v>
      </c>
      <c r="L836" s="14">
        <f t="shared" si="54"/>
        <v>9.4331395348837346E-2</v>
      </c>
      <c r="M836" s="14">
        <f t="shared" si="55"/>
        <v>5</v>
      </c>
    </row>
    <row r="837" spans="1:13" x14ac:dyDescent="0.25">
      <c r="A837" s="14" t="s">
        <v>894</v>
      </c>
      <c r="B837" s="20"/>
      <c r="C837" s="16">
        <v>0.43055555555555558</v>
      </c>
      <c r="D837" s="17" t="s">
        <v>1076</v>
      </c>
      <c r="E837" s="14">
        <v>32.103000000000002</v>
      </c>
      <c r="F837" s="14">
        <v>63</v>
      </c>
      <c r="G837" s="14">
        <v>74</v>
      </c>
      <c r="H837" s="18">
        <v>285</v>
      </c>
      <c r="I837" s="19">
        <v>282.16541000000001</v>
      </c>
      <c r="J837" s="12">
        <f t="shared" si="52"/>
        <v>2.8345899999999915</v>
      </c>
      <c r="K837" s="14">
        <f t="shared" si="53"/>
        <v>8.0349004680999521</v>
      </c>
      <c r="L837" s="14">
        <f t="shared" si="54"/>
        <v>0.99459298245613736</v>
      </c>
      <c r="M837" s="14">
        <f t="shared" si="55"/>
        <v>1</v>
      </c>
    </row>
    <row r="838" spans="1:13" x14ac:dyDescent="0.25">
      <c r="A838" s="14" t="s">
        <v>895</v>
      </c>
      <c r="B838" s="20"/>
      <c r="C838" s="16">
        <v>0.44444444444444442</v>
      </c>
      <c r="D838" s="17" t="s">
        <v>1076</v>
      </c>
      <c r="E838" s="14">
        <v>31.725999999999999</v>
      </c>
      <c r="F838" s="14">
        <v>81</v>
      </c>
      <c r="G838" s="14">
        <v>91.3</v>
      </c>
      <c r="H838" s="18">
        <v>253</v>
      </c>
      <c r="I838" s="19">
        <v>253.74521999999999</v>
      </c>
      <c r="J838" s="12">
        <f t="shared" si="52"/>
        <v>0.74521999999998911</v>
      </c>
      <c r="K838" s="14">
        <f t="shared" si="53"/>
        <v>0.55535284839998378</v>
      </c>
      <c r="L838" s="14">
        <f t="shared" si="54"/>
        <v>0.29455335968379015</v>
      </c>
      <c r="M838" s="14">
        <f t="shared" si="55"/>
        <v>2</v>
      </c>
    </row>
    <row r="839" spans="1:13" x14ac:dyDescent="0.25">
      <c r="A839" s="14" t="s">
        <v>896</v>
      </c>
      <c r="B839" s="20"/>
      <c r="C839" s="16">
        <v>0.45833333333333331</v>
      </c>
      <c r="D839" s="17" t="s">
        <v>1076</v>
      </c>
      <c r="E839" s="14">
        <v>32.792000000000002</v>
      </c>
      <c r="F839" s="14">
        <v>24</v>
      </c>
      <c r="G839" s="14">
        <v>92.7</v>
      </c>
      <c r="H839" s="18">
        <v>310</v>
      </c>
      <c r="I839" s="19">
        <v>309.14024000000001</v>
      </c>
      <c r="J839" s="12">
        <f t="shared" si="52"/>
        <v>0.85975999999999431</v>
      </c>
      <c r="K839" s="14">
        <f t="shared" si="53"/>
        <v>0.73918725759999016</v>
      </c>
      <c r="L839" s="14">
        <f t="shared" si="54"/>
        <v>0.27734193548386915</v>
      </c>
      <c r="M839" s="14">
        <f t="shared" si="55"/>
        <v>3</v>
      </c>
    </row>
    <row r="840" spans="1:13" x14ac:dyDescent="0.25">
      <c r="A840" s="14" t="s">
        <v>897</v>
      </c>
      <c r="B840" s="20"/>
      <c r="C840" s="16">
        <v>0.47222222222222221</v>
      </c>
      <c r="D840" s="17" t="s">
        <v>1076</v>
      </c>
      <c r="E840" s="14">
        <v>33.031000000000013</v>
      </c>
      <c r="F840" s="14">
        <v>71</v>
      </c>
      <c r="G840" s="14">
        <v>84</v>
      </c>
      <c r="H840" s="18">
        <v>329</v>
      </c>
      <c r="I840" s="19">
        <v>331.35357000000022</v>
      </c>
      <c r="J840" s="12">
        <f t="shared" si="52"/>
        <v>2.353570000000218</v>
      </c>
      <c r="K840" s="14">
        <f t="shared" si="53"/>
        <v>5.5392917449010257</v>
      </c>
      <c r="L840" s="14">
        <f t="shared" si="54"/>
        <v>0.71537082066875923</v>
      </c>
      <c r="M840" s="14">
        <f t="shared" si="55"/>
        <v>4</v>
      </c>
    </row>
    <row r="841" spans="1:13" x14ac:dyDescent="0.25">
      <c r="A841" s="14" t="s">
        <v>898</v>
      </c>
      <c r="B841" s="20"/>
      <c r="C841" s="16">
        <v>0.4861111111111111</v>
      </c>
      <c r="D841" s="17" t="s">
        <v>1076</v>
      </c>
      <c r="E841" s="14">
        <v>32.499000000000002</v>
      </c>
      <c r="F841" s="14">
        <v>82</v>
      </c>
      <c r="G841" s="14">
        <v>76.900000000000006</v>
      </c>
      <c r="H841" s="18">
        <v>304</v>
      </c>
      <c r="I841" s="19">
        <v>299.71553000000017</v>
      </c>
      <c r="J841" s="12">
        <f t="shared" si="52"/>
        <v>4.2844699999998284</v>
      </c>
      <c r="K841" s="14">
        <f t="shared" si="53"/>
        <v>18.356683180898528</v>
      </c>
      <c r="L841" s="14">
        <f t="shared" si="54"/>
        <v>1.4093651315788909</v>
      </c>
      <c r="M841" s="14">
        <f t="shared" si="55"/>
        <v>5</v>
      </c>
    </row>
    <row r="842" spans="1:13" x14ac:dyDescent="0.25">
      <c r="A842" s="14" t="s">
        <v>899</v>
      </c>
      <c r="B842" s="21"/>
      <c r="C842" s="16">
        <v>0.5</v>
      </c>
      <c r="D842" s="17" t="s">
        <v>1076</v>
      </c>
      <c r="E842" s="14">
        <v>33.35</v>
      </c>
      <c r="F842" s="14">
        <v>68</v>
      </c>
      <c r="G842" s="14">
        <v>87.7</v>
      </c>
      <c r="H842" s="18">
        <v>345</v>
      </c>
      <c r="I842" s="19">
        <v>349.3245</v>
      </c>
      <c r="J842" s="12">
        <f t="shared" si="52"/>
        <v>4.3245000000000005</v>
      </c>
      <c r="K842" s="14">
        <f t="shared" si="53"/>
        <v>18.701300250000003</v>
      </c>
      <c r="L842" s="14">
        <f t="shared" si="54"/>
        <v>1.2534782608695654</v>
      </c>
      <c r="M842" s="14">
        <f t="shared" si="55"/>
        <v>1</v>
      </c>
    </row>
    <row r="843" spans="1:13" x14ac:dyDescent="0.25">
      <c r="A843" s="14" t="s">
        <v>900</v>
      </c>
      <c r="B843" s="15" t="s">
        <v>901</v>
      </c>
      <c r="C843" s="16">
        <v>0.375</v>
      </c>
      <c r="D843" s="17" t="s">
        <v>1076</v>
      </c>
      <c r="E843" s="14">
        <v>30.623000000000001</v>
      </c>
      <c r="F843" s="14">
        <v>70</v>
      </c>
      <c r="G843" s="14">
        <v>85.3</v>
      </c>
      <c r="H843" s="18">
        <v>181</v>
      </c>
      <c r="I843" s="19">
        <v>185.14981</v>
      </c>
      <c r="J843" s="12">
        <f t="shared" si="52"/>
        <v>4.1498100000000022</v>
      </c>
      <c r="K843" s="14">
        <f t="shared" si="53"/>
        <v>17.220923036100018</v>
      </c>
      <c r="L843" s="14">
        <f t="shared" si="54"/>
        <v>2.2927127071823215</v>
      </c>
      <c r="M843" s="14">
        <f t="shared" si="55"/>
        <v>2</v>
      </c>
    </row>
    <row r="844" spans="1:13" x14ac:dyDescent="0.25">
      <c r="A844" s="14" t="s">
        <v>902</v>
      </c>
      <c r="B844" s="20"/>
      <c r="C844" s="16">
        <v>0.3888888888888889</v>
      </c>
      <c r="D844" s="17" t="s">
        <v>1076</v>
      </c>
      <c r="E844" s="14">
        <v>33.831000000000003</v>
      </c>
      <c r="F844" s="14">
        <v>53</v>
      </c>
      <c r="G844" s="14">
        <v>71.8</v>
      </c>
      <c r="H844" s="18">
        <v>382</v>
      </c>
      <c r="I844" s="19">
        <v>378.92957000000018</v>
      </c>
      <c r="J844" s="12">
        <f t="shared" si="52"/>
        <v>3.070429999999817</v>
      </c>
      <c r="K844" s="14">
        <f t="shared" si="53"/>
        <v>9.4275403848988759</v>
      </c>
      <c r="L844" s="14">
        <f t="shared" si="54"/>
        <v>0.80377748691094697</v>
      </c>
      <c r="M844" s="14">
        <f t="shared" si="55"/>
        <v>3</v>
      </c>
    </row>
    <row r="845" spans="1:13" x14ac:dyDescent="0.25">
      <c r="A845" s="14" t="s">
        <v>903</v>
      </c>
      <c r="B845" s="20"/>
      <c r="C845" s="16">
        <v>0.40277777777777779</v>
      </c>
      <c r="D845" s="17" t="s">
        <v>1076</v>
      </c>
      <c r="E845" s="14">
        <v>32.75</v>
      </c>
      <c r="F845" s="14">
        <v>43</v>
      </c>
      <c r="G845" s="14">
        <v>66.2</v>
      </c>
      <c r="H845" s="18">
        <v>317</v>
      </c>
      <c r="I845" s="19">
        <v>314.64249999999993</v>
      </c>
      <c r="J845" s="12">
        <f t="shared" si="52"/>
        <v>2.3575000000000728</v>
      </c>
      <c r="K845" s="14">
        <f t="shared" si="53"/>
        <v>5.5578062500003433</v>
      </c>
      <c r="L845" s="14">
        <f t="shared" si="54"/>
        <v>0.74369085173503868</v>
      </c>
      <c r="M845" s="14">
        <f t="shared" si="55"/>
        <v>4</v>
      </c>
    </row>
    <row r="846" spans="1:13" x14ac:dyDescent="0.25">
      <c r="A846" s="14" t="s">
        <v>904</v>
      </c>
      <c r="B846" s="20"/>
      <c r="C846" s="16">
        <v>0.41666666666666669</v>
      </c>
      <c r="D846" s="17" t="s">
        <v>1076</v>
      </c>
      <c r="E846" s="14">
        <v>31.61</v>
      </c>
      <c r="F846" s="14">
        <v>46</v>
      </c>
      <c r="G846" s="14">
        <v>60.9</v>
      </c>
      <c r="H846" s="18">
        <v>242</v>
      </c>
      <c r="I846" s="19">
        <v>245.8467</v>
      </c>
      <c r="J846" s="12">
        <f t="shared" si="52"/>
        <v>3.8466999999999985</v>
      </c>
      <c r="K846" s="14">
        <f t="shared" si="53"/>
        <v>14.797100889999989</v>
      </c>
      <c r="L846" s="14">
        <f t="shared" si="54"/>
        <v>1.5895454545454539</v>
      </c>
      <c r="M846" s="14">
        <f t="shared" si="55"/>
        <v>5</v>
      </c>
    </row>
    <row r="847" spans="1:13" x14ac:dyDescent="0.25">
      <c r="A847" s="14" t="s">
        <v>905</v>
      </c>
      <c r="B847" s="20"/>
      <c r="C847" s="16">
        <v>0.43055555555555558</v>
      </c>
      <c r="D847" s="17" t="s">
        <v>1076</v>
      </c>
      <c r="E847" s="14">
        <v>31.684999999999999</v>
      </c>
      <c r="F847" s="14">
        <v>38</v>
      </c>
      <c r="G847" s="14">
        <v>61.3</v>
      </c>
      <c r="H847" s="18">
        <v>247</v>
      </c>
      <c r="I847" s="19">
        <v>251.30695000000011</v>
      </c>
      <c r="J847" s="12">
        <f t="shared" si="52"/>
        <v>4.3069500000001142</v>
      </c>
      <c r="K847" s="14">
        <f t="shared" si="53"/>
        <v>18.549818302500984</v>
      </c>
      <c r="L847" s="14">
        <f t="shared" si="54"/>
        <v>1.743704453441342</v>
      </c>
      <c r="M847" s="14">
        <f t="shared" si="55"/>
        <v>1</v>
      </c>
    </row>
    <row r="848" spans="1:13" x14ac:dyDescent="0.25">
      <c r="A848" s="14" t="s">
        <v>906</v>
      </c>
      <c r="B848" s="20"/>
      <c r="C848" s="16">
        <v>0.44444444444444442</v>
      </c>
      <c r="D848" s="17" t="s">
        <v>1076</v>
      </c>
      <c r="E848" s="14">
        <v>32.688000000000002</v>
      </c>
      <c r="F848" s="14">
        <v>28</v>
      </c>
      <c r="G848" s="14">
        <v>56.7</v>
      </c>
      <c r="H848" s="18">
        <v>313</v>
      </c>
      <c r="I848" s="19">
        <v>310.95536000000021</v>
      </c>
      <c r="J848" s="12">
        <f t="shared" si="52"/>
        <v>2.044639999999788</v>
      </c>
      <c r="K848" s="14">
        <f t="shared" si="53"/>
        <v>4.1805527295991327</v>
      </c>
      <c r="L848" s="14">
        <f t="shared" si="54"/>
        <v>0.65323961661335084</v>
      </c>
      <c r="M848" s="14">
        <f t="shared" si="55"/>
        <v>2</v>
      </c>
    </row>
    <row r="849" spans="1:13" x14ac:dyDescent="0.25">
      <c r="A849" s="14" t="s">
        <v>907</v>
      </c>
      <c r="B849" s="20"/>
      <c r="C849" s="16">
        <v>0.45833333333333331</v>
      </c>
      <c r="D849" s="17" t="s">
        <v>1076</v>
      </c>
      <c r="E849" s="14">
        <v>31.544</v>
      </c>
      <c r="F849" s="14">
        <v>57</v>
      </c>
      <c r="G849" s="14">
        <v>68.2</v>
      </c>
      <c r="H849" s="18">
        <v>230</v>
      </c>
      <c r="I849" s="19">
        <v>229.92168000000001</v>
      </c>
      <c r="J849" s="12">
        <f t="shared" si="52"/>
        <v>7.8319999999990841E-2</v>
      </c>
      <c r="K849" s="14">
        <f t="shared" si="53"/>
        <v>6.1340223999985658E-3</v>
      </c>
      <c r="L849" s="14">
        <f t="shared" si="54"/>
        <v>3.4052173913039496E-2</v>
      </c>
      <c r="M849" s="14">
        <f t="shared" si="55"/>
        <v>3</v>
      </c>
    </row>
    <row r="850" spans="1:13" x14ac:dyDescent="0.25">
      <c r="A850" s="14" t="s">
        <v>908</v>
      </c>
      <c r="B850" s="20"/>
      <c r="C850" s="16">
        <v>0.47222222222222221</v>
      </c>
      <c r="D850" s="17" t="s">
        <v>1076</v>
      </c>
      <c r="E850" s="14">
        <v>33.122</v>
      </c>
      <c r="F850" s="14">
        <v>28</v>
      </c>
      <c r="G850" s="14">
        <v>75.400000000000006</v>
      </c>
      <c r="H850" s="18">
        <v>324</v>
      </c>
      <c r="I850" s="19">
        <v>319.76533999999998</v>
      </c>
      <c r="J850" s="12">
        <f t="shared" si="52"/>
        <v>4.2346600000000194</v>
      </c>
      <c r="K850" s="14">
        <f t="shared" si="53"/>
        <v>17.932345315600163</v>
      </c>
      <c r="L850" s="14">
        <f t="shared" si="54"/>
        <v>1.3069938271604999</v>
      </c>
      <c r="M850" s="14">
        <f t="shared" si="55"/>
        <v>4</v>
      </c>
    </row>
    <row r="851" spans="1:13" x14ac:dyDescent="0.25">
      <c r="A851" s="14" t="s">
        <v>909</v>
      </c>
      <c r="B851" s="20"/>
      <c r="C851" s="16">
        <v>0.4861111111111111</v>
      </c>
      <c r="D851" s="17" t="s">
        <v>1076</v>
      </c>
      <c r="E851" s="14">
        <v>32.007000000000012</v>
      </c>
      <c r="F851" s="14">
        <v>53</v>
      </c>
      <c r="G851" s="14">
        <v>88</v>
      </c>
      <c r="H851" s="18">
        <v>264</v>
      </c>
      <c r="I851" s="19">
        <v>268.45629000000002</v>
      </c>
      <c r="J851" s="12">
        <f t="shared" si="52"/>
        <v>4.4562900000000241</v>
      </c>
      <c r="K851" s="14">
        <f t="shared" si="53"/>
        <v>19.858520564100214</v>
      </c>
      <c r="L851" s="14">
        <f t="shared" si="54"/>
        <v>1.6879886363636454</v>
      </c>
      <c r="M851" s="14">
        <f t="shared" si="55"/>
        <v>5</v>
      </c>
    </row>
    <row r="852" spans="1:13" x14ac:dyDescent="0.25">
      <c r="A852" s="14" t="s">
        <v>910</v>
      </c>
      <c r="B852" s="21"/>
      <c r="C852" s="16">
        <v>0.5</v>
      </c>
      <c r="D852" s="17" t="s">
        <v>1076</v>
      </c>
      <c r="E852" s="14">
        <v>32.516000000000012</v>
      </c>
      <c r="F852" s="14">
        <v>76</v>
      </c>
      <c r="G852" s="14">
        <v>73.2</v>
      </c>
      <c r="H852" s="18">
        <v>299</v>
      </c>
      <c r="I852" s="19">
        <v>300.72652000000039</v>
      </c>
      <c r="J852" s="12">
        <f t="shared" si="52"/>
        <v>1.7265200000003915</v>
      </c>
      <c r="K852" s="14">
        <f t="shared" si="53"/>
        <v>2.9808713104013518</v>
      </c>
      <c r="L852" s="14">
        <f t="shared" si="54"/>
        <v>0.57743143812722131</v>
      </c>
      <c r="M852" s="14">
        <f t="shared" si="55"/>
        <v>1</v>
      </c>
    </row>
    <row r="853" spans="1:13" x14ac:dyDescent="0.25">
      <c r="A853" s="14" t="s">
        <v>911</v>
      </c>
      <c r="B853" s="15" t="s">
        <v>912</v>
      </c>
      <c r="C853" s="16">
        <v>0.375</v>
      </c>
      <c r="D853" s="17" t="s">
        <v>1076</v>
      </c>
      <c r="E853" s="14">
        <v>33.615000000000002</v>
      </c>
      <c r="F853" s="14">
        <v>56</v>
      </c>
      <c r="G853" s="14">
        <v>62.2</v>
      </c>
      <c r="H853" s="18">
        <v>369</v>
      </c>
      <c r="I853" s="19">
        <v>366.08405000000022</v>
      </c>
      <c r="J853" s="12">
        <f t="shared" si="52"/>
        <v>2.915949999999782</v>
      </c>
      <c r="K853" s="14">
        <f t="shared" si="53"/>
        <v>8.5027644024987286</v>
      </c>
      <c r="L853" s="14">
        <f t="shared" si="54"/>
        <v>0.79023035230346395</v>
      </c>
      <c r="M853" s="14">
        <f t="shared" si="55"/>
        <v>2</v>
      </c>
    </row>
    <row r="854" spans="1:13" x14ac:dyDescent="0.25">
      <c r="A854" s="14" t="s">
        <v>913</v>
      </c>
      <c r="B854" s="20"/>
      <c r="C854" s="16">
        <v>0.3888888888888889</v>
      </c>
      <c r="D854" s="17" t="s">
        <v>1076</v>
      </c>
      <c r="E854" s="14">
        <v>31.004999999999999</v>
      </c>
      <c r="F854" s="14">
        <v>71</v>
      </c>
      <c r="G854" s="14">
        <v>70.599999999999994</v>
      </c>
      <c r="H854" s="18">
        <v>225</v>
      </c>
      <c r="I854" s="19">
        <v>224.89</v>
      </c>
      <c r="J854" s="12">
        <f t="shared" si="52"/>
        <v>0.11000000000001364</v>
      </c>
      <c r="K854" s="14">
        <f t="shared" si="53"/>
        <v>1.2100000000003001E-2</v>
      </c>
      <c r="L854" s="14">
        <f t="shared" si="54"/>
        <v>4.8888888888894956E-2</v>
      </c>
      <c r="M854" s="14">
        <f t="shared" si="55"/>
        <v>3</v>
      </c>
    </row>
    <row r="855" spans="1:13" x14ac:dyDescent="0.25">
      <c r="A855" s="14" t="s">
        <v>914</v>
      </c>
      <c r="B855" s="20"/>
      <c r="C855" s="16">
        <v>0.40277777777777779</v>
      </c>
      <c r="D855" s="17" t="s">
        <v>1076</v>
      </c>
      <c r="E855" s="14">
        <v>31.266999999999999</v>
      </c>
      <c r="F855" s="14">
        <v>72</v>
      </c>
      <c r="G855" s="14">
        <v>90.3</v>
      </c>
      <c r="H855" s="18">
        <v>235</v>
      </c>
      <c r="I855" s="19">
        <v>231.44848999999999</v>
      </c>
      <c r="J855" s="12">
        <f t="shared" si="52"/>
        <v>3.5515100000000075</v>
      </c>
      <c r="K855" s="14">
        <f t="shared" si="53"/>
        <v>12.613223280100053</v>
      </c>
      <c r="L855" s="14">
        <f t="shared" si="54"/>
        <v>1.5112808510638331</v>
      </c>
      <c r="M855" s="14">
        <f t="shared" si="55"/>
        <v>4</v>
      </c>
    </row>
    <row r="856" spans="1:13" x14ac:dyDescent="0.25">
      <c r="A856" s="14" t="s">
        <v>915</v>
      </c>
      <c r="B856" s="20"/>
      <c r="C856" s="16">
        <v>0.41666666666666669</v>
      </c>
      <c r="D856" s="17" t="s">
        <v>1076</v>
      </c>
      <c r="E856" s="14">
        <v>33.505000000000003</v>
      </c>
      <c r="F856" s="14">
        <v>41</v>
      </c>
      <c r="G856" s="14">
        <v>85.7</v>
      </c>
      <c r="H856" s="18">
        <v>358</v>
      </c>
      <c r="I856" s="19">
        <v>359.54235000000023</v>
      </c>
      <c r="J856" s="12">
        <f t="shared" si="52"/>
        <v>1.5423500000002264</v>
      </c>
      <c r="K856" s="14">
        <f t="shared" si="53"/>
        <v>2.3788435225006981</v>
      </c>
      <c r="L856" s="14">
        <f t="shared" si="54"/>
        <v>0.43082402234643197</v>
      </c>
      <c r="M856" s="14">
        <f t="shared" si="55"/>
        <v>5</v>
      </c>
    </row>
    <row r="857" spans="1:13" x14ac:dyDescent="0.25">
      <c r="A857" s="14" t="s">
        <v>916</v>
      </c>
      <c r="B857" s="20"/>
      <c r="C857" s="16">
        <v>0.43055555555555558</v>
      </c>
      <c r="D857" s="17" t="s">
        <v>1076</v>
      </c>
      <c r="E857" s="14">
        <v>32.31</v>
      </c>
      <c r="F857" s="14">
        <v>39</v>
      </c>
      <c r="G857" s="14">
        <v>92.6</v>
      </c>
      <c r="H857" s="18">
        <v>289</v>
      </c>
      <c r="I857" s="19">
        <v>288.47570000000019</v>
      </c>
      <c r="J857" s="12">
        <f t="shared" si="52"/>
        <v>0.52429999999981192</v>
      </c>
      <c r="K857" s="14">
        <f t="shared" si="53"/>
        <v>0.27489048999980276</v>
      </c>
      <c r="L857" s="14">
        <f t="shared" si="54"/>
        <v>0.18141868512104217</v>
      </c>
      <c r="M857" s="14">
        <f t="shared" si="55"/>
        <v>1</v>
      </c>
    </row>
    <row r="858" spans="1:13" x14ac:dyDescent="0.25">
      <c r="A858" s="14" t="s">
        <v>917</v>
      </c>
      <c r="B858" s="20"/>
      <c r="C858" s="16">
        <v>0.44444444444444442</v>
      </c>
      <c r="D858" s="17" t="s">
        <v>1076</v>
      </c>
      <c r="E858" s="14">
        <v>35.023000000000003</v>
      </c>
      <c r="F858" s="14">
        <v>73</v>
      </c>
      <c r="G858" s="14">
        <v>57</v>
      </c>
      <c r="H858" s="18">
        <v>441</v>
      </c>
      <c r="I858" s="19">
        <v>440.81781000000001</v>
      </c>
      <c r="J858" s="12">
        <f t="shared" si="52"/>
        <v>0.18218999999999141</v>
      </c>
      <c r="K858" s="14">
        <f t="shared" si="53"/>
        <v>3.3193196099996873E-2</v>
      </c>
      <c r="L858" s="14">
        <f t="shared" si="54"/>
        <v>4.131292517006608E-2</v>
      </c>
      <c r="M858" s="14">
        <f t="shared" si="55"/>
        <v>2</v>
      </c>
    </row>
    <row r="859" spans="1:13" x14ac:dyDescent="0.25">
      <c r="A859" s="14" t="s">
        <v>918</v>
      </c>
      <c r="B859" s="20"/>
      <c r="C859" s="16">
        <v>0.45833333333333331</v>
      </c>
      <c r="D859" s="17" t="s">
        <v>1076</v>
      </c>
      <c r="E859" s="14">
        <v>32.469000000000001</v>
      </c>
      <c r="F859" s="14">
        <v>50</v>
      </c>
      <c r="G859" s="14">
        <v>81.5</v>
      </c>
      <c r="H859" s="18">
        <v>298</v>
      </c>
      <c r="I859" s="19">
        <v>297.93143000000009</v>
      </c>
      <c r="J859" s="12">
        <f t="shared" si="52"/>
        <v>6.8569999999908759E-2</v>
      </c>
      <c r="K859" s="14">
        <f t="shared" si="53"/>
        <v>4.7018448999874875E-3</v>
      </c>
      <c r="L859" s="14">
        <f t="shared" si="54"/>
        <v>2.3010067114063341E-2</v>
      </c>
      <c r="M859" s="14">
        <f t="shared" si="55"/>
        <v>3</v>
      </c>
    </row>
    <row r="860" spans="1:13" x14ac:dyDescent="0.25">
      <c r="A860" s="14" t="s">
        <v>919</v>
      </c>
      <c r="B860" s="20"/>
      <c r="C860" s="16">
        <v>0.47222222222222221</v>
      </c>
      <c r="D860" s="17" t="s">
        <v>1076</v>
      </c>
      <c r="E860" s="14">
        <v>32.311000000000007</v>
      </c>
      <c r="F860" s="14">
        <v>53</v>
      </c>
      <c r="G860" s="14">
        <v>82.9</v>
      </c>
      <c r="H860" s="18">
        <v>286</v>
      </c>
      <c r="I860" s="19">
        <v>288.53517000000028</v>
      </c>
      <c r="J860" s="12">
        <f t="shared" si="52"/>
        <v>2.5351700000002779</v>
      </c>
      <c r="K860" s="14">
        <f t="shared" si="53"/>
        <v>6.4270869289014092</v>
      </c>
      <c r="L860" s="14">
        <f t="shared" si="54"/>
        <v>0.88642307692317412</v>
      </c>
      <c r="M860" s="14">
        <f t="shared" si="55"/>
        <v>4</v>
      </c>
    </row>
    <row r="861" spans="1:13" x14ac:dyDescent="0.25">
      <c r="A861" s="14" t="s">
        <v>920</v>
      </c>
      <c r="B861" s="20"/>
      <c r="C861" s="16">
        <v>0.4861111111111111</v>
      </c>
      <c r="D861" s="17" t="s">
        <v>1076</v>
      </c>
      <c r="E861" s="14">
        <v>31.125</v>
      </c>
      <c r="F861" s="14">
        <v>37</v>
      </c>
      <c r="G861" s="14">
        <v>92.4</v>
      </c>
      <c r="H861" s="18">
        <v>221</v>
      </c>
      <c r="I861" s="19">
        <v>218.00375000000011</v>
      </c>
      <c r="J861" s="12">
        <f t="shared" si="52"/>
        <v>2.9962499999998897</v>
      </c>
      <c r="K861" s="14">
        <f t="shared" si="53"/>
        <v>8.9775140624993384</v>
      </c>
      <c r="L861" s="14">
        <f t="shared" si="54"/>
        <v>1.3557692307691809</v>
      </c>
      <c r="M861" s="14">
        <f t="shared" si="55"/>
        <v>5</v>
      </c>
    </row>
    <row r="862" spans="1:13" x14ac:dyDescent="0.25">
      <c r="A862" s="14" t="s">
        <v>921</v>
      </c>
      <c r="B862" s="21"/>
      <c r="C862" s="16">
        <v>0.5</v>
      </c>
      <c r="D862" s="17" t="s">
        <v>1076</v>
      </c>
      <c r="E862" s="14">
        <v>31.484999999999999</v>
      </c>
      <c r="F862" s="14">
        <v>79</v>
      </c>
      <c r="G862" s="14">
        <v>55.6</v>
      </c>
      <c r="H862" s="18">
        <v>232</v>
      </c>
      <c r="I862" s="19">
        <v>233.41295</v>
      </c>
      <c r="J862" s="12">
        <f t="shared" si="52"/>
        <v>1.412949999999995</v>
      </c>
      <c r="K862" s="14">
        <f t="shared" si="53"/>
        <v>1.9964277024999859</v>
      </c>
      <c r="L862" s="14">
        <f t="shared" si="54"/>
        <v>0.60903017241379098</v>
      </c>
      <c r="M862" s="14">
        <f t="shared" si="55"/>
        <v>1</v>
      </c>
    </row>
    <row r="863" spans="1:13" x14ac:dyDescent="0.25">
      <c r="A863" s="14" t="s">
        <v>922</v>
      </c>
      <c r="B863" s="15" t="s">
        <v>923</v>
      </c>
      <c r="C863" s="16">
        <v>0.375</v>
      </c>
      <c r="D863" s="17" t="s">
        <v>1076</v>
      </c>
      <c r="E863" s="14">
        <v>30.681999999999999</v>
      </c>
      <c r="F863" s="14">
        <v>43</v>
      </c>
      <c r="G863" s="14">
        <v>80.900000000000006</v>
      </c>
      <c r="H863" s="18">
        <v>197</v>
      </c>
      <c r="I863" s="19">
        <v>194.65853999999999</v>
      </c>
      <c r="J863" s="12">
        <f t="shared" si="52"/>
        <v>2.3414600000000121</v>
      </c>
      <c r="K863" s="14">
        <f t="shared" si="53"/>
        <v>5.4824349316000562</v>
      </c>
      <c r="L863" s="14">
        <f t="shared" si="54"/>
        <v>1.1885583756345239</v>
      </c>
      <c r="M863" s="14">
        <f t="shared" si="55"/>
        <v>2</v>
      </c>
    </row>
    <row r="864" spans="1:13" x14ac:dyDescent="0.25">
      <c r="A864" s="14" t="s">
        <v>924</v>
      </c>
      <c r="B864" s="20"/>
      <c r="C864" s="16">
        <v>0.3888888888888889</v>
      </c>
      <c r="D864" s="17" t="s">
        <v>1076</v>
      </c>
      <c r="E864" s="14">
        <v>31.058</v>
      </c>
      <c r="F864" s="14">
        <v>83</v>
      </c>
      <c r="G864" s="14">
        <v>75.599999999999994</v>
      </c>
      <c r="H864" s="18">
        <v>228</v>
      </c>
      <c r="I864" s="19">
        <v>227.69</v>
      </c>
      <c r="J864" s="12">
        <f t="shared" si="52"/>
        <v>0.31000000000000227</v>
      </c>
      <c r="K864" s="14">
        <f t="shared" si="53"/>
        <v>9.6100000000001407E-2</v>
      </c>
      <c r="L864" s="14">
        <f t="shared" si="54"/>
        <v>0.13596491228070273</v>
      </c>
      <c r="M864" s="14">
        <f t="shared" si="55"/>
        <v>3</v>
      </c>
    </row>
    <row r="865" spans="1:13" x14ac:dyDescent="0.25">
      <c r="A865" s="14" t="s">
        <v>925</v>
      </c>
      <c r="B865" s="20"/>
      <c r="C865" s="16">
        <v>0.40277777777777779</v>
      </c>
      <c r="D865" s="17" t="s">
        <v>1076</v>
      </c>
      <c r="E865" s="14">
        <v>33.466999999999999</v>
      </c>
      <c r="F865" s="14">
        <v>57</v>
      </c>
      <c r="G865" s="14">
        <v>86.3</v>
      </c>
      <c r="H865" s="18">
        <v>357</v>
      </c>
      <c r="I865" s="19">
        <v>357.28248999999983</v>
      </c>
      <c r="J865" s="12">
        <f t="shared" si="52"/>
        <v>0.28248999999982516</v>
      </c>
      <c r="K865" s="14">
        <f t="shared" si="53"/>
        <v>7.9800600099901212E-2</v>
      </c>
      <c r="L865" s="14">
        <f t="shared" si="54"/>
        <v>7.9128851540567272E-2</v>
      </c>
      <c r="M865" s="14">
        <f t="shared" si="55"/>
        <v>4</v>
      </c>
    </row>
    <row r="866" spans="1:13" x14ac:dyDescent="0.25">
      <c r="A866" s="14" t="s">
        <v>926</v>
      </c>
      <c r="B866" s="20"/>
      <c r="C866" s="16">
        <v>0.41666666666666669</v>
      </c>
      <c r="D866" s="17" t="s">
        <v>1076</v>
      </c>
      <c r="E866" s="14">
        <v>31.050999999999998</v>
      </c>
      <c r="F866" s="14">
        <v>34</v>
      </c>
      <c r="G866" s="14">
        <v>67.900000000000006</v>
      </c>
      <c r="H866" s="18">
        <v>217</v>
      </c>
      <c r="I866" s="19">
        <v>213.60297000000011</v>
      </c>
      <c r="J866" s="12">
        <f t="shared" si="52"/>
        <v>3.3970299999998872</v>
      </c>
      <c r="K866" s="14">
        <f t="shared" si="53"/>
        <v>11.539812820899234</v>
      </c>
      <c r="L866" s="14">
        <f t="shared" si="54"/>
        <v>1.5654516129031737</v>
      </c>
      <c r="M866" s="14">
        <f t="shared" si="55"/>
        <v>5</v>
      </c>
    </row>
    <row r="867" spans="1:13" x14ac:dyDescent="0.25">
      <c r="A867" s="14" t="s">
        <v>927</v>
      </c>
      <c r="B867" s="20"/>
      <c r="C867" s="16">
        <v>0.43055555555555558</v>
      </c>
      <c r="D867" s="17" t="s">
        <v>1076</v>
      </c>
      <c r="E867" s="14">
        <v>31.669</v>
      </c>
      <c r="F867" s="14">
        <v>63</v>
      </c>
      <c r="G867" s="14">
        <v>93.3</v>
      </c>
      <c r="H867" s="18">
        <v>257</v>
      </c>
      <c r="I867" s="19">
        <v>255.35543000000001</v>
      </c>
      <c r="J867" s="12">
        <f t="shared" si="52"/>
        <v>1.6445699999999874</v>
      </c>
      <c r="K867" s="14">
        <f t="shared" si="53"/>
        <v>2.7046104848999586</v>
      </c>
      <c r="L867" s="14">
        <f t="shared" si="54"/>
        <v>0.63991050583657105</v>
      </c>
      <c r="M867" s="14">
        <f t="shared" si="55"/>
        <v>1</v>
      </c>
    </row>
    <row r="868" spans="1:13" x14ac:dyDescent="0.25">
      <c r="A868" s="14" t="s">
        <v>928</v>
      </c>
      <c r="B868" s="20"/>
      <c r="C868" s="16">
        <v>0.44444444444444442</v>
      </c>
      <c r="D868" s="17" t="s">
        <v>1076</v>
      </c>
      <c r="E868" s="14">
        <v>33.773000000000003</v>
      </c>
      <c r="F868" s="14">
        <v>78</v>
      </c>
      <c r="G868" s="14">
        <v>81.099999999999994</v>
      </c>
      <c r="H868" s="18">
        <v>372</v>
      </c>
      <c r="I868" s="19">
        <v>375.48031000000009</v>
      </c>
      <c r="J868" s="12">
        <f t="shared" si="52"/>
        <v>3.4803100000000882</v>
      </c>
      <c r="K868" s="14">
        <f t="shared" si="53"/>
        <v>12.112557696100614</v>
      </c>
      <c r="L868" s="14">
        <f t="shared" si="54"/>
        <v>0.93556720430109896</v>
      </c>
      <c r="M868" s="14">
        <f t="shared" si="55"/>
        <v>2</v>
      </c>
    </row>
    <row r="869" spans="1:13" x14ac:dyDescent="0.25">
      <c r="A869" s="14" t="s">
        <v>929</v>
      </c>
      <c r="B869" s="20"/>
      <c r="C869" s="16">
        <v>0.45833333333333331</v>
      </c>
      <c r="D869" s="17" t="s">
        <v>1076</v>
      </c>
      <c r="E869" s="14">
        <v>32.774000000000001</v>
      </c>
      <c r="F869" s="14">
        <v>60</v>
      </c>
      <c r="G869" s="14">
        <v>65.2</v>
      </c>
      <c r="H869" s="18">
        <v>318</v>
      </c>
      <c r="I869" s="19">
        <v>316.06977999999998</v>
      </c>
      <c r="J869" s="12">
        <f t="shared" si="52"/>
        <v>1.9302200000000198</v>
      </c>
      <c r="K869" s="14">
        <f t="shared" si="53"/>
        <v>3.7257492484000765</v>
      </c>
      <c r="L869" s="14">
        <f t="shared" si="54"/>
        <v>0.60698742138365402</v>
      </c>
      <c r="M869" s="14">
        <f t="shared" si="55"/>
        <v>3</v>
      </c>
    </row>
    <row r="870" spans="1:13" x14ac:dyDescent="0.25">
      <c r="A870" s="14" t="s">
        <v>930</v>
      </c>
      <c r="B870" s="20"/>
      <c r="C870" s="16">
        <v>0.47222222222222221</v>
      </c>
      <c r="D870" s="17" t="s">
        <v>1076</v>
      </c>
      <c r="E870" s="14">
        <v>32.774000000000001</v>
      </c>
      <c r="F870" s="14">
        <v>59</v>
      </c>
      <c r="G870" s="14">
        <v>63.7</v>
      </c>
      <c r="H870" s="18">
        <v>316</v>
      </c>
      <c r="I870" s="19">
        <v>316.06977999999998</v>
      </c>
      <c r="J870" s="12">
        <f t="shared" si="52"/>
        <v>6.9779999999980191E-2</v>
      </c>
      <c r="K870" s="14">
        <f t="shared" si="53"/>
        <v>4.8692483999972355E-3</v>
      </c>
      <c r="L870" s="14">
        <f t="shared" si="54"/>
        <v>2.2082278481006391E-2</v>
      </c>
      <c r="M870" s="14">
        <f t="shared" si="55"/>
        <v>4</v>
      </c>
    </row>
    <row r="871" spans="1:13" x14ac:dyDescent="0.25">
      <c r="A871" s="14" t="s">
        <v>931</v>
      </c>
      <c r="B871" s="20"/>
      <c r="C871" s="16">
        <v>0.4861111111111111</v>
      </c>
      <c r="D871" s="17" t="s">
        <v>1076</v>
      </c>
      <c r="E871" s="14">
        <v>30.771999999999998</v>
      </c>
      <c r="F871" s="14">
        <v>42</v>
      </c>
      <c r="G871" s="14">
        <v>68.3</v>
      </c>
      <c r="H871" s="18">
        <v>198</v>
      </c>
      <c r="I871" s="19">
        <v>197.01084000000009</v>
      </c>
      <c r="J871" s="12">
        <f t="shared" si="52"/>
        <v>0.989159999999913</v>
      </c>
      <c r="K871" s="14">
        <f t="shared" si="53"/>
        <v>0.97843750559982789</v>
      </c>
      <c r="L871" s="14">
        <f t="shared" si="54"/>
        <v>0.49957575757571365</v>
      </c>
      <c r="M871" s="14">
        <f t="shared" si="55"/>
        <v>5</v>
      </c>
    </row>
    <row r="872" spans="1:13" x14ac:dyDescent="0.25">
      <c r="A872" s="14" t="s">
        <v>932</v>
      </c>
      <c r="B872" s="21"/>
      <c r="C872" s="16">
        <v>0.5</v>
      </c>
      <c r="D872" s="17" t="s">
        <v>1076</v>
      </c>
      <c r="E872" s="14">
        <v>32.005000000000003</v>
      </c>
      <c r="F872" s="14">
        <v>56</v>
      </c>
      <c r="G872" s="14">
        <v>57.3</v>
      </c>
      <c r="H872" s="18">
        <v>263</v>
      </c>
      <c r="I872" s="19">
        <v>265.33735000000001</v>
      </c>
      <c r="J872" s="12">
        <f t="shared" si="52"/>
        <v>2.3373500000000149</v>
      </c>
      <c r="K872" s="14">
        <f t="shared" si="53"/>
        <v>5.4632050225000697</v>
      </c>
      <c r="L872" s="14">
        <f t="shared" si="54"/>
        <v>0.8887262357414506</v>
      </c>
      <c r="M872" s="14">
        <f t="shared" si="55"/>
        <v>1</v>
      </c>
    </row>
    <row r="873" spans="1:13" x14ac:dyDescent="0.25">
      <c r="A873" s="14" t="s">
        <v>933</v>
      </c>
      <c r="B873" s="15" t="s">
        <v>934</v>
      </c>
      <c r="C873" s="16">
        <v>0.375</v>
      </c>
      <c r="D873" s="17" t="s">
        <v>1076</v>
      </c>
      <c r="E873" s="14">
        <v>32.381</v>
      </c>
      <c r="F873" s="14">
        <v>52</v>
      </c>
      <c r="G873" s="14">
        <v>63.4</v>
      </c>
      <c r="H873" s="18">
        <v>293</v>
      </c>
      <c r="I873" s="19">
        <v>292.69806999999992</v>
      </c>
      <c r="J873" s="12">
        <f t="shared" si="52"/>
        <v>0.30193000000008396</v>
      </c>
      <c r="K873" s="14">
        <f t="shared" si="53"/>
        <v>9.11617249000507E-2</v>
      </c>
      <c r="L873" s="14">
        <f t="shared" si="54"/>
        <v>0.10304778156999453</v>
      </c>
      <c r="M873" s="14">
        <f t="shared" si="55"/>
        <v>2</v>
      </c>
    </row>
    <row r="874" spans="1:13" x14ac:dyDescent="0.25">
      <c r="A874" s="14" t="s">
        <v>935</v>
      </c>
      <c r="B874" s="20"/>
      <c r="C874" s="16">
        <v>0.3888888888888889</v>
      </c>
      <c r="D874" s="17" t="s">
        <v>1076</v>
      </c>
      <c r="E874" s="14">
        <v>33.679000000000002</v>
      </c>
      <c r="F874" s="14">
        <v>20</v>
      </c>
      <c r="G874" s="14">
        <v>56.6</v>
      </c>
      <c r="H874" s="18">
        <v>375</v>
      </c>
      <c r="I874" s="19">
        <v>374.89013</v>
      </c>
      <c r="J874" s="12">
        <f t="shared" si="52"/>
        <v>0.1098700000000008</v>
      </c>
      <c r="K874" s="14">
        <f t="shared" si="53"/>
        <v>1.2071416900000177E-2</v>
      </c>
      <c r="L874" s="14">
        <f t="shared" si="54"/>
        <v>2.9298666666666882E-2</v>
      </c>
      <c r="M874" s="14">
        <f t="shared" si="55"/>
        <v>3</v>
      </c>
    </row>
    <row r="875" spans="1:13" x14ac:dyDescent="0.25">
      <c r="A875" s="14" t="s">
        <v>936</v>
      </c>
      <c r="B875" s="20"/>
      <c r="C875" s="16">
        <v>0.40277777777777779</v>
      </c>
      <c r="D875" s="17" t="s">
        <v>1076</v>
      </c>
      <c r="E875" s="14">
        <v>31.515999999999998</v>
      </c>
      <c r="F875" s="14">
        <v>61</v>
      </c>
      <c r="G875" s="14">
        <v>77.5</v>
      </c>
      <c r="H875" s="18">
        <v>255</v>
      </c>
      <c r="I875" s="19">
        <v>254.58</v>
      </c>
      <c r="J875" s="12">
        <f t="shared" si="52"/>
        <v>0.41999999999998749</v>
      </c>
      <c r="K875" s="14">
        <f t="shared" si="53"/>
        <v>0.17639999999998948</v>
      </c>
      <c r="L875" s="14">
        <f t="shared" si="54"/>
        <v>0.16470588235293629</v>
      </c>
      <c r="M875" s="14">
        <f t="shared" si="55"/>
        <v>4</v>
      </c>
    </row>
    <row r="876" spans="1:13" x14ac:dyDescent="0.25">
      <c r="A876" s="14" t="s">
        <v>937</v>
      </c>
      <c r="B876" s="20"/>
      <c r="C876" s="16">
        <v>0.41666666666666669</v>
      </c>
      <c r="D876" s="17" t="s">
        <v>1076</v>
      </c>
      <c r="E876" s="14">
        <v>31.664999999999999</v>
      </c>
      <c r="F876" s="14">
        <v>68</v>
      </c>
      <c r="G876" s="14">
        <v>74.8</v>
      </c>
      <c r="H876" s="18">
        <v>259</v>
      </c>
      <c r="I876" s="19">
        <v>259.11754999999999</v>
      </c>
      <c r="J876" s="12">
        <f t="shared" si="52"/>
        <v>0.11754999999999427</v>
      </c>
      <c r="K876" s="14">
        <f t="shared" si="53"/>
        <v>1.3818002499998653E-2</v>
      </c>
      <c r="L876" s="14">
        <f t="shared" si="54"/>
        <v>4.5386100386098173E-2</v>
      </c>
      <c r="M876" s="14">
        <f t="shared" si="55"/>
        <v>5</v>
      </c>
    </row>
    <row r="877" spans="1:13" x14ac:dyDescent="0.25">
      <c r="A877" s="14" t="s">
        <v>938</v>
      </c>
      <c r="B877" s="20"/>
      <c r="C877" s="16">
        <v>0.43055555555555558</v>
      </c>
      <c r="D877" s="17" t="s">
        <v>1076</v>
      </c>
      <c r="E877" s="14">
        <v>31.335999999999999</v>
      </c>
      <c r="F877" s="14">
        <v>29</v>
      </c>
      <c r="G877" s="14">
        <v>58</v>
      </c>
      <c r="H877" s="18">
        <v>251</v>
      </c>
      <c r="I877" s="19">
        <v>249.51</v>
      </c>
      <c r="J877" s="12">
        <f t="shared" si="52"/>
        <v>1.4900000000000091</v>
      </c>
      <c r="K877" s="14">
        <f t="shared" si="53"/>
        <v>2.2201000000000271</v>
      </c>
      <c r="L877" s="14">
        <f t="shared" si="54"/>
        <v>0.59362549800797171</v>
      </c>
      <c r="M877" s="14">
        <f t="shared" si="55"/>
        <v>1</v>
      </c>
    </row>
    <row r="878" spans="1:13" x14ac:dyDescent="0.25">
      <c r="A878" s="14" t="s">
        <v>939</v>
      </c>
      <c r="B878" s="20"/>
      <c r="C878" s="16">
        <v>0.44444444444444442</v>
      </c>
      <c r="D878" s="17" t="s">
        <v>1076</v>
      </c>
      <c r="E878" s="14">
        <v>33.500999999999998</v>
      </c>
      <c r="F878" s="14">
        <v>36</v>
      </c>
      <c r="G878" s="14">
        <v>86.3</v>
      </c>
      <c r="H878" s="18">
        <v>352</v>
      </c>
      <c r="I878" s="19">
        <v>349.30446999999998</v>
      </c>
      <c r="J878" s="12">
        <f t="shared" si="52"/>
        <v>2.6955300000000193</v>
      </c>
      <c r="K878" s="14">
        <f t="shared" si="53"/>
        <v>7.2658819809001036</v>
      </c>
      <c r="L878" s="14">
        <f t="shared" si="54"/>
        <v>0.76577556818182368</v>
      </c>
      <c r="M878" s="14">
        <f t="shared" si="55"/>
        <v>2</v>
      </c>
    </row>
    <row r="879" spans="1:13" x14ac:dyDescent="0.25">
      <c r="A879" s="14" t="s">
        <v>940</v>
      </c>
      <c r="B879" s="20"/>
      <c r="C879" s="16">
        <v>0.45833333333333331</v>
      </c>
      <c r="D879" s="17" t="s">
        <v>1076</v>
      </c>
      <c r="E879" s="14">
        <v>32.109000000000002</v>
      </c>
      <c r="F879" s="14">
        <v>61</v>
      </c>
      <c r="G879" s="14">
        <v>80.5</v>
      </c>
      <c r="H879" s="18">
        <v>285</v>
      </c>
      <c r="I879" s="19">
        <v>282.52222999999998</v>
      </c>
      <c r="J879" s="12">
        <f t="shared" si="52"/>
        <v>2.4777700000000209</v>
      </c>
      <c r="K879" s="14">
        <f t="shared" si="53"/>
        <v>6.1393441729001035</v>
      </c>
      <c r="L879" s="14">
        <f t="shared" si="54"/>
        <v>0.86939298245614771</v>
      </c>
      <c r="M879" s="14">
        <f t="shared" si="55"/>
        <v>3</v>
      </c>
    </row>
    <row r="880" spans="1:13" x14ac:dyDescent="0.25">
      <c r="A880" s="14" t="s">
        <v>941</v>
      </c>
      <c r="B880" s="20"/>
      <c r="C880" s="16">
        <v>0.47222222222222221</v>
      </c>
      <c r="D880" s="17" t="s">
        <v>1076</v>
      </c>
      <c r="E880" s="14">
        <v>30.045000000000002</v>
      </c>
      <c r="F880" s="14">
        <v>76</v>
      </c>
      <c r="G880" s="14">
        <v>82</v>
      </c>
      <c r="H880" s="18">
        <v>156</v>
      </c>
      <c r="I880" s="19">
        <v>153.77615000000009</v>
      </c>
      <c r="J880" s="12">
        <f t="shared" si="52"/>
        <v>2.2238499999999135</v>
      </c>
      <c r="K880" s="14">
        <f t="shared" si="53"/>
        <v>4.9455088224996153</v>
      </c>
      <c r="L880" s="14">
        <f t="shared" si="54"/>
        <v>1.4255448717948163</v>
      </c>
      <c r="M880" s="14">
        <f t="shared" si="55"/>
        <v>4</v>
      </c>
    </row>
    <row r="881" spans="1:13" x14ac:dyDescent="0.25">
      <c r="A881" s="14" t="s">
        <v>942</v>
      </c>
      <c r="B881" s="20"/>
      <c r="C881" s="16">
        <v>0.4861111111111111</v>
      </c>
      <c r="D881" s="17" t="s">
        <v>1076</v>
      </c>
      <c r="E881" s="14">
        <v>32.22</v>
      </c>
      <c r="F881" s="14">
        <v>66</v>
      </c>
      <c r="G881" s="14">
        <v>77</v>
      </c>
      <c r="H881" s="18">
        <v>304</v>
      </c>
      <c r="I881" s="19">
        <v>303.13</v>
      </c>
      <c r="J881" s="12">
        <f t="shared" si="52"/>
        <v>0.87000000000000455</v>
      </c>
      <c r="K881" s="14">
        <f t="shared" si="53"/>
        <v>0.7569000000000079</v>
      </c>
      <c r="L881" s="14">
        <f t="shared" si="54"/>
        <v>0.28618421052631732</v>
      </c>
      <c r="M881" s="14">
        <f t="shared" si="55"/>
        <v>5</v>
      </c>
    </row>
    <row r="882" spans="1:13" x14ac:dyDescent="0.25">
      <c r="A882" s="14" t="s">
        <v>943</v>
      </c>
      <c r="B882" s="21"/>
      <c r="C882" s="16">
        <v>0.5</v>
      </c>
      <c r="D882" s="17" t="s">
        <v>1076</v>
      </c>
      <c r="E882" s="14">
        <v>30.25</v>
      </c>
      <c r="F882" s="14">
        <v>78</v>
      </c>
      <c r="G882" s="14">
        <v>85.2</v>
      </c>
      <c r="H882" s="18">
        <v>159</v>
      </c>
      <c r="I882" s="19">
        <v>161.9675</v>
      </c>
      <c r="J882" s="12">
        <f t="shared" si="52"/>
        <v>2.9675000000000011</v>
      </c>
      <c r="K882" s="14">
        <f t="shared" si="53"/>
        <v>8.8060562500000064</v>
      </c>
      <c r="L882" s="14">
        <f t="shared" si="54"/>
        <v>1.8663522012578624</v>
      </c>
      <c r="M882" s="14">
        <f t="shared" si="55"/>
        <v>1</v>
      </c>
    </row>
    <row r="883" spans="1:13" x14ac:dyDescent="0.25">
      <c r="A883" s="14" t="s">
        <v>944</v>
      </c>
      <c r="B883" s="15" t="s">
        <v>945</v>
      </c>
      <c r="C883" s="16">
        <v>0.375</v>
      </c>
      <c r="D883" s="17" t="s">
        <v>1076</v>
      </c>
      <c r="E883" s="14">
        <v>32.909999999999997</v>
      </c>
      <c r="F883" s="14">
        <v>34</v>
      </c>
      <c r="G883" s="14">
        <v>92.5</v>
      </c>
      <c r="H883" s="18">
        <v>317</v>
      </c>
      <c r="I883" s="19">
        <v>319.15769999999998</v>
      </c>
      <c r="J883" s="12">
        <f t="shared" si="52"/>
        <v>2.1576999999999771</v>
      </c>
      <c r="K883" s="14">
        <f t="shared" si="53"/>
        <v>4.655669289999901</v>
      </c>
      <c r="L883" s="14">
        <f t="shared" si="54"/>
        <v>0.6806624605678161</v>
      </c>
      <c r="M883" s="14">
        <f t="shared" si="55"/>
        <v>2</v>
      </c>
    </row>
    <row r="884" spans="1:13" x14ac:dyDescent="0.25">
      <c r="A884" s="14" t="s">
        <v>946</v>
      </c>
      <c r="B884" s="20"/>
      <c r="C884" s="16">
        <v>0.3888888888888889</v>
      </c>
      <c r="D884" s="17" t="s">
        <v>1076</v>
      </c>
      <c r="E884" s="14">
        <v>31.577999999999999</v>
      </c>
      <c r="F884" s="14">
        <v>74</v>
      </c>
      <c r="G884" s="14">
        <v>61.4</v>
      </c>
      <c r="H884" s="18">
        <v>240</v>
      </c>
      <c r="I884" s="19">
        <v>243.94365999999999</v>
      </c>
      <c r="J884" s="12">
        <f t="shared" si="52"/>
        <v>3.9436599999999942</v>
      </c>
      <c r="K884" s="14">
        <f t="shared" si="53"/>
        <v>15.552454195599955</v>
      </c>
      <c r="L884" s="14">
        <f t="shared" si="54"/>
        <v>1.6431916666666644</v>
      </c>
      <c r="M884" s="14">
        <f t="shared" si="55"/>
        <v>3</v>
      </c>
    </row>
    <row r="885" spans="1:13" x14ac:dyDescent="0.25">
      <c r="A885" s="14" t="s">
        <v>947</v>
      </c>
      <c r="B885" s="20"/>
      <c r="C885" s="16">
        <v>0.40277777777777779</v>
      </c>
      <c r="D885" s="17" t="s">
        <v>1076</v>
      </c>
      <c r="E885" s="14">
        <v>31.24</v>
      </c>
      <c r="F885" s="14">
        <v>72</v>
      </c>
      <c r="G885" s="14">
        <v>92.7</v>
      </c>
      <c r="H885" s="18">
        <v>205</v>
      </c>
      <c r="I885" s="19">
        <v>204.61</v>
      </c>
      <c r="J885" s="12">
        <f t="shared" si="52"/>
        <v>0.38999999999998636</v>
      </c>
      <c r="K885" s="14">
        <f t="shared" si="53"/>
        <v>0.15209999999998935</v>
      </c>
      <c r="L885" s="14">
        <f t="shared" si="54"/>
        <v>0.19024390243901773</v>
      </c>
      <c r="M885" s="14">
        <f t="shared" si="55"/>
        <v>4</v>
      </c>
    </row>
    <row r="886" spans="1:13" x14ac:dyDescent="0.25">
      <c r="A886" s="14" t="s">
        <v>948</v>
      </c>
      <c r="B886" s="20"/>
      <c r="C886" s="16">
        <v>0.41666666666666669</v>
      </c>
      <c r="D886" s="17" t="s">
        <v>1076</v>
      </c>
      <c r="E886" s="14">
        <v>32.331000000000003</v>
      </c>
      <c r="F886" s="14">
        <v>64</v>
      </c>
      <c r="G886" s="14">
        <v>61.6</v>
      </c>
      <c r="H886" s="18">
        <v>285</v>
      </c>
      <c r="I886" s="19">
        <v>288.72457000000003</v>
      </c>
      <c r="J886" s="12">
        <f t="shared" si="52"/>
        <v>3.7245700000000284</v>
      </c>
      <c r="K886" s="14">
        <f t="shared" si="53"/>
        <v>13.87242168490021</v>
      </c>
      <c r="L886" s="14">
        <f t="shared" si="54"/>
        <v>1.3068666666666766</v>
      </c>
      <c r="M886" s="14">
        <f t="shared" si="55"/>
        <v>5</v>
      </c>
    </row>
    <row r="887" spans="1:13" x14ac:dyDescent="0.25">
      <c r="A887" s="14" t="s">
        <v>949</v>
      </c>
      <c r="B887" s="20"/>
      <c r="C887" s="16">
        <v>0.43055555555555558</v>
      </c>
      <c r="D887" s="17" t="s">
        <v>1076</v>
      </c>
      <c r="E887" s="14">
        <v>32.832999999999998</v>
      </c>
      <c r="F887" s="14">
        <v>29</v>
      </c>
      <c r="G887" s="14">
        <v>57.6</v>
      </c>
      <c r="H887" s="18">
        <v>313</v>
      </c>
      <c r="I887" s="19">
        <v>314.57850999999999</v>
      </c>
      <c r="J887" s="12">
        <f t="shared" si="52"/>
        <v>1.5785099999999943</v>
      </c>
      <c r="K887" s="14">
        <f t="shared" si="53"/>
        <v>2.4916938200999819</v>
      </c>
      <c r="L887" s="14">
        <f t="shared" si="54"/>
        <v>0.50431629392971067</v>
      </c>
      <c r="M887" s="14">
        <f t="shared" si="55"/>
        <v>1</v>
      </c>
    </row>
    <row r="888" spans="1:13" x14ac:dyDescent="0.25">
      <c r="A888" s="14" t="s">
        <v>950</v>
      </c>
      <c r="B888" s="20"/>
      <c r="C888" s="16">
        <v>0.44444444444444442</v>
      </c>
      <c r="D888" s="17" t="s">
        <v>1076</v>
      </c>
      <c r="E888" s="14">
        <v>31.827999999999999</v>
      </c>
      <c r="F888" s="14">
        <v>79</v>
      </c>
      <c r="G888" s="14">
        <v>60.5</v>
      </c>
      <c r="H888" s="18">
        <v>261</v>
      </c>
      <c r="I888" s="19">
        <v>259.8111600000002</v>
      </c>
      <c r="J888" s="12">
        <f t="shared" si="52"/>
        <v>1.1888399999998001</v>
      </c>
      <c r="K888" s="14">
        <f t="shared" si="53"/>
        <v>1.4133405455995245</v>
      </c>
      <c r="L888" s="14">
        <f t="shared" si="54"/>
        <v>0.4554942528734866</v>
      </c>
      <c r="M888" s="14">
        <f t="shared" si="55"/>
        <v>2</v>
      </c>
    </row>
    <row r="889" spans="1:13" x14ac:dyDescent="0.25">
      <c r="A889" s="14" t="s">
        <v>951</v>
      </c>
      <c r="B889" s="20"/>
      <c r="C889" s="16">
        <v>0.45833333333333331</v>
      </c>
      <c r="D889" s="17" t="s">
        <v>1076</v>
      </c>
      <c r="E889" s="14">
        <v>33.256</v>
      </c>
      <c r="F889" s="14">
        <v>25</v>
      </c>
      <c r="G889" s="14">
        <v>75.900000000000006</v>
      </c>
      <c r="H889" s="18">
        <v>348</v>
      </c>
      <c r="I889" s="19">
        <v>344.73432000000003</v>
      </c>
      <c r="J889" s="12">
        <f t="shared" si="52"/>
        <v>3.2656799999999748</v>
      </c>
      <c r="K889" s="14">
        <f t="shared" si="53"/>
        <v>10.664665862399836</v>
      </c>
      <c r="L889" s="14">
        <f t="shared" si="54"/>
        <v>0.93841379310344097</v>
      </c>
      <c r="M889" s="14">
        <f t="shared" si="55"/>
        <v>3</v>
      </c>
    </row>
    <row r="890" spans="1:13" x14ac:dyDescent="0.25">
      <c r="A890" s="14" t="s">
        <v>952</v>
      </c>
      <c r="B890" s="20"/>
      <c r="C890" s="16">
        <v>0.47222222222222221</v>
      </c>
      <c r="D890" s="17" t="s">
        <v>1076</v>
      </c>
      <c r="E890" s="14">
        <v>32.250999999999998</v>
      </c>
      <c r="F890" s="14">
        <v>38</v>
      </c>
      <c r="G890" s="14">
        <v>76.3</v>
      </c>
      <c r="H890" s="18">
        <v>303</v>
      </c>
      <c r="I890" s="19">
        <v>301.95999999999998</v>
      </c>
      <c r="J890" s="12">
        <f t="shared" si="52"/>
        <v>1.0400000000000205</v>
      </c>
      <c r="K890" s="14">
        <f t="shared" si="53"/>
        <v>1.0816000000000425</v>
      </c>
      <c r="L890" s="14">
        <f t="shared" si="54"/>
        <v>0.34323432343235</v>
      </c>
      <c r="M890" s="14">
        <f t="shared" si="55"/>
        <v>4</v>
      </c>
    </row>
    <row r="891" spans="1:13" x14ac:dyDescent="0.25">
      <c r="A891" s="14" t="s">
        <v>953</v>
      </c>
      <c r="B891" s="20"/>
      <c r="C891" s="16">
        <v>0.4861111111111111</v>
      </c>
      <c r="D891" s="17" t="s">
        <v>1076</v>
      </c>
      <c r="E891" s="14">
        <v>32.28</v>
      </c>
      <c r="F891" s="14">
        <v>42</v>
      </c>
      <c r="G891" s="14">
        <v>79</v>
      </c>
      <c r="H891" s="18">
        <v>296</v>
      </c>
      <c r="I891" s="19">
        <v>294.69159999999999</v>
      </c>
      <c r="J891" s="12">
        <f t="shared" si="52"/>
        <v>1.308400000000006</v>
      </c>
      <c r="K891" s="14">
        <f t="shared" si="53"/>
        <v>1.7119105600000157</v>
      </c>
      <c r="L891" s="14">
        <f t="shared" si="54"/>
        <v>0.44202702702702912</v>
      </c>
      <c r="M891" s="14">
        <f t="shared" si="55"/>
        <v>5</v>
      </c>
    </row>
    <row r="892" spans="1:13" x14ac:dyDescent="0.25">
      <c r="A892" s="14" t="s">
        <v>954</v>
      </c>
      <c r="B892" s="21"/>
      <c r="C892" s="16">
        <v>0.5</v>
      </c>
      <c r="D892" s="17" t="s">
        <v>1076</v>
      </c>
      <c r="E892" s="14">
        <v>34.031000000000013</v>
      </c>
      <c r="F892" s="14">
        <v>29</v>
      </c>
      <c r="G892" s="14">
        <v>60.1</v>
      </c>
      <c r="H892" s="18">
        <v>386</v>
      </c>
      <c r="I892" s="19">
        <v>389.82357000000002</v>
      </c>
      <c r="J892" s="12">
        <f t="shared" si="52"/>
        <v>3.8235700000000179</v>
      </c>
      <c r="K892" s="14">
        <f t="shared" si="53"/>
        <v>14.619687544900136</v>
      </c>
      <c r="L892" s="14">
        <f t="shared" si="54"/>
        <v>0.99056217616580766</v>
      </c>
      <c r="M892" s="14">
        <f t="shared" si="55"/>
        <v>1</v>
      </c>
    </row>
    <row r="893" spans="1:13" x14ac:dyDescent="0.25">
      <c r="A893" s="14" t="s">
        <v>955</v>
      </c>
      <c r="B893" s="15" t="s">
        <v>956</v>
      </c>
      <c r="C893" s="16">
        <v>0.375</v>
      </c>
      <c r="D893" s="17" t="s">
        <v>1076</v>
      </c>
      <c r="E893" s="14">
        <v>32.869999999999997</v>
      </c>
      <c r="F893" s="14">
        <v>32</v>
      </c>
      <c r="G893" s="14">
        <v>92.2</v>
      </c>
      <c r="H893" s="18">
        <v>314</v>
      </c>
      <c r="I893" s="19">
        <v>317.77890000000002</v>
      </c>
      <c r="J893" s="12">
        <f t="shared" si="52"/>
        <v>3.7789000000000215</v>
      </c>
      <c r="K893" s="14">
        <f t="shared" si="53"/>
        <v>14.280085210000163</v>
      </c>
      <c r="L893" s="14">
        <f t="shared" si="54"/>
        <v>1.2034713375796247</v>
      </c>
      <c r="M893" s="14">
        <f t="shared" si="55"/>
        <v>2</v>
      </c>
    </row>
    <row r="894" spans="1:13" x14ac:dyDescent="0.25">
      <c r="A894" s="14" t="s">
        <v>957</v>
      </c>
      <c r="B894" s="20"/>
      <c r="C894" s="16">
        <v>0.3888888888888889</v>
      </c>
      <c r="D894" s="17" t="s">
        <v>1076</v>
      </c>
      <c r="E894" s="14">
        <v>30.649000000000001</v>
      </c>
      <c r="F894" s="14">
        <v>76</v>
      </c>
      <c r="G894" s="14">
        <v>56.5</v>
      </c>
      <c r="H894" s="18">
        <v>194</v>
      </c>
      <c r="I894" s="19">
        <v>189.69603000000029</v>
      </c>
      <c r="J894" s="12">
        <f t="shared" si="52"/>
        <v>4.3039699999997083</v>
      </c>
      <c r="K894" s="14">
        <f t="shared" si="53"/>
        <v>18.524157760897488</v>
      </c>
      <c r="L894" s="14">
        <f t="shared" si="54"/>
        <v>2.2185412371132518</v>
      </c>
      <c r="M894" s="14">
        <f t="shared" si="55"/>
        <v>3</v>
      </c>
    </row>
    <row r="895" spans="1:13" x14ac:dyDescent="0.25">
      <c r="A895" s="14" t="s">
        <v>958</v>
      </c>
      <c r="B895" s="20"/>
      <c r="C895" s="16">
        <v>0.40277777777777779</v>
      </c>
      <c r="D895" s="17" t="s">
        <v>1076</v>
      </c>
      <c r="E895" s="14">
        <v>32.549000000000007</v>
      </c>
      <c r="F895" s="14">
        <v>43</v>
      </c>
      <c r="G895" s="14">
        <v>79.7</v>
      </c>
      <c r="H895" s="18">
        <v>291</v>
      </c>
      <c r="I895" s="19">
        <v>289.68903</v>
      </c>
      <c r="J895" s="12">
        <f t="shared" si="52"/>
        <v>1.3109699999999975</v>
      </c>
      <c r="K895" s="14">
        <f t="shared" si="53"/>
        <v>1.7186423408999936</v>
      </c>
      <c r="L895" s="14">
        <f t="shared" si="54"/>
        <v>0.4505051546391744</v>
      </c>
      <c r="M895" s="14">
        <f t="shared" si="55"/>
        <v>4</v>
      </c>
    </row>
    <row r="896" spans="1:13" x14ac:dyDescent="0.25">
      <c r="A896" s="14" t="s">
        <v>959</v>
      </c>
      <c r="B896" s="20"/>
      <c r="C896" s="16">
        <v>0.41666666666666669</v>
      </c>
      <c r="D896" s="17" t="s">
        <v>1076</v>
      </c>
      <c r="E896" s="14">
        <v>32.103000000000002</v>
      </c>
      <c r="F896" s="14">
        <v>43</v>
      </c>
      <c r="G896" s="14">
        <v>78.3</v>
      </c>
      <c r="H896" s="18">
        <v>293</v>
      </c>
      <c r="I896" s="19">
        <v>292.95999999999998</v>
      </c>
      <c r="J896" s="12">
        <f t="shared" si="52"/>
        <v>4.0000000000020464E-2</v>
      </c>
      <c r="K896" s="14">
        <f t="shared" si="53"/>
        <v>1.600000000001637E-3</v>
      </c>
      <c r="L896" s="14">
        <f t="shared" si="54"/>
        <v>1.3651877133112788E-2</v>
      </c>
      <c r="M896" s="14">
        <f t="shared" si="55"/>
        <v>5</v>
      </c>
    </row>
    <row r="897" spans="1:13" x14ac:dyDescent="0.25">
      <c r="A897" s="14" t="s">
        <v>960</v>
      </c>
      <c r="B897" s="20"/>
      <c r="C897" s="16">
        <v>0.43055555555555558</v>
      </c>
      <c r="D897" s="17" t="s">
        <v>1076</v>
      </c>
      <c r="E897" s="14">
        <v>32.832999999999998</v>
      </c>
      <c r="F897" s="14">
        <v>64</v>
      </c>
      <c r="G897" s="14">
        <v>82.5</v>
      </c>
      <c r="H897" s="18">
        <v>331</v>
      </c>
      <c r="I897" s="19">
        <v>330.87</v>
      </c>
      <c r="J897" s="12">
        <f t="shared" si="52"/>
        <v>0.12999999999999545</v>
      </c>
      <c r="K897" s="14">
        <f t="shared" si="53"/>
        <v>1.6899999999998819E-2</v>
      </c>
      <c r="L897" s="14">
        <f t="shared" si="54"/>
        <v>3.9274924471297719E-2</v>
      </c>
      <c r="M897" s="14">
        <f t="shared" si="55"/>
        <v>1</v>
      </c>
    </row>
    <row r="898" spans="1:13" x14ac:dyDescent="0.25">
      <c r="A898" s="14" t="s">
        <v>961</v>
      </c>
      <c r="B898" s="20"/>
      <c r="C898" s="16">
        <v>0.44444444444444442</v>
      </c>
      <c r="D898" s="17" t="s">
        <v>1076</v>
      </c>
      <c r="E898" s="14">
        <v>31.332000000000001</v>
      </c>
      <c r="F898" s="14">
        <v>49</v>
      </c>
      <c r="G898" s="14">
        <v>66.3</v>
      </c>
      <c r="H898" s="18">
        <v>226</v>
      </c>
      <c r="I898" s="19">
        <v>230.3140400000002</v>
      </c>
      <c r="J898" s="12">
        <f t="shared" si="52"/>
        <v>4.3140400000002046</v>
      </c>
      <c r="K898" s="14">
        <f t="shared" si="53"/>
        <v>18.610941121601766</v>
      </c>
      <c r="L898" s="14">
        <f t="shared" si="54"/>
        <v>1.9088672566372584</v>
      </c>
      <c r="M898" s="14">
        <f t="shared" si="55"/>
        <v>2</v>
      </c>
    </row>
    <row r="899" spans="1:13" x14ac:dyDescent="0.25">
      <c r="A899" s="14" t="s">
        <v>962</v>
      </c>
      <c r="B899" s="20"/>
      <c r="C899" s="16">
        <v>0.45833333333333331</v>
      </c>
      <c r="D899" s="17" t="s">
        <v>1076</v>
      </c>
      <c r="E899" s="14">
        <v>31.309000000000001</v>
      </c>
      <c r="F899" s="14">
        <v>27</v>
      </c>
      <c r="G899" s="14">
        <v>93.4</v>
      </c>
      <c r="H899" s="18">
        <v>213</v>
      </c>
      <c r="I899" s="19">
        <v>213.52</v>
      </c>
      <c r="J899" s="12">
        <f t="shared" ref="J899:J962" si="56">IF(OR(H899="",I899=""),"",ABS(H899-I899))</f>
        <v>0.52000000000001023</v>
      </c>
      <c r="K899" s="14">
        <f t="shared" ref="K899:K962" si="57">IF(OR(H899="",I899=""),"",(H899-I899)^2)</f>
        <v>0.27040000000001063</v>
      </c>
      <c r="L899" s="14">
        <f t="shared" ref="L899:L962" si="58">IF(OR(H899="",I899=""),"",IF(H899=0,"",ABS((H899-I899)/H899)*100))</f>
        <v>0.24413145539906583</v>
      </c>
      <c r="M899" s="14">
        <f t="shared" ref="M899:M962" si="59">MOD(ROW()-2,5)+1</f>
        <v>3</v>
      </c>
    </row>
    <row r="900" spans="1:13" x14ac:dyDescent="0.25">
      <c r="A900" s="14" t="s">
        <v>963</v>
      </c>
      <c r="B900" s="20"/>
      <c r="C900" s="16">
        <v>0.47222222222222221</v>
      </c>
      <c r="D900" s="17" t="s">
        <v>1076</v>
      </c>
      <c r="E900" s="14">
        <v>30.972000000000001</v>
      </c>
      <c r="F900" s="14">
        <v>33</v>
      </c>
      <c r="G900" s="14">
        <v>68.900000000000006</v>
      </c>
      <c r="H900" s="18">
        <v>222</v>
      </c>
      <c r="I900" s="19">
        <v>221.79</v>
      </c>
      <c r="J900" s="12">
        <f t="shared" si="56"/>
        <v>0.21000000000000796</v>
      </c>
      <c r="K900" s="14">
        <f t="shared" si="57"/>
        <v>4.4100000000003345E-2</v>
      </c>
      <c r="L900" s="14">
        <f t="shared" si="58"/>
        <v>9.459459459459818E-2</v>
      </c>
      <c r="M900" s="14">
        <f t="shared" si="59"/>
        <v>4</v>
      </c>
    </row>
    <row r="901" spans="1:13" x14ac:dyDescent="0.25">
      <c r="A901" s="14" t="s">
        <v>964</v>
      </c>
      <c r="B901" s="20"/>
      <c r="C901" s="16">
        <v>0.4861111111111111</v>
      </c>
      <c r="D901" s="17" t="s">
        <v>1076</v>
      </c>
      <c r="E901" s="14">
        <v>32.009</v>
      </c>
      <c r="F901" s="14">
        <v>34</v>
      </c>
      <c r="G901" s="14">
        <v>75.2</v>
      </c>
      <c r="H901" s="18">
        <v>270</v>
      </c>
      <c r="I901" s="19">
        <v>270.57522999999992</v>
      </c>
      <c r="J901" s="12">
        <f t="shared" si="56"/>
        <v>0.57522999999991953</v>
      </c>
      <c r="K901" s="14">
        <f t="shared" si="57"/>
        <v>0.3308895528999074</v>
      </c>
      <c r="L901" s="14">
        <f t="shared" si="58"/>
        <v>0.21304814814811834</v>
      </c>
      <c r="M901" s="14">
        <f t="shared" si="59"/>
        <v>5</v>
      </c>
    </row>
    <row r="902" spans="1:13" x14ac:dyDescent="0.25">
      <c r="A902" s="14" t="s">
        <v>965</v>
      </c>
      <c r="B902" s="21"/>
      <c r="C902" s="16">
        <v>0.5</v>
      </c>
      <c r="D902" s="17" t="s">
        <v>1076</v>
      </c>
      <c r="E902" s="14">
        <v>30.474</v>
      </c>
      <c r="F902" s="14">
        <v>40</v>
      </c>
      <c r="G902" s="14">
        <v>55.6</v>
      </c>
      <c r="H902" s="18">
        <v>191</v>
      </c>
      <c r="I902" s="19">
        <v>189.53</v>
      </c>
      <c r="J902" s="12">
        <f t="shared" si="56"/>
        <v>1.4699999999999989</v>
      </c>
      <c r="K902" s="14">
        <f t="shared" si="57"/>
        <v>2.1608999999999967</v>
      </c>
      <c r="L902" s="14">
        <f t="shared" si="58"/>
        <v>0.76963350785340245</v>
      </c>
      <c r="M902" s="14">
        <f t="shared" si="59"/>
        <v>1</v>
      </c>
    </row>
    <row r="903" spans="1:13" x14ac:dyDescent="0.25">
      <c r="A903" s="14" t="s">
        <v>966</v>
      </c>
      <c r="B903" s="15" t="s">
        <v>967</v>
      </c>
      <c r="C903" s="16">
        <v>0.375</v>
      </c>
      <c r="D903" s="17" t="s">
        <v>1076</v>
      </c>
      <c r="E903" s="14">
        <v>32.347000000000001</v>
      </c>
      <c r="F903" s="14">
        <v>43</v>
      </c>
      <c r="G903" s="14">
        <v>68.7</v>
      </c>
      <c r="H903" s="18">
        <v>276</v>
      </c>
      <c r="I903" s="19">
        <v>276.52</v>
      </c>
      <c r="J903" s="12">
        <f t="shared" si="56"/>
        <v>0.51999999999998181</v>
      </c>
      <c r="K903" s="14">
        <f t="shared" si="57"/>
        <v>0.2703999999999811</v>
      </c>
      <c r="L903" s="14">
        <f t="shared" si="58"/>
        <v>0.18840579710144267</v>
      </c>
      <c r="M903" s="14">
        <f t="shared" si="59"/>
        <v>2</v>
      </c>
    </row>
    <row r="904" spans="1:13" x14ac:dyDescent="0.25">
      <c r="A904" s="14" t="s">
        <v>968</v>
      </c>
      <c r="B904" s="20"/>
      <c r="C904" s="16">
        <v>0.3888888888888889</v>
      </c>
      <c r="D904" s="17" t="s">
        <v>1076</v>
      </c>
      <c r="E904" s="14">
        <v>33.012</v>
      </c>
      <c r="F904" s="14">
        <v>24</v>
      </c>
      <c r="G904" s="14">
        <v>92.5</v>
      </c>
      <c r="H904" s="18">
        <v>325</v>
      </c>
      <c r="I904" s="19">
        <v>329.22363999999999</v>
      </c>
      <c r="J904" s="12">
        <f t="shared" si="56"/>
        <v>4.223639999999989</v>
      </c>
      <c r="K904" s="14">
        <f t="shared" si="57"/>
        <v>17.839134849599908</v>
      </c>
      <c r="L904" s="14">
        <f t="shared" si="58"/>
        <v>1.299581538461535</v>
      </c>
      <c r="M904" s="14">
        <f t="shared" si="59"/>
        <v>3</v>
      </c>
    </row>
    <row r="905" spans="1:13" x14ac:dyDescent="0.25">
      <c r="A905" s="14" t="s">
        <v>969</v>
      </c>
      <c r="B905" s="20"/>
      <c r="C905" s="16">
        <v>0.40277777777777779</v>
      </c>
      <c r="D905" s="17" t="s">
        <v>1076</v>
      </c>
      <c r="E905" s="14">
        <v>32.773000000000003</v>
      </c>
      <c r="F905" s="14">
        <v>31</v>
      </c>
      <c r="G905" s="14">
        <v>75.5</v>
      </c>
      <c r="H905" s="18">
        <v>316</v>
      </c>
      <c r="I905" s="19">
        <v>316.01031000000012</v>
      </c>
      <c r="J905" s="12">
        <f t="shared" si="56"/>
        <v>1.0310000000117725E-2</v>
      </c>
      <c r="K905" s="14">
        <f t="shared" si="57"/>
        <v>1.062961000024275E-4</v>
      </c>
      <c r="L905" s="14">
        <f t="shared" si="58"/>
        <v>3.2626582278853563E-3</v>
      </c>
      <c r="M905" s="14">
        <f t="shared" si="59"/>
        <v>4</v>
      </c>
    </row>
    <row r="906" spans="1:13" x14ac:dyDescent="0.25">
      <c r="A906" s="14" t="s">
        <v>970</v>
      </c>
      <c r="B906" s="20"/>
      <c r="C906" s="16">
        <v>0.41666666666666669</v>
      </c>
      <c r="D906" s="17" t="s">
        <v>1076</v>
      </c>
      <c r="E906" s="14">
        <v>33.259</v>
      </c>
      <c r="F906" s="14">
        <v>24</v>
      </c>
      <c r="G906" s="14">
        <v>81.5</v>
      </c>
      <c r="H906" s="18">
        <v>346</v>
      </c>
      <c r="I906" s="19">
        <v>344.91273000000001</v>
      </c>
      <c r="J906" s="12">
        <f t="shared" si="56"/>
        <v>1.0872699999999895</v>
      </c>
      <c r="K906" s="14">
        <f t="shared" si="57"/>
        <v>1.1821560528999773</v>
      </c>
      <c r="L906" s="14">
        <f t="shared" si="58"/>
        <v>0.31423988439306055</v>
      </c>
      <c r="M906" s="14">
        <f t="shared" si="59"/>
        <v>5</v>
      </c>
    </row>
    <row r="907" spans="1:13" x14ac:dyDescent="0.25">
      <c r="A907" s="14" t="s">
        <v>971</v>
      </c>
      <c r="B907" s="20"/>
      <c r="C907" s="16">
        <v>0.43055555555555558</v>
      </c>
      <c r="D907" s="17" t="s">
        <v>1076</v>
      </c>
      <c r="E907" s="14">
        <v>31.391999999999999</v>
      </c>
      <c r="F907" s="14">
        <v>26</v>
      </c>
      <c r="G907" s="14">
        <v>78.2</v>
      </c>
      <c r="H907" s="18">
        <v>230</v>
      </c>
      <c r="I907" s="19">
        <v>233.88224000000011</v>
      </c>
      <c r="J907" s="12">
        <f t="shared" si="56"/>
        <v>3.8822400000001096</v>
      </c>
      <c r="K907" s="14">
        <f t="shared" si="57"/>
        <v>15.07178741760085</v>
      </c>
      <c r="L907" s="14">
        <f t="shared" si="58"/>
        <v>1.6879304347826565</v>
      </c>
      <c r="M907" s="14">
        <f t="shared" si="59"/>
        <v>1</v>
      </c>
    </row>
    <row r="908" spans="1:13" x14ac:dyDescent="0.25">
      <c r="A908" s="14" t="s">
        <v>972</v>
      </c>
      <c r="B908" s="20"/>
      <c r="C908" s="16">
        <v>0.44444444444444442</v>
      </c>
      <c r="D908" s="17" t="s">
        <v>1076</v>
      </c>
      <c r="E908" s="14">
        <v>32.994</v>
      </c>
      <c r="F908" s="14">
        <v>65</v>
      </c>
      <c r="G908" s="14">
        <v>84.4</v>
      </c>
      <c r="H908" s="18">
        <v>335</v>
      </c>
      <c r="I908" s="19">
        <v>333.15318000000002</v>
      </c>
      <c r="J908" s="12">
        <f t="shared" si="56"/>
        <v>1.8468199999999797</v>
      </c>
      <c r="K908" s="14">
        <f t="shared" si="57"/>
        <v>3.4107441123999251</v>
      </c>
      <c r="L908" s="14">
        <f t="shared" si="58"/>
        <v>0.55128955223879994</v>
      </c>
      <c r="M908" s="14">
        <f t="shared" si="59"/>
        <v>2</v>
      </c>
    </row>
    <row r="909" spans="1:13" x14ac:dyDescent="0.25">
      <c r="A909" s="14" t="s">
        <v>973</v>
      </c>
      <c r="B909" s="20"/>
      <c r="C909" s="16">
        <v>0.45833333333333331</v>
      </c>
      <c r="D909" s="17" t="s">
        <v>1076</v>
      </c>
      <c r="E909" s="14">
        <v>31.88</v>
      </c>
      <c r="F909" s="14">
        <v>76</v>
      </c>
      <c r="G909" s="14">
        <v>59.9</v>
      </c>
      <c r="H909" s="18">
        <v>253</v>
      </c>
      <c r="I909" s="19">
        <v>252.90360000000001</v>
      </c>
      <c r="J909" s="12">
        <f t="shared" si="56"/>
        <v>9.6399999999988495E-2</v>
      </c>
      <c r="K909" s="14">
        <f t="shared" si="57"/>
        <v>9.2929599999977824E-3</v>
      </c>
      <c r="L909" s="14">
        <f t="shared" si="58"/>
        <v>3.8102766798414428E-2</v>
      </c>
      <c r="M909" s="14">
        <f t="shared" si="59"/>
        <v>3</v>
      </c>
    </row>
    <row r="910" spans="1:13" x14ac:dyDescent="0.25">
      <c r="A910" s="14" t="s">
        <v>974</v>
      </c>
      <c r="B910" s="20"/>
      <c r="C910" s="16">
        <v>0.47222222222222221</v>
      </c>
      <c r="D910" s="17" t="s">
        <v>1076</v>
      </c>
      <c r="E910" s="14">
        <v>33.381</v>
      </c>
      <c r="F910" s="14">
        <v>56</v>
      </c>
      <c r="G910" s="14">
        <v>69.3</v>
      </c>
      <c r="H910" s="18">
        <v>351</v>
      </c>
      <c r="I910" s="19">
        <v>352.16806999999989</v>
      </c>
      <c r="J910" s="12">
        <f t="shared" si="56"/>
        <v>1.1680699999998865</v>
      </c>
      <c r="K910" s="14">
        <f t="shared" si="57"/>
        <v>1.3643875248997348</v>
      </c>
      <c r="L910" s="14">
        <f t="shared" si="58"/>
        <v>0.33278347578344347</v>
      </c>
      <c r="M910" s="14">
        <f t="shared" si="59"/>
        <v>4</v>
      </c>
    </row>
    <row r="911" spans="1:13" x14ac:dyDescent="0.25">
      <c r="A911" s="14" t="s">
        <v>975</v>
      </c>
      <c r="B911" s="20"/>
      <c r="C911" s="16">
        <v>0.4861111111111111</v>
      </c>
      <c r="D911" s="17" t="s">
        <v>1076</v>
      </c>
      <c r="E911" s="14">
        <v>32.28</v>
      </c>
      <c r="F911" s="14">
        <v>35</v>
      </c>
      <c r="G911" s="14">
        <v>81.099999999999994</v>
      </c>
      <c r="H911" s="18">
        <v>288</v>
      </c>
      <c r="I911" s="19">
        <v>286.69160000000011</v>
      </c>
      <c r="J911" s="12">
        <f t="shared" si="56"/>
        <v>1.3083999999998923</v>
      </c>
      <c r="K911" s="14">
        <f t="shared" si="57"/>
        <v>1.7119105599997182</v>
      </c>
      <c r="L911" s="14">
        <f t="shared" si="58"/>
        <v>0.45430555555551816</v>
      </c>
      <c r="M911" s="14">
        <f t="shared" si="59"/>
        <v>5</v>
      </c>
    </row>
    <row r="912" spans="1:13" x14ac:dyDescent="0.25">
      <c r="A912" s="14" t="s">
        <v>976</v>
      </c>
      <c r="B912" s="21"/>
      <c r="C912" s="16">
        <v>0.5</v>
      </c>
      <c r="D912" s="17" t="s">
        <v>1076</v>
      </c>
      <c r="E912" s="14">
        <v>30.77</v>
      </c>
      <c r="F912" s="14">
        <v>76</v>
      </c>
      <c r="G912" s="14">
        <v>93.4</v>
      </c>
      <c r="H912" s="18">
        <v>202</v>
      </c>
      <c r="I912" s="19">
        <v>199.89189999999999</v>
      </c>
      <c r="J912" s="12">
        <f t="shared" si="56"/>
        <v>2.1081000000000074</v>
      </c>
      <c r="K912" s="14">
        <f t="shared" si="57"/>
        <v>4.4440856100000312</v>
      </c>
      <c r="L912" s="14">
        <f t="shared" si="58"/>
        <v>1.0436138613861423</v>
      </c>
      <c r="M912" s="14">
        <f t="shared" si="59"/>
        <v>1</v>
      </c>
    </row>
    <row r="913" spans="1:13" x14ac:dyDescent="0.25">
      <c r="A913" s="14" t="s">
        <v>977</v>
      </c>
      <c r="B913" s="15" t="s">
        <v>978</v>
      </c>
      <c r="C913" s="16">
        <v>0.375</v>
      </c>
      <c r="D913" s="17" t="s">
        <v>1076</v>
      </c>
      <c r="E913" s="14">
        <v>30.741</v>
      </c>
      <c r="F913" s="14">
        <v>34</v>
      </c>
      <c r="G913" s="14">
        <v>80.2</v>
      </c>
      <c r="H913" s="18">
        <v>202</v>
      </c>
      <c r="I913" s="19">
        <v>199.16727</v>
      </c>
      <c r="J913" s="12">
        <f t="shared" si="56"/>
        <v>2.832729999999998</v>
      </c>
      <c r="K913" s="14">
        <f t="shared" si="57"/>
        <v>8.0243592528999876</v>
      </c>
      <c r="L913" s="14">
        <f t="shared" si="58"/>
        <v>1.4023415841584148</v>
      </c>
      <c r="M913" s="14">
        <f t="shared" si="59"/>
        <v>2</v>
      </c>
    </row>
    <row r="914" spans="1:13" x14ac:dyDescent="0.25">
      <c r="A914" s="14" t="s">
        <v>979</v>
      </c>
      <c r="B914" s="20"/>
      <c r="C914" s="16">
        <v>0.3888888888888889</v>
      </c>
      <c r="D914" s="17" t="s">
        <v>1076</v>
      </c>
      <c r="E914" s="14">
        <v>30.385999999999999</v>
      </c>
      <c r="F914" s="14">
        <v>31</v>
      </c>
      <c r="G914" s="14">
        <v>89.3</v>
      </c>
      <c r="H914" s="18">
        <v>164</v>
      </c>
      <c r="I914" s="19">
        <v>163.05542</v>
      </c>
      <c r="J914" s="12">
        <f t="shared" si="56"/>
        <v>0.94458000000000197</v>
      </c>
      <c r="K914" s="14">
        <f t="shared" si="57"/>
        <v>0.89223137640000372</v>
      </c>
      <c r="L914" s="14">
        <f t="shared" si="58"/>
        <v>0.57596341463414757</v>
      </c>
      <c r="M914" s="14">
        <f t="shared" si="59"/>
        <v>3</v>
      </c>
    </row>
    <row r="915" spans="1:13" x14ac:dyDescent="0.25">
      <c r="A915" s="14" t="s">
        <v>980</v>
      </c>
      <c r="B915" s="20"/>
      <c r="C915" s="16">
        <v>0.40277777777777779</v>
      </c>
      <c r="D915" s="17" t="s">
        <v>1076</v>
      </c>
      <c r="E915" s="14">
        <v>30.731999999999999</v>
      </c>
      <c r="F915" s="14">
        <v>48</v>
      </c>
      <c r="G915" s="14">
        <v>67.8</v>
      </c>
      <c r="H915" s="18">
        <v>180</v>
      </c>
      <c r="I915" s="19">
        <v>183.63203999999999</v>
      </c>
      <c r="J915" s="12">
        <f t="shared" si="56"/>
        <v>3.6320399999999893</v>
      </c>
      <c r="K915" s="14">
        <f t="shared" si="57"/>
        <v>13.191714561599921</v>
      </c>
      <c r="L915" s="14">
        <f t="shared" si="58"/>
        <v>2.017799999999994</v>
      </c>
      <c r="M915" s="14">
        <f t="shared" si="59"/>
        <v>4</v>
      </c>
    </row>
    <row r="916" spans="1:13" x14ac:dyDescent="0.25">
      <c r="A916" s="14" t="s">
        <v>981</v>
      </c>
      <c r="B916" s="20"/>
      <c r="C916" s="16">
        <v>0.41666666666666669</v>
      </c>
      <c r="D916" s="17" t="s">
        <v>1076</v>
      </c>
      <c r="E916" s="14">
        <v>32.057000000000002</v>
      </c>
      <c r="F916" s="14">
        <v>41</v>
      </c>
      <c r="G916" s="14">
        <v>94.4</v>
      </c>
      <c r="H916" s="18">
        <v>286</v>
      </c>
      <c r="I916" s="19">
        <v>285.14999999999998</v>
      </c>
      <c r="J916" s="12">
        <f t="shared" si="56"/>
        <v>0.85000000000002274</v>
      </c>
      <c r="K916" s="14">
        <f t="shared" si="57"/>
        <v>0.72250000000003867</v>
      </c>
      <c r="L916" s="14">
        <f t="shared" si="58"/>
        <v>0.29720279720280518</v>
      </c>
      <c r="M916" s="14">
        <f t="shared" si="59"/>
        <v>5</v>
      </c>
    </row>
    <row r="917" spans="1:13" x14ac:dyDescent="0.25">
      <c r="A917" s="14" t="s">
        <v>982</v>
      </c>
      <c r="B917" s="20"/>
      <c r="C917" s="16">
        <v>0.43055555555555558</v>
      </c>
      <c r="D917" s="17" t="s">
        <v>1076</v>
      </c>
      <c r="E917" s="14">
        <v>31.189</v>
      </c>
      <c r="F917" s="14">
        <v>77</v>
      </c>
      <c r="G917" s="14">
        <v>58.3</v>
      </c>
      <c r="H917" s="18">
        <v>225</v>
      </c>
      <c r="I917" s="19">
        <v>221.80983000000009</v>
      </c>
      <c r="J917" s="12">
        <f t="shared" si="56"/>
        <v>3.1901699999999096</v>
      </c>
      <c r="K917" s="14">
        <f t="shared" si="57"/>
        <v>10.177184628899424</v>
      </c>
      <c r="L917" s="14">
        <f t="shared" si="58"/>
        <v>1.417853333333293</v>
      </c>
      <c r="M917" s="14">
        <f t="shared" si="59"/>
        <v>1</v>
      </c>
    </row>
    <row r="918" spans="1:13" x14ac:dyDescent="0.25">
      <c r="A918" s="14" t="s">
        <v>983</v>
      </c>
      <c r="B918" s="20"/>
      <c r="C918" s="16">
        <v>0.44444444444444442</v>
      </c>
      <c r="D918" s="17" t="s">
        <v>1076</v>
      </c>
      <c r="E918" s="14">
        <v>29.462</v>
      </c>
      <c r="F918" s="14">
        <v>62</v>
      </c>
      <c r="G918" s="14">
        <v>61.2</v>
      </c>
      <c r="H918" s="18">
        <v>112</v>
      </c>
      <c r="I918" s="19">
        <v>115.10514000000001</v>
      </c>
      <c r="J918" s="12">
        <f t="shared" si="56"/>
        <v>3.1051400000000058</v>
      </c>
      <c r="K918" s="14">
        <f t="shared" si="57"/>
        <v>9.6418944196000353</v>
      </c>
      <c r="L918" s="14">
        <f t="shared" si="58"/>
        <v>2.7724464285714339</v>
      </c>
      <c r="M918" s="14">
        <f t="shared" si="59"/>
        <v>2</v>
      </c>
    </row>
    <row r="919" spans="1:13" x14ac:dyDescent="0.25">
      <c r="A919" s="14" t="s">
        <v>984</v>
      </c>
      <c r="B919" s="20"/>
      <c r="C919" s="16">
        <v>0.45833333333333331</v>
      </c>
      <c r="D919" s="17" t="s">
        <v>1076</v>
      </c>
      <c r="E919" s="14">
        <v>33.887</v>
      </c>
      <c r="F919" s="14">
        <v>20</v>
      </c>
      <c r="G919" s="14">
        <v>71.599999999999994</v>
      </c>
      <c r="H919" s="18">
        <v>397</v>
      </c>
      <c r="I919" s="19">
        <v>396.52</v>
      </c>
      <c r="J919" s="12">
        <f t="shared" si="56"/>
        <v>0.48000000000001819</v>
      </c>
      <c r="K919" s="14">
        <f t="shared" si="57"/>
        <v>0.23040000000001745</v>
      </c>
      <c r="L919" s="14">
        <f t="shared" si="58"/>
        <v>0.12090680100756127</v>
      </c>
      <c r="M919" s="14">
        <f t="shared" si="59"/>
        <v>3</v>
      </c>
    </row>
    <row r="920" spans="1:13" x14ac:dyDescent="0.25">
      <c r="A920" s="14" t="s">
        <v>985</v>
      </c>
      <c r="B920" s="20"/>
      <c r="C920" s="16">
        <v>0.47222222222222221</v>
      </c>
      <c r="D920" s="17" t="s">
        <v>1076</v>
      </c>
      <c r="E920" s="14">
        <v>31.911999999999999</v>
      </c>
      <c r="F920" s="14">
        <v>54</v>
      </c>
      <c r="G920" s="14">
        <v>74.099999999999994</v>
      </c>
      <c r="H920" s="18">
        <v>266</v>
      </c>
      <c r="I920" s="19">
        <v>264.80664000000002</v>
      </c>
      <c r="J920" s="12">
        <f t="shared" si="56"/>
        <v>1.1933599999999842</v>
      </c>
      <c r="K920" s="14">
        <f t="shared" si="57"/>
        <v>1.4241080895999623</v>
      </c>
      <c r="L920" s="14">
        <f t="shared" si="58"/>
        <v>0.4486315789473625</v>
      </c>
      <c r="M920" s="14">
        <f t="shared" si="59"/>
        <v>4</v>
      </c>
    </row>
    <row r="921" spans="1:13" x14ac:dyDescent="0.25">
      <c r="A921" s="14" t="s">
        <v>986</v>
      </c>
      <c r="B921" s="20"/>
      <c r="C921" s="16">
        <v>0.4861111111111111</v>
      </c>
      <c r="D921" s="17" t="s">
        <v>1076</v>
      </c>
      <c r="E921" s="14">
        <v>33.317000000000007</v>
      </c>
      <c r="F921" s="14">
        <v>60</v>
      </c>
      <c r="G921" s="14">
        <v>68</v>
      </c>
      <c r="H921" s="18">
        <v>360</v>
      </c>
      <c r="I921" s="19">
        <v>359.52</v>
      </c>
      <c r="J921" s="12">
        <f t="shared" si="56"/>
        <v>0.48000000000001819</v>
      </c>
      <c r="K921" s="14">
        <f t="shared" si="57"/>
        <v>0.23040000000001745</v>
      </c>
      <c r="L921" s="14">
        <f t="shared" si="58"/>
        <v>0.13333333333333838</v>
      </c>
      <c r="M921" s="14">
        <f t="shared" si="59"/>
        <v>5</v>
      </c>
    </row>
    <row r="922" spans="1:13" x14ac:dyDescent="0.25">
      <c r="A922" s="14" t="s">
        <v>987</v>
      </c>
      <c r="B922" s="21"/>
      <c r="C922" s="16">
        <v>0.5</v>
      </c>
      <c r="D922" s="17" t="s">
        <v>1076</v>
      </c>
      <c r="E922" s="14">
        <v>31.888000000000002</v>
      </c>
      <c r="F922" s="14">
        <v>57</v>
      </c>
      <c r="G922" s="14">
        <v>87.5</v>
      </c>
      <c r="H922" s="18">
        <v>264</v>
      </c>
      <c r="I922" s="19">
        <v>263.37936000000008</v>
      </c>
      <c r="J922" s="12">
        <f t="shared" si="56"/>
        <v>0.62063999999992348</v>
      </c>
      <c r="K922" s="14">
        <f t="shared" si="57"/>
        <v>0.38519400959990502</v>
      </c>
      <c r="L922" s="14">
        <f t="shared" si="58"/>
        <v>0.2350909090908801</v>
      </c>
      <c r="M922" s="14">
        <f t="shared" si="59"/>
        <v>1</v>
      </c>
    </row>
    <row r="923" spans="1:13" x14ac:dyDescent="0.25">
      <c r="A923" s="14" t="s">
        <v>988</v>
      </c>
      <c r="B923" s="15" t="s">
        <v>989</v>
      </c>
      <c r="C923" s="16">
        <v>0.375</v>
      </c>
      <c r="D923" s="17" t="s">
        <v>1076</v>
      </c>
      <c r="E923" s="14">
        <v>32.026000000000003</v>
      </c>
      <c r="F923" s="14">
        <v>72</v>
      </c>
      <c r="G923" s="14">
        <v>83.1</v>
      </c>
      <c r="H923" s="18">
        <v>291</v>
      </c>
      <c r="I923" s="19">
        <v>289.51</v>
      </c>
      <c r="J923" s="12">
        <f t="shared" si="56"/>
        <v>1.4900000000000091</v>
      </c>
      <c r="K923" s="14">
        <f t="shared" si="57"/>
        <v>2.2201000000000271</v>
      </c>
      <c r="L923" s="14">
        <f t="shared" si="58"/>
        <v>0.51202749140893777</v>
      </c>
      <c r="M923" s="14">
        <f t="shared" si="59"/>
        <v>2</v>
      </c>
    </row>
    <row r="924" spans="1:13" x14ac:dyDescent="0.25">
      <c r="A924" s="14" t="s">
        <v>990</v>
      </c>
      <c r="B924" s="20"/>
      <c r="C924" s="16">
        <v>0.3888888888888889</v>
      </c>
      <c r="D924" s="17" t="s">
        <v>1076</v>
      </c>
      <c r="E924" s="14">
        <v>32.113999999999997</v>
      </c>
      <c r="F924" s="14">
        <v>56</v>
      </c>
      <c r="G924" s="14">
        <v>59.3</v>
      </c>
      <c r="H924" s="18">
        <v>293</v>
      </c>
      <c r="I924" s="19">
        <v>291.52999999999997</v>
      </c>
      <c r="J924" s="12">
        <f t="shared" si="56"/>
        <v>1.4700000000000273</v>
      </c>
      <c r="K924" s="14">
        <f t="shared" si="57"/>
        <v>2.1609000000000802</v>
      </c>
      <c r="L924" s="14">
        <f t="shared" si="58"/>
        <v>0.50170648464164747</v>
      </c>
      <c r="M924" s="14">
        <f t="shared" si="59"/>
        <v>3</v>
      </c>
    </row>
    <row r="925" spans="1:13" x14ac:dyDescent="0.25">
      <c r="A925" s="14" t="s">
        <v>991</v>
      </c>
      <c r="B925" s="20"/>
      <c r="C925" s="16">
        <v>0.40277777777777779</v>
      </c>
      <c r="D925" s="17" t="s">
        <v>1076</v>
      </c>
      <c r="E925" s="14">
        <v>32.156999999999996</v>
      </c>
      <c r="F925" s="14">
        <v>32</v>
      </c>
      <c r="G925" s="14">
        <v>81.3</v>
      </c>
      <c r="H925" s="18">
        <v>277</v>
      </c>
      <c r="I925" s="19">
        <v>279.37679000000031</v>
      </c>
      <c r="J925" s="12">
        <f t="shared" si="56"/>
        <v>2.3767900000003124</v>
      </c>
      <c r="K925" s="14">
        <f t="shared" si="57"/>
        <v>5.6491307041014851</v>
      </c>
      <c r="L925" s="14">
        <f t="shared" si="58"/>
        <v>0.85804693140805499</v>
      </c>
      <c r="M925" s="14">
        <f t="shared" si="59"/>
        <v>4</v>
      </c>
    </row>
    <row r="926" spans="1:13" x14ac:dyDescent="0.25">
      <c r="A926" s="14" t="s">
        <v>992</v>
      </c>
      <c r="B926" s="20"/>
      <c r="C926" s="16">
        <v>0.41666666666666669</v>
      </c>
      <c r="D926" s="17" t="s">
        <v>1076</v>
      </c>
      <c r="E926" s="14">
        <v>34.286000000000001</v>
      </c>
      <c r="F926" s="14">
        <v>21</v>
      </c>
      <c r="G926" s="14">
        <v>82.7</v>
      </c>
      <c r="H926" s="18">
        <v>415</v>
      </c>
      <c r="I926" s="19">
        <v>411.98842000000002</v>
      </c>
      <c r="J926" s="12">
        <f t="shared" si="56"/>
        <v>3.0115799999999808</v>
      </c>
      <c r="K926" s="14">
        <f t="shared" si="57"/>
        <v>9.069614096399885</v>
      </c>
      <c r="L926" s="14">
        <f t="shared" si="58"/>
        <v>0.72568192771083873</v>
      </c>
      <c r="M926" s="14">
        <f t="shared" si="59"/>
        <v>5</v>
      </c>
    </row>
    <row r="927" spans="1:13" x14ac:dyDescent="0.25">
      <c r="A927" s="14" t="s">
        <v>993</v>
      </c>
      <c r="B927" s="20"/>
      <c r="C927" s="16">
        <v>0.43055555555555558</v>
      </c>
      <c r="D927" s="17" t="s">
        <v>1076</v>
      </c>
      <c r="E927" s="14">
        <v>31.783999999999999</v>
      </c>
      <c r="F927" s="14">
        <v>42</v>
      </c>
      <c r="G927" s="14">
        <v>87.3</v>
      </c>
      <c r="H927" s="18">
        <v>263</v>
      </c>
      <c r="I927" s="19">
        <v>262.19448</v>
      </c>
      <c r="J927" s="12">
        <f t="shared" si="56"/>
        <v>0.80552000000000135</v>
      </c>
      <c r="K927" s="14">
        <f t="shared" si="57"/>
        <v>0.64886247040000222</v>
      </c>
      <c r="L927" s="14">
        <f t="shared" si="58"/>
        <v>0.30628136882129331</v>
      </c>
      <c r="M927" s="14">
        <f t="shared" si="59"/>
        <v>1</v>
      </c>
    </row>
    <row r="928" spans="1:13" x14ac:dyDescent="0.25">
      <c r="A928" s="14" t="s">
        <v>994</v>
      </c>
      <c r="B928" s="20"/>
      <c r="C928" s="16">
        <v>0.44444444444444442</v>
      </c>
      <c r="D928" s="17" t="s">
        <v>1076</v>
      </c>
      <c r="E928" s="14">
        <v>35.153000000000013</v>
      </c>
      <c r="F928" s="14">
        <v>30</v>
      </c>
      <c r="G928" s="14">
        <v>88.8</v>
      </c>
      <c r="H928" s="18">
        <v>471</v>
      </c>
      <c r="I928" s="19">
        <v>470.58</v>
      </c>
      <c r="J928" s="12">
        <f t="shared" si="56"/>
        <v>0.42000000000001592</v>
      </c>
      <c r="K928" s="14">
        <f t="shared" si="57"/>
        <v>0.17640000000001338</v>
      </c>
      <c r="L928" s="14">
        <f t="shared" si="58"/>
        <v>8.9171974522296374E-2</v>
      </c>
      <c r="M928" s="14">
        <f t="shared" si="59"/>
        <v>2</v>
      </c>
    </row>
    <row r="929" spans="1:13" x14ac:dyDescent="0.25">
      <c r="A929" s="14" t="s">
        <v>995</v>
      </c>
      <c r="B929" s="20"/>
      <c r="C929" s="16">
        <v>0.45833333333333331</v>
      </c>
      <c r="D929" s="17" t="s">
        <v>1076</v>
      </c>
      <c r="E929" s="14">
        <v>29.344000000000001</v>
      </c>
      <c r="F929" s="14">
        <v>50</v>
      </c>
      <c r="G929" s="14">
        <v>87</v>
      </c>
      <c r="H929" s="18">
        <v>103</v>
      </c>
      <c r="I929" s="19">
        <v>101.08768000000001</v>
      </c>
      <c r="J929" s="12">
        <f t="shared" si="56"/>
        <v>1.912319999999994</v>
      </c>
      <c r="K929" s="14">
        <f t="shared" si="57"/>
        <v>3.6569677823999771</v>
      </c>
      <c r="L929" s="14">
        <f t="shared" si="58"/>
        <v>1.8566213592232952</v>
      </c>
      <c r="M929" s="14">
        <f t="shared" si="59"/>
        <v>3</v>
      </c>
    </row>
    <row r="930" spans="1:13" x14ac:dyDescent="0.25">
      <c r="A930" s="14" t="s">
        <v>996</v>
      </c>
      <c r="B930" s="20"/>
      <c r="C930" s="16">
        <v>0.47222222222222221</v>
      </c>
      <c r="D930" s="17" t="s">
        <v>1076</v>
      </c>
      <c r="E930" s="14">
        <v>32.484999999999999</v>
      </c>
      <c r="F930" s="14">
        <v>33</v>
      </c>
      <c r="G930" s="14">
        <v>59</v>
      </c>
      <c r="H930" s="18">
        <v>305</v>
      </c>
      <c r="I930" s="19">
        <v>301.88294999999999</v>
      </c>
      <c r="J930" s="12">
        <f t="shared" si="56"/>
        <v>3.1170500000000061</v>
      </c>
      <c r="K930" s="14">
        <f t="shared" si="57"/>
        <v>9.7160007025000379</v>
      </c>
      <c r="L930" s="14">
        <f t="shared" si="58"/>
        <v>1.0219836065573791</v>
      </c>
      <c r="M930" s="14">
        <f t="shared" si="59"/>
        <v>4</v>
      </c>
    </row>
    <row r="931" spans="1:13" x14ac:dyDescent="0.25">
      <c r="A931" s="14" t="s">
        <v>997</v>
      </c>
      <c r="B931" s="20"/>
      <c r="C931" s="16">
        <v>0.4861111111111111</v>
      </c>
      <c r="D931" s="17" t="s">
        <v>1076</v>
      </c>
      <c r="E931" s="14">
        <v>30.725999999999999</v>
      </c>
      <c r="F931" s="14">
        <v>59</v>
      </c>
      <c r="G931" s="14">
        <v>61.6</v>
      </c>
      <c r="H931" s="18">
        <v>204</v>
      </c>
      <c r="I931" s="19">
        <v>201.27521999999999</v>
      </c>
      <c r="J931" s="12">
        <f t="shared" si="56"/>
        <v>2.7247800000000097</v>
      </c>
      <c r="K931" s="14">
        <f t="shared" si="57"/>
        <v>7.4244260484000533</v>
      </c>
      <c r="L931" s="14">
        <f t="shared" si="58"/>
        <v>1.3356764705882402</v>
      </c>
      <c r="M931" s="14">
        <f t="shared" si="59"/>
        <v>5</v>
      </c>
    </row>
    <row r="932" spans="1:13" x14ac:dyDescent="0.25">
      <c r="A932" s="14" t="s">
        <v>998</v>
      </c>
      <c r="B932" s="21"/>
      <c r="C932" s="16">
        <v>0.5</v>
      </c>
      <c r="D932" s="17" t="s">
        <v>1076</v>
      </c>
      <c r="E932" s="14">
        <v>32.644000000000013</v>
      </c>
      <c r="F932" s="14">
        <v>83</v>
      </c>
      <c r="G932" s="14">
        <v>89.9</v>
      </c>
      <c r="H932" s="18">
        <v>292</v>
      </c>
      <c r="I932" s="19">
        <v>291.52</v>
      </c>
      <c r="J932" s="12">
        <f t="shared" si="56"/>
        <v>0.48000000000001819</v>
      </c>
      <c r="K932" s="14">
        <f t="shared" si="57"/>
        <v>0.23040000000001745</v>
      </c>
      <c r="L932" s="14">
        <f t="shared" si="58"/>
        <v>0.16438356164384185</v>
      </c>
      <c r="M932" s="14">
        <f t="shared" si="59"/>
        <v>1</v>
      </c>
    </row>
    <row r="933" spans="1:13" x14ac:dyDescent="0.25">
      <c r="A933" s="14" t="s">
        <v>999</v>
      </c>
      <c r="B933" s="15" t="s">
        <v>1000</v>
      </c>
      <c r="C933" s="16">
        <v>0.375</v>
      </c>
      <c r="D933" s="17" t="s">
        <v>1076</v>
      </c>
      <c r="E933" s="14">
        <v>30.498999999999999</v>
      </c>
      <c r="F933" s="14">
        <v>72</v>
      </c>
      <c r="G933" s="14">
        <v>73.599999999999994</v>
      </c>
      <c r="H933" s="18">
        <v>170</v>
      </c>
      <c r="I933" s="19">
        <v>168.77553</v>
      </c>
      <c r="J933" s="12">
        <f t="shared" si="56"/>
        <v>1.2244699999999966</v>
      </c>
      <c r="K933" s="14">
        <f t="shared" si="57"/>
        <v>1.4993267808999917</v>
      </c>
      <c r="L933" s="14">
        <f t="shared" si="58"/>
        <v>0.7202764705882333</v>
      </c>
      <c r="M933" s="14">
        <f t="shared" si="59"/>
        <v>2</v>
      </c>
    </row>
    <row r="934" spans="1:13" x14ac:dyDescent="0.25">
      <c r="A934" s="14" t="s">
        <v>1001</v>
      </c>
      <c r="B934" s="20"/>
      <c r="C934" s="16">
        <v>0.3888888888888889</v>
      </c>
      <c r="D934" s="17" t="s">
        <v>1076</v>
      </c>
      <c r="E934" s="14">
        <v>32.255000000000003</v>
      </c>
      <c r="F934" s="14">
        <v>59</v>
      </c>
      <c r="G934" s="14">
        <v>91</v>
      </c>
      <c r="H934" s="18">
        <v>266</v>
      </c>
      <c r="I934" s="19">
        <v>267.63</v>
      </c>
      <c r="J934" s="12">
        <f t="shared" si="56"/>
        <v>1.6299999999999955</v>
      </c>
      <c r="K934" s="14">
        <f t="shared" si="57"/>
        <v>2.6568999999999852</v>
      </c>
      <c r="L934" s="14">
        <f t="shared" si="58"/>
        <v>0.61278195488721632</v>
      </c>
      <c r="M934" s="14">
        <f t="shared" si="59"/>
        <v>3</v>
      </c>
    </row>
    <row r="935" spans="1:13" x14ac:dyDescent="0.25">
      <c r="A935" s="14" t="s">
        <v>1002</v>
      </c>
      <c r="B935" s="20"/>
      <c r="C935" s="16">
        <v>0.40277777777777779</v>
      </c>
      <c r="D935" s="17" t="s">
        <v>1076</v>
      </c>
      <c r="E935" s="14">
        <v>30.241</v>
      </c>
      <c r="F935" s="14">
        <v>51</v>
      </c>
      <c r="G935" s="14">
        <v>66.3</v>
      </c>
      <c r="H935" s="18">
        <v>163</v>
      </c>
      <c r="I935" s="19">
        <v>165.43227000000019</v>
      </c>
      <c r="J935" s="12">
        <f t="shared" si="56"/>
        <v>2.4322700000001873</v>
      </c>
      <c r="K935" s="14">
        <f t="shared" si="57"/>
        <v>5.9159373529009116</v>
      </c>
      <c r="L935" s="14">
        <f t="shared" si="58"/>
        <v>1.4921901840491947</v>
      </c>
      <c r="M935" s="14">
        <f t="shared" si="59"/>
        <v>4</v>
      </c>
    </row>
    <row r="936" spans="1:13" x14ac:dyDescent="0.25">
      <c r="A936" s="14" t="s">
        <v>1003</v>
      </c>
      <c r="B936" s="20"/>
      <c r="C936" s="16">
        <v>0.41666666666666669</v>
      </c>
      <c r="D936" s="17" t="s">
        <v>1076</v>
      </c>
      <c r="E936" s="14">
        <v>34.189000000000007</v>
      </c>
      <c r="F936" s="14">
        <v>47</v>
      </c>
      <c r="G936" s="14">
        <v>59.5</v>
      </c>
      <c r="H936" s="18">
        <v>407</v>
      </c>
      <c r="I936" s="19">
        <v>405.21983</v>
      </c>
      <c r="J936" s="12">
        <f t="shared" si="56"/>
        <v>1.7801699999999983</v>
      </c>
      <c r="K936" s="14">
        <f t="shared" si="57"/>
        <v>3.1690052288999939</v>
      </c>
      <c r="L936" s="14">
        <f t="shared" si="58"/>
        <v>0.43738820638820591</v>
      </c>
      <c r="M936" s="14">
        <f t="shared" si="59"/>
        <v>5</v>
      </c>
    </row>
    <row r="937" spans="1:13" x14ac:dyDescent="0.25">
      <c r="A937" s="14" t="s">
        <v>1004</v>
      </c>
      <c r="B937" s="20"/>
      <c r="C937" s="16">
        <v>0.43055555555555558</v>
      </c>
      <c r="D937" s="17" t="s">
        <v>1076</v>
      </c>
      <c r="E937" s="14">
        <v>33.116</v>
      </c>
      <c r="F937" s="14">
        <v>30</v>
      </c>
      <c r="G937" s="14">
        <v>81.7</v>
      </c>
      <c r="H937" s="18">
        <v>351</v>
      </c>
      <c r="I937" s="19">
        <v>349.52</v>
      </c>
      <c r="J937" s="12">
        <f t="shared" si="56"/>
        <v>1.4800000000000182</v>
      </c>
      <c r="K937" s="14">
        <f t="shared" si="57"/>
        <v>2.1904000000000536</v>
      </c>
      <c r="L937" s="14">
        <f t="shared" si="58"/>
        <v>0.42165242165242683</v>
      </c>
      <c r="M937" s="14">
        <f t="shared" si="59"/>
        <v>1</v>
      </c>
    </row>
    <row r="938" spans="1:13" x14ac:dyDescent="0.25">
      <c r="A938" s="14" t="s">
        <v>1005</v>
      </c>
      <c r="B938" s="20"/>
      <c r="C938" s="16">
        <v>0.44444444444444442</v>
      </c>
      <c r="D938" s="17" t="s">
        <v>1076</v>
      </c>
      <c r="E938" s="14">
        <v>33.817999999999998</v>
      </c>
      <c r="F938" s="14">
        <v>30</v>
      </c>
      <c r="G938" s="14">
        <v>93.4</v>
      </c>
      <c r="H938" s="18">
        <v>379</v>
      </c>
      <c r="I938" s="19">
        <v>378.15645999999992</v>
      </c>
      <c r="J938" s="12">
        <f t="shared" si="56"/>
        <v>0.84354000000007545</v>
      </c>
      <c r="K938" s="14">
        <f t="shared" si="57"/>
        <v>0.71155973160012731</v>
      </c>
      <c r="L938" s="14">
        <f t="shared" si="58"/>
        <v>0.22256992084434707</v>
      </c>
      <c r="M938" s="14">
        <f t="shared" si="59"/>
        <v>2</v>
      </c>
    </row>
    <row r="939" spans="1:13" x14ac:dyDescent="0.25">
      <c r="A939" s="14" t="s">
        <v>1006</v>
      </c>
      <c r="B939" s="20"/>
      <c r="C939" s="16">
        <v>0.45833333333333331</v>
      </c>
      <c r="D939" s="17" t="s">
        <v>1076</v>
      </c>
      <c r="E939" s="14">
        <v>31.707000000000001</v>
      </c>
      <c r="F939" s="14">
        <v>35</v>
      </c>
      <c r="G939" s="14">
        <v>79.099999999999994</v>
      </c>
      <c r="H939" s="18">
        <v>268</v>
      </c>
      <c r="I939" s="19">
        <v>267.52</v>
      </c>
      <c r="J939" s="12">
        <f t="shared" si="56"/>
        <v>0.48000000000001819</v>
      </c>
      <c r="K939" s="14">
        <f t="shared" si="57"/>
        <v>0.23040000000001745</v>
      </c>
      <c r="L939" s="14">
        <f t="shared" si="58"/>
        <v>0.17910447761194709</v>
      </c>
      <c r="M939" s="14">
        <f t="shared" si="59"/>
        <v>3</v>
      </c>
    </row>
    <row r="940" spans="1:13" x14ac:dyDescent="0.25">
      <c r="A940" s="14" t="s">
        <v>1007</v>
      </c>
      <c r="B940" s="20"/>
      <c r="C940" s="16">
        <v>0.47222222222222221</v>
      </c>
      <c r="D940" s="17" t="s">
        <v>1076</v>
      </c>
      <c r="E940" s="14">
        <v>30.998999999999999</v>
      </c>
      <c r="F940" s="14">
        <v>49</v>
      </c>
      <c r="G940" s="14">
        <v>55.8</v>
      </c>
      <c r="H940" s="18">
        <v>198</v>
      </c>
      <c r="I940" s="19">
        <v>195.51052999999999</v>
      </c>
      <c r="J940" s="12">
        <f t="shared" si="56"/>
        <v>2.4894700000000114</v>
      </c>
      <c r="K940" s="14">
        <f t="shared" si="57"/>
        <v>6.1974608809000564</v>
      </c>
      <c r="L940" s="14">
        <f t="shared" si="58"/>
        <v>1.2573080808080865</v>
      </c>
      <c r="M940" s="14">
        <f t="shared" si="59"/>
        <v>4</v>
      </c>
    </row>
    <row r="941" spans="1:13" x14ac:dyDescent="0.25">
      <c r="A941" s="14" t="s">
        <v>1008</v>
      </c>
      <c r="B941" s="20"/>
      <c r="C941" s="16">
        <v>0.4861111111111111</v>
      </c>
      <c r="D941" s="17" t="s">
        <v>1076</v>
      </c>
      <c r="E941" s="14">
        <v>30.776</v>
      </c>
      <c r="F941" s="14">
        <v>56</v>
      </c>
      <c r="G941" s="14">
        <v>77.900000000000006</v>
      </c>
      <c r="H941" s="18">
        <v>181</v>
      </c>
      <c r="I941" s="19">
        <v>181.52</v>
      </c>
      <c r="J941" s="12">
        <f t="shared" si="56"/>
        <v>0.52000000000001023</v>
      </c>
      <c r="K941" s="14">
        <f t="shared" si="57"/>
        <v>0.27040000000001063</v>
      </c>
      <c r="L941" s="14">
        <f t="shared" si="58"/>
        <v>0.28729281767956366</v>
      </c>
      <c r="M941" s="14">
        <f t="shared" si="59"/>
        <v>5</v>
      </c>
    </row>
    <row r="942" spans="1:13" x14ac:dyDescent="0.25">
      <c r="A942" s="14" t="s">
        <v>1009</v>
      </c>
      <c r="B942" s="21"/>
      <c r="C942" s="16">
        <v>0.5</v>
      </c>
      <c r="D942" s="17" t="s">
        <v>1076</v>
      </c>
      <c r="E942" s="14">
        <v>32.662999999999997</v>
      </c>
      <c r="F942" s="14">
        <v>63</v>
      </c>
      <c r="G942" s="14">
        <v>85.7</v>
      </c>
      <c r="H942" s="18">
        <v>309</v>
      </c>
      <c r="I942" s="19">
        <v>309.46861000000013</v>
      </c>
      <c r="J942" s="12">
        <f t="shared" si="56"/>
        <v>0.46861000000012609</v>
      </c>
      <c r="K942" s="14">
        <f t="shared" si="57"/>
        <v>0.21959533210011817</v>
      </c>
      <c r="L942" s="14">
        <f t="shared" si="58"/>
        <v>0.15165372168288871</v>
      </c>
      <c r="M942" s="14">
        <f t="shared" si="59"/>
        <v>1</v>
      </c>
    </row>
    <row r="943" spans="1:13" x14ac:dyDescent="0.25">
      <c r="A943" s="14" t="s">
        <v>1010</v>
      </c>
      <c r="B943" s="15" t="s">
        <v>1011</v>
      </c>
      <c r="C943" s="16">
        <v>0.375</v>
      </c>
      <c r="D943" s="17" t="s">
        <v>1076</v>
      </c>
      <c r="E943" s="14">
        <v>33.525000000000013</v>
      </c>
      <c r="F943" s="14">
        <v>46</v>
      </c>
      <c r="G943" s="14">
        <v>82.9</v>
      </c>
      <c r="H943" s="18">
        <v>365</v>
      </c>
      <c r="I943" s="19">
        <v>360.73175000000037</v>
      </c>
      <c r="J943" s="12">
        <f t="shared" si="56"/>
        <v>4.2682499999996253</v>
      </c>
      <c r="K943" s="14">
        <f t="shared" si="57"/>
        <v>18.217958062496802</v>
      </c>
      <c r="L943" s="14">
        <f t="shared" si="58"/>
        <v>1.1693835616437329</v>
      </c>
      <c r="M943" s="14">
        <f t="shared" si="59"/>
        <v>2</v>
      </c>
    </row>
    <row r="944" spans="1:13" x14ac:dyDescent="0.25">
      <c r="A944" s="14" t="s">
        <v>1012</v>
      </c>
      <c r="B944" s="20"/>
      <c r="C944" s="16">
        <v>0.3888888888888889</v>
      </c>
      <c r="D944" s="17" t="s">
        <v>1076</v>
      </c>
      <c r="E944" s="14">
        <v>33.593000000000004</v>
      </c>
      <c r="F944" s="14">
        <v>79</v>
      </c>
      <c r="G944" s="14">
        <v>82.2</v>
      </c>
      <c r="H944" s="18">
        <v>365</v>
      </c>
      <c r="I944" s="19">
        <v>364.77571000000012</v>
      </c>
      <c r="J944" s="12">
        <f t="shared" si="56"/>
        <v>0.22428999999988264</v>
      </c>
      <c r="K944" s="14">
        <f t="shared" si="57"/>
        <v>5.0306004099947357E-2</v>
      </c>
      <c r="L944" s="14">
        <f t="shared" si="58"/>
        <v>6.1449315068460998E-2</v>
      </c>
      <c r="M944" s="14">
        <f t="shared" si="59"/>
        <v>3</v>
      </c>
    </row>
    <row r="945" spans="1:13" x14ac:dyDescent="0.25">
      <c r="A945" s="14" t="s">
        <v>1013</v>
      </c>
      <c r="B945" s="20"/>
      <c r="C945" s="16">
        <v>0.40277777777777779</v>
      </c>
      <c r="D945" s="17" t="s">
        <v>1076</v>
      </c>
      <c r="E945" s="14">
        <v>33.046000000000006</v>
      </c>
      <c r="F945" s="14">
        <v>79</v>
      </c>
      <c r="G945" s="14">
        <v>81.599999999999994</v>
      </c>
      <c r="H945" s="18">
        <v>313</v>
      </c>
      <c r="I945" s="19">
        <v>312.52</v>
      </c>
      <c r="J945" s="12">
        <f t="shared" si="56"/>
        <v>0.48000000000001819</v>
      </c>
      <c r="K945" s="14">
        <f t="shared" si="57"/>
        <v>0.23040000000001745</v>
      </c>
      <c r="L945" s="14">
        <f t="shared" si="58"/>
        <v>0.15335463258786525</v>
      </c>
      <c r="M945" s="14">
        <f t="shared" si="59"/>
        <v>4</v>
      </c>
    </row>
    <row r="946" spans="1:13" x14ac:dyDescent="0.25">
      <c r="A946" s="14" t="s">
        <v>1014</v>
      </c>
      <c r="B946" s="20"/>
      <c r="C946" s="16">
        <v>0.41666666666666669</v>
      </c>
      <c r="D946" s="17" t="s">
        <v>1076</v>
      </c>
      <c r="E946" s="14">
        <v>32.716999999999999</v>
      </c>
      <c r="F946" s="14">
        <v>74</v>
      </c>
      <c r="G946" s="14">
        <v>79.5</v>
      </c>
      <c r="H946" s="18">
        <v>312</v>
      </c>
      <c r="I946" s="19">
        <v>312.67998999999992</v>
      </c>
      <c r="J946" s="12">
        <f t="shared" si="56"/>
        <v>0.67998999999991838</v>
      </c>
      <c r="K946" s="14">
        <f t="shared" si="57"/>
        <v>0.46238640009988902</v>
      </c>
      <c r="L946" s="14">
        <f t="shared" si="58"/>
        <v>0.21794551282048666</v>
      </c>
      <c r="M946" s="14">
        <f t="shared" si="59"/>
        <v>5</v>
      </c>
    </row>
    <row r="947" spans="1:13" x14ac:dyDescent="0.25">
      <c r="A947" s="14" t="s">
        <v>1015</v>
      </c>
      <c r="B947" s="20"/>
      <c r="C947" s="16">
        <v>0.43055555555555558</v>
      </c>
      <c r="D947" s="17" t="s">
        <v>1076</v>
      </c>
      <c r="E947" s="14">
        <v>35.396000000000001</v>
      </c>
      <c r="F947" s="14">
        <v>33</v>
      </c>
      <c r="G947" s="14">
        <v>66.8</v>
      </c>
      <c r="H947" s="18">
        <v>460</v>
      </c>
      <c r="I947" s="19">
        <v>458.00011999999998</v>
      </c>
      <c r="J947" s="12">
        <f t="shared" si="56"/>
        <v>1.9998800000000188</v>
      </c>
      <c r="K947" s="14">
        <f t="shared" si="57"/>
        <v>3.9995200144000749</v>
      </c>
      <c r="L947" s="14">
        <f t="shared" si="58"/>
        <v>0.43475652173913448</v>
      </c>
      <c r="M947" s="14">
        <f t="shared" si="59"/>
        <v>1</v>
      </c>
    </row>
    <row r="948" spans="1:13" x14ac:dyDescent="0.25">
      <c r="A948" s="14" t="s">
        <v>1016</v>
      </c>
      <c r="B948" s="20"/>
      <c r="C948" s="16">
        <v>0.44444444444444442</v>
      </c>
      <c r="D948" s="17" t="s">
        <v>1076</v>
      </c>
      <c r="E948" s="14">
        <v>31.864999999999998</v>
      </c>
      <c r="F948" s="14">
        <v>73</v>
      </c>
      <c r="G948" s="14">
        <v>59.4</v>
      </c>
      <c r="H948" s="18">
        <v>268</v>
      </c>
      <c r="I948" s="19">
        <v>267.01155</v>
      </c>
      <c r="J948" s="12">
        <f t="shared" si="56"/>
        <v>0.98845000000000027</v>
      </c>
      <c r="K948" s="14">
        <f t="shared" si="57"/>
        <v>0.97703340250000059</v>
      </c>
      <c r="L948" s="14">
        <f t="shared" si="58"/>
        <v>0.36882462686567175</v>
      </c>
      <c r="M948" s="14">
        <f t="shared" si="59"/>
        <v>2</v>
      </c>
    </row>
    <row r="949" spans="1:13" x14ac:dyDescent="0.25">
      <c r="A949" s="14" t="s">
        <v>1017</v>
      </c>
      <c r="B949" s="20"/>
      <c r="C949" s="16">
        <v>0.45833333333333331</v>
      </c>
      <c r="D949" s="17" t="s">
        <v>1076</v>
      </c>
      <c r="E949" s="14">
        <v>31.298999999999999</v>
      </c>
      <c r="F949" s="14">
        <v>27</v>
      </c>
      <c r="G949" s="14">
        <v>82.9</v>
      </c>
      <c r="H949" s="18">
        <v>232</v>
      </c>
      <c r="I949" s="19">
        <v>228.35153000000011</v>
      </c>
      <c r="J949" s="12">
        <f t="shared" si="56"/>
        <v>3.6484699999998895</v>
      </c>
      <c r="K949" s="14">
        <f t="shared" si="57"/>
        <v>13.311333340899195</v>
      </c>
      <c r="L949" s="14">
        <f t="shared" si="58"/>
        <v>1.5726163793102974</v>
      </c>
      <c r="M949" s="14">
        <f t="shared" si="59"/>
        <v>3</v>
      </c>
    </row>
    <row r="950" spans="1:13" x14ac:dyDescent="0.25">
      <c r="A950" s="14" t="s">
        <v>1018</v>
      </c>
      <c r="B950" s="20"/>
      <c r="C950" s="16">
        <v>0.47222222222222221</v>
      </c>
      <c r="D950" s="17" t="s">
        <v>1076</v>
      </c>
      <c r="E950" s="14">
        <v>31.201000000000001</v>
      </c>
      <c r="F950" s="14">
        <v>47</v>
      </c>
      <c r="G950" s="14">
        <v>55.8</v>
      </c>
      <c r="H950" s="18">
        <v>214</v>
      </c>
      <c r="I950" s="19">
        <v>209.52347</v>
      </c>
      <c r="J950" s="12">
        <f t="shared" si="56"/>
        <v>4.4765299999999968</v>
      </c>
      <c r="K950" s="14">
        <f t="shared" si="57"/>
        <v>20.039320840899972</v>
      </c>
      <c r="L950" s="14">
        <f t="shared" si="58"/>
        <v>2.0918364485981291</v>
      </c>
      <c r="M950" s="14">
        <f t="shared" si="59"/>
        <v>4</v>
      </c>
    </row>
    <row r="951" spans="1:13" x14ac:dyDescent="0.25">
      <c r="A951" s="14" t="s">
        <v>1019</v>
      </c>
      <c r="B951" s="20"/>
      <c r="C951" s="16">
        <v>0.4861111111111111</v>
      </c>
      <c r="D951" s="17" t="s">
        <v>1076</v>
      </c>
      <c r="E951" s="14">
        <v>30.323</v>
      </c>
      <c r="F951" s="14">
        <v>42</v>
      </c>
      <c r="G951" s="14">
        <v>58</v>
      </c>
      <c r="H951" s="18">
        <v>166</v>
      </c>
      <c r="I951" s="19">
        <v>170.30881000000019</v>
      </c>
      <c r="J951" s="12">
        <f t="shared" si="56"/>
        <v>4.308810000000193</v>
      </c>
      <c r="K951" s="14">
        <f t="shared" si="57"/>
        <v>18.565843616101663</v>
      </c>
      <c r="L951" s="14">
        <f t="shared" si="58"/>
        <v>2.5956686746989117</v>
      </c>
      <c r="M951" s="14">
        <f t="shared" si="59"/>
        <v>5</v>
      </c>
    </row>
    <row r="952" spans="1:13" x14ac:dyDescent="0.25">
      <c r="A952" s="14" t="s">
        <v>1020</v>
      </c>
      <c r="B952" s="21"/>
      <c r="C952" s="16">
        <v>0.5</v>
      </c>
      <c r="D952" s="17" t="s">
        <v>1076</v>
      </c>
      <c r="E952" s="14">
        <v>33.692999999999998</v>
      </c>
      <c r="F952" s="14">
        <v>22</v>
      </c>
      <c r="G952" s="14">
        <v>67.8</v>
      </c>
      <c r="H952" s="18">
        <v>361</v>
      </c>
      <c r="I952" s="19">
        <v>359.72271000000001</v>
      </c>
      <c r="J952" s="12">
        <f t="shared" si="56"/>
        <v>1.2772899999999936</v>
      </c>
      <c r="K952" s="14">
        <f t="shared" si="57"/>
        <v>1.6314697440999837</v>
      </c>
      <c r="L952" s="14">
        <f t="shared" si="58"/>
        <v>0.35381994459833621</v>
      </c>
      <c r="M952" s="14">
        <f t="shared" si="59"/>
        <v>1</v>
      </c>
    </row>
    <row r="953" spans="1:13" x14ac:dyDescent="0.25">
      <c r="A953" s="14" t="s">
        <v>1021</v>
      </c>
      <c r="B953" s="15" t="s">
        <v>1022</v>
      </c>
      <c r="C953" s="16">
        <v>0.375</v>
      </c>
      <c r="D953" s="17" t="s">
        <v>1076</v>
      </c>
      <c r="E953" s="14">
        <v>30.562999999999999</v>
      </c>
      <c r="F953" s="14">
        <v>82</v>
      </c>
      <c r="G953" s="14">
        <v>91.3</v>
      </c>
      <c r="H953" s="18">
        <v>184</v>
      </c>
      <c r="I953" s="19">
        <v>184.58161000000021</v>
      </c>
      <c r="J953" s="12">
        <f t="shared" si="56"/>
        <v>0.5816100000002109</v>
      </c>
      <c r="K953" s="14">
        <f t="shared" si="57"/>
        <v>0.33827019210024534</v>
      </c>
      <c r="L953" s="14">
        <f t="shared" si="58"/>
        <v>0.31609239130446248</v>
      </c>
      <c r="M953" s="14">
        <f t="shared" si="59"/>
        <v>2</v>
      </c>
    </row>
    <row r="954" spans="1:13" x14ac:dyDescent="0.25">
      <c r="A954" s="14" t="s">
        <v>1023</v>
      </c>
      <c r="B954" s="20"/>
      <c r="C954" s="16">
        <v>0.3888888888888889</v>
      </c>
      <c r="D954" s="17" t="s">
        <v>1076</v>
      </c>
      <c r="E954" s="14">
        <v>31.343</v>
      </c>
      <c r="F954" s="14">
        <v>66</v>
      </c>
      <c r="G954" s="14">
        <v>92.4</v>
      </c>
      <c r="H954" s="18">
        <v>240</v>
      </c>
      <c r="I954" s="19">
        <v>239.96821</v>
      </c>
      <c r="J954" s="12">
        <f t="shared" si="56"/>
        <v>3.1790000000000873E-2</v>
      </c>
      <c r="K954" s="14">
        <f t="shared" si="57"/>
        <v>1.0106041000000556E-3</v>
      </c>
      <c r="L954" s="14">
        <f t="shared" si="58"/>
        <v>1.3245833333333696E-2</v>
      </c>
      <c r="M954" s="14">
        <f t="shared" si="59"/>
        <v>3</v>
      </c>
    </row>
    <row r="955" spans="1:13" x14ac:dyDescent="0.25">
      <c r="A955" s="14" t="s">
        <v>1024</v>
      </c>
      <c r="B955" s="20"/>
      <c r="C955" s="16">
        <v>0.40277777777777779</v>
      </c>
      <c r="D955" s="17" t="s">
        <v>1076</v>
      </c>
      <c r="E955" s="14">
        <v>33.272000000000013</v>
      </c>
      <c r="F955" s="14">
        <v>20</v>
      </c>
      <c r="G955" s="14">
        <v>74.3</v>
      </c>
      <c r="H955" s="18">
        <v>337</v>
      </c>
      <c r="I955" s="19">
        <v>335.68583999999998</v>
      </c>
      <c r="J955" s="12">
        <f t="shared" si="56"/>
        <v>1.3141600000000153</v>
      </c>
      <c r="K955" s="14">
        <f t="shared" si="57"/>
        <v>1.7270165056000402</v>
      </c>
      <c r="L955" s="14">
        <f t="shared" si="58"/>
        <v>0.38995845697329834</v>
      </c>
      <c r="M955" s="14">
        <f t="shared" si="59"/>
        <v>4</v>
      </c>
    </row>
    <row r="956" spans="1:13" x14ac:dyDescent="0.25">
      <c r="A956" s="14" t="s">
        <v>1025</v>
      </c>
      <c r="B956" s="20"/>
      <c r="C956" s="16">
        <v>0.41666666666666669</v>
      </c>
      <c r="D956" s="17" t="s">
        <v>1076</v>
      </c>
      <c r="E956" s="14">
        <v>31.754999999999999</v>
      </c>
      <c r="F956" s="14">
        <v>62</v>
      </c>
      <c r="G956" s="14">
        <v>91.8</v>
      </c>
      <c r="H956" s="18">
        <v>260</v>
      </c>
      <c r="I956" s="19">
        <v>256.46985000000001</v>
      </c>
      <c r="J956" s="12">
        <f t="shared" si="56"/>
        <v>3.5301499999999919</v>
      </c>
      <c r="K956" s="14">
        <f t="shared" si="57"/>
        <v>12.461959022499943</v>
      </c>
      <c r="L956" s="14">
        <f t="shared" si="58"/>
        <v>1.3577499999999969</v>
      </c>
      <c r="M956" s="14">
        <f t="shared" si="59"/>
        <v>5</v>
      </c>
    </row>
    <row r="957" spans="1:13" x14ac:dyDescent="0.25">
      <c r="A957" s="14" t="s">
        <v>1026</v>
      </c>
      <c r="B957" s="20"/>
      <c r="C957" s="16">
        <v>0.43055555555555558</v>
      </c>
      <c r="D957" s="17" t="s">
        <v>1076</v>
      </c>
      <c r="E957" s="14">
        <v>35.523000000000003</v>
      </c>
      <c r="F957" s="14">
        <v>31</v>
      </c>
      <c r="G957" s="14">
        <v>72.7</v>
      </c>
      <c r="H957" s="18">
        <v>475</v>
      </c>
      <c r="I957" s="19">
        <v>476.55281000000002</v>
      </c>
      <c r="J957" s="12">
        <f t="shared" si="56"/>
        <v>1.5528100000000222</v>
      </c>
      <c r="K957" s="14">
        <f t="shared" si="57"/>
        <v>2.4112188961000691</v>
      </c>
      <c r="L957" s="14">
        <f t="shared" si="58"/>
        <v>0.32690736842105733</v>
      </c>
      <c r="M957" s="14">
        <f t="shared" si="59"/>
        <v>1</v>
      </c>
    </row>
    <row r="958" spans="1:13" x14ac:dyDescent="0.25">
      <c r="A958" s="14" t="s">
        <v>1027</v>
      </c>
      <c r="B958" s="20"/>
      <c r="C958" s="16">
        <v>0.44444444444444442</v>
      </c>
      <c r="D958" s="17" t="s">
        <v>1076</v>
      </c>
      <c r="E958" s="14">
        <v>32.299000000000007</v>
      </c>
      <c r="F958" s="14">
        <v>84</v>
      </c>
      <c r="G958" s="14">
        <v>74</v>
      </c>
      <c r="H958" s="18">
        <v>281</v>
      </c>
      <c r="I958" s="19">
        <v>283.82153</v>
      </c>
      <c r="J958" s="12">
        <f t="shared" si="56"/>
        <v>2.8215299999999957</v>
      </c>
      <c r="K958" s="14">
        <f t="shared" si="57"/>
        <v>7.9610315408999757</v>
      </c>
      <c r="L958" s="14">
        <f t="shared" si="58"/>
        <v>1.0041032028469736</v>
      </c>
      <c r="M958" s="14">
        <f t="shared" si="59"/>
        <v>2</v>
      </c>
    </row>
    <row r="959" spans="1:13" x14ac:dyDescent="0.25">
      <c r="A959" s="14" t="s">
        <v>1028</v>
      </c>
      <c r="B959" s="20"/>
      <c r="C959" s="16">
        <v>0.45833333333333331</v>
      </c>
      <c r="D959" s="17" t="s">
        <v>1076</v>
      </c>
      <c r="E959" s="14">
        <v>31.422000000000001</v>
      </c>
      <c r="F959" s="14">
        <v>35</v>
      </c>
      <c r="G959" s="14">
        <v>82</v>
      </c>
      <c r="H959" s="18">
        <v>235</v>
      </c>
      <c r="I959" s="19">
        <v>235.66634000000019</v>
      </c>
      <c r="J959" s="12">
        <f t="shared" si="56"/>
        <v>0.66634000000019</v>
      </c>
      <c r="K959" s="14">
        <f t="shared" si="57"/>
        <v>0.4440089956002532</v>
      </c>
      <c r="L959" s="14">
        <f t="shared" si="58"/>
        <v>0.28354893617029364</v>
      </c>
      <c r="M959" s="14">
        <f t="shared" si="59"/>
        <v>3</v>
      </c>
    </row>
    <row r="960" spans="1:13" x14ac:dyDescent="0.25">
      <c r="A960" s="14" t="s">
        <v>1029</v>
      </c>
      <c r="B960" s="20"/>
      <c r="C960" s="16">
        <v>0.47222222222222221</v>
      </c>
      <c r="D960" s="17" t="s">
        <v>1076</v>
      </c>
      <c r="E960" s="14">
        <v>32.872</v>
      </c>
      <c r="F960" s="14">
        <v>79</v>
      </c>
      <c r="G960" s="14">
        <v>61.2</v>
      </c>
      <c r="H960" s="18">
        <v>313</v>
      </c>
      <c r="I960" s="19">
        <v>310.89783999999997</v>
      </c>
      <c r="J960" s="12">
        <f t="shared" si="56"/>
        <v>2.1021600000000262</v>
      </c>
      <c r="K960" s="14">
        <f t="shared" si="57"/>
        <v>4.4190766656001106</v>
      </c>
      <c r="L960" s="14">
        <f t="shared" si="58"/>
        <v>0.67161661341853873</v>
      </c>
      <c r="M960" s="14">
        <f t="shared" si="59"/>
        <v>4</v>
      </c>
    </row>
    <row r="961" spans="1:13" x14ac:dyDescent="0.25">
      <c r="A961" s="14" t="s">
        <v>1030</v>
      </c>
      <c r="B961" s="20"/>
      <c r="C961" s="16">
        <v>0.4861111111111111</v>
      </c>
      <c r="D961" s="17" t="s">
        <v>1076</v>
      </c>
      <c r="E961" s="14">
        <v>31.498000000000001</v>
      </c>
      <c r="F961" s="14">
        <v>54</v>
      </c>
      <c r="G961" s="14">
        <v>72</v>
      </c>
      <c r="H961" s="18">
        <v>235</v>
      </c>
      <c r="I961" s="19">
        <v>239.18606</v>
      </c>
      <c r="J961" s="12">
        <f t="shared" si="56"/>
        <v>4.1860599999999977</v>
      </c>
      <c r="K961" s="14">
        <f t="shared" si="57"/>
        <v>17.523098323599982</v>
      </c>
      <c r="L961" s="14">
        <f t="shared" si="58"/>
        <v>1.7813021276595735</v>
      </c>
      <c r="M961" s="14">
        <f t="shared" si="59"/>
        <v>5</v>
      </c>
    </row>
    <row r="962" spans="1:13" x14ac:dyDescent="0.25">
      <c r="A962" s="14" t="s">
        <v>1031</v>
      </c>
      <c r="B962" s="21"/>
      <c r="C962" s="16">
        <v>0.5</v>
      </c>
      <c r="D962" s="17" t="s">
        <v>1076</v>
      </c>
      <c r="E962" s="14">
        <v>32.119999999999997</v>
      </c>
      <c r="F962" s="14">
        <v>42</v>
      </c>
      <c r="G962" s="14">
        <v>56.4</v>
      </c>
      <c r="H962" s="18">
        <v>266</v>
      </c>
      <c r="I962" s="19">
        <v>265.1764</v>
      </c>
      <c r="J962" s="12">
        <f t="shared" si="56"/>
        <v>0.823599999999999</v>
      </c>
      <c r="K962" s="14">
        <f t="shared" si="57"/>
        <v>0.6783169599999983</v>
      </c>
      <c r="L962" s="14">
        <f t="shared" si="58"/>
        <v>0.30962406015037558</v>
      </c>
      <c r="M962" s="14">
        <f t="shared" si="59"/>
        <v>1</v>
      </c>
    </row>
    <row r="963" spans="1:13" x14ac:dyDescent="0.25">
      <c r="A963" s="14" t="s">
        <v>1032</v>
      </c>
      <c r="B963" s="15" t="s">
        <v>1033</v>
      </c>
      <c r="C963" s="16">
        <v>0.375</v>
      </c>
      <c r="D963" s="17" t="s">
        <v>1076</v>
      </c>
      <c r="E963" s="14">
        <v>32.220999999999997</v>
      </c>
      <c r="F963" s="14">
        <v>65</v>
      </c>
      <c r="G963" s="14">
        <v>64.8</v>
      </c>
      <c r="H963" s="18">
        <v>302</v>
      </c>
      <c r="I963" s="19">
        <v>301.89</v>
      </c>
      <c r="J963" s="12">
        <f t="shared" ref="J963:J1002" si="60">IF(OR(H963="",I963=""),"",ABS(H963-I963))</f>
        <v>0.11000000000001364</v>
      </c>
      <c r="K963" s="14">
        <f t="shared" ref="K963:K1002" si="61">IF(OR(H963="",I963=""),"",(H963-I963)^2)</f>
        <v>1.2100000000003001E-2</v>
      </c>
      <c r="L963" s="14">
        <f t="shared" ref="L963:L1002" si="62">IF(OR(H963="",I963=""),"",IF(H963=0,"",ABS((H963-I963)/H963)*100))</f>
        <v>3.6423841059607165E-2</v>
      </c>
      <c r="M963" s="14">
        <f t="shared" ref="M963:M1002" si="63">MOD(ROW()-2,5)+1</f>
        <v>2</v>
      </c>
    </row>
    <row r="964" spans="1:13" x14ac:dyDescent="0.25">
      <c r="A964" s="14" t="s">
        <v>1034</v>
      </c>
      <c r="B964" s="20"/>
      <c r="C964" s="16">
        <v>0.3888888888888889</v>
      </c>
      <c r="D964" s="17" t="s">
        <v>1076</v>
      </c>
      <c r="E964" s="14">
        <v>34.201000000000008</v>
      </c>
      <c r="F964" s="14">
        <v>82</v>
      </c>
      <c r="G964" s="14">
        <v>57.2</v>
      </c>
      <c r="H964" s="18">
        <v>402</v>
      </c>
      <c r="I964" s="19">
        <v>400.9334700000004</v>
      </c>
      <c r="J964" s="12">
        <f t="shared" si="60"/>
        <v>1.0665299999996023</v>
      </c>
      <c r="K964" s="14">
        <f t="shared" si="61"/>
        <v>1.1374862408991517</v>
      </c>
      <c r="L964" s="14">
        <f t="shared" si="62"/>
        <v>0.2653059701491548</v>
      </c>
      <c r="M964" s="14">
        <f t="shared" si="63"/>
        <v>3</v>
      </c>
    </row>
    <row r="965" spans="1:13" x14ac:dyDescent="0.25">
      <c r="A965" s="14" t="s">
        <v>1035</v>
      </c>
      <c r="B965" s="20"/>
      <c r="C965" s="16">
        <v>0.40277777777777779</v>
      </c>
      <c r="D965" s="17" t="s">
        <v>1076</v>
      </c>
      <c r="E965" s="14">
        <v>31.065000000000001</v>
      </c>
      <c r="F965" s="14">
        <v>70</v>
      </c>
      <c r="G965" s="14">
        <v>68.8</v>
      </c>
      <c r="H965" s="18">
        <v>208</v>
      </c>
      <c r="I965" s="19">
        <v>204.43555000000001</v>
      </c>
      <c r="J965" s="12">
        <f t="shared" si="60"/>
        <v>3.5644499999999937</v>
      </c>
      <c r="K965" s="14">
        <f t="shared" si="61"/>
        <v>12.705303802499955</v>
      </c>
      <c r="L965" s="14">
        <f t="shared" si="62"/>
        <v>1.7136778846153815</v>
      </c>
      <c r="M965" s="14">
        <f t="shared" si="63"/>
        <v>4</v>
      </c>
    </row>
    <row r="966" spans="1:13" x14ac:dyDescent="0.25">
      <c r="A966" s="14" t="s">
        <v>1036</v>
      </c>
      <c r="B966" s="20"/>
      <c r="C966" s="16">
        <v>0.41666666666666669</v>
      </c>
      <c r="D966" s="17" t="s">
        <v>1076</v>
      </c>
      <c r="E966" s="14">
        <v>32.848999999999997</v>
      </c>
      <c r="F966" s="14">
        <v>32</v>
      </c>
      <c r="G966" s="14">
        <v>76.900000000000006</v>
      </c>
      <c r="H966" s="18">
        <v>323</v>
      </c>
      <c r="I966" s="19">
        <v>320.53003000000012</v>
      </c>
      <c r="J966" s="12">
        <f t="shared" si="60"/>
        <v>2.4699699999998757</v>
      </c>
      <c r="K966" s="14">
        <f t="shared" si="61"/>
        <v>6.1007518008993857</v>
      </c>
      <c r="L966" s="14">
        <f t="shared" si="62"/>
        <v>0.76469659442720606</v>
      </c>
      <c r="M966" s="14">
        <f t="shared" si="63"/>
        <v>5</v>
      </c>
    </row>
    <row r="967" spans="1:13" x14ac:dyDescent="0.25">
      <c r="A967" s="14" t="s">
        <v>1037</v>
      </c>
      <c r="B967" s="20"/>
      <c r="C967" s="16">
        <v>0.43055555555555558</v>
      </c>
      <c r="D967" s="17" t="s">
        <v>1076</v>
      </c>
      <c r="E967" s="14">
        <v>33.613999999999997</v>
      </c>
      <c r="F967" s="14">
        <v>66</v>
      </c>
      <c r="G967" s="14">
        <v>90.2</v>
      </c>
      <c r="H967" s="18">
        <v>365</v>
      </c>
      <c r="I967" s="19">
        <v>366.02458000000019</v>
      </c>
      <c r="J967" s="12">
        <f t="shared" si="60"/>
        <v>1.024580000000185</v>
      </c>
      <c r="K967" s="14">
        <f t="shared" si="61"/>
        <v>1.0497641764003791</v>
      </c>
      <c r="L967" s="14">
        <f t="shared" si="62"/>
        <v>0.28070684931511919</v>
      </c>
      <c r="M967" s="14">
        <f t="shared" si="63"/>
        <v>1</v>
      </c>
    </row>
    <row r="968" spans="1:13" x14ac:dyDescent="0.25">
      <c r="A968" s="14" t="s">
        <v>1038</v>
      </c>
      <c r="B968" s="20"/>
      <c r="C968" s="16">
        <v>0.44444444444444442</v>
      </c>
      <c r="D968" s="17" t="s">
        <v>1076</v>
      </c>
      <c r="E968" s="14">
        <v>31.369</v>
      </c>
      <c r="F968" s="14">
        <v>79</v>
      </c>
      <c r="G968" s="14">
        <v>64.400000000000006</v>
      </c>
      <c r="H968" s="18">
        <v>231</v>
      </c>
      <c r="I968" s="19">
        <v>232.5144300000002</v>
      </c>
      <c r="J968" s="12">
        <f t="shared" si="60"/>
        <v>1.5144300000002033</v>
      </c>
      <c r="K968" s="14">
        <f t="shared" si="61"/>
        <v>2.2934982249006159</v>
      </c>
      <c r="L968" s="14">
        <f t="shared" si="62"/>
        <v>0.65559740259749066</v>
      </c>
      <c r="M968" s="14">
        <f t="shared" si="63"/>
        <v>2</v>
      </c>
    </row>
    <row r="969" spans="1:13" x14ac:dyDescent="0.25">
      <c r="A969" s="14" t="s">
        <v>1039</v>
      </c>
      <c r="B969" s="20"/>
      <c r="C969" s="16">
        <v>0.45833333333333331</v>
      </c>
      <c r="D969" s="17" t="s">
        <v>1076</v>
      </c>
      <c r="E969" s="14">
        <v>32.247999999999998</v>
      </c>
      <c r="F969" s="14">
        <v>29</v>
      </c>
      <c r="G969" s="14">
        <v>63.5</v>
      </c>
      <c r="H969" s="18">
        <v>291</v>
      </c>
      <c r="I969" s="19">
        <v>289.78856000000002</v>
      </c>
      <c r="J969" s="12">
        <f t="shared" si="60"/>
        <v>1.2114399999999819</v>
      </c>
      <c r="K969" s="14">
        <f t="shared" si="61"/>
        <v>1.467586873599956</v>
      </c>
      <c r="L969" s="14">
        <f t="shared" si="62"/>
        <v>0.41630240549827557</v>
      </c>
      <c r="M969" s="14">
        <f t="shared" si="63"/>
        <v>3</v>
      </c>
    </row>
    <row r="970" spans="1:13" x14ac:dyDescent="0.25">
      <c r="A970" s="14" t="s">
        <v>1040</v>
      </c>
      <c r="B970" s="20"/>
      <c r="C970" s="16">
        <v>0.47222222222222221</v>
      </c>
      <c r="D970" s="17" t="s">
        <v>1076</v>
      </c>
      <c r="E970" s="14">
        <v>31.338999999999999</v>
      </c>
      <c r="F970" s="14">
        <v>76</v>
      </c>
      <c r="G970" s="14">
        <v>75.599999999999994</v>
      </c>
      <c r="H970" s="18">
        <v>238</v>
      </c>
      <c r="I970" s="19">
        <v>237.73033000000001</v>
      </c>
      <c r="J970" s="12">
        <f t="shared" si="60"/>
        <v>0.26966999999999075</v>
      </c>
      <c r="K970" s="14">
        <f t="shared" si="61"/>
        <v>7.2721908899995011E-2</v>
      </c>
      <c r="L970" s="14">
        <f t="shared" si="62"/>
        <v>0.11330672268907173</v>
      </c>
      <c r="M970" s="14">
        <f t="shared" si="63"/>
        <v>4</v>
      </c>
    </row>
    <row r="971" spans="1:13" x14ac:dyDescent="0.25">
      <c r="A971" s="14" t="s">
        <v>1041</v>
      </c>
      <c r="B971" s="20"/>
      <c r="C971" s="16">
        <v>0.4861111111111111</v>
      </c>
      <c r="D971" s="17" t="s">
        <v>1076</v>
      </c>
      <c r="E971" s="14">
        <v>33.963000000000001</v>
      </c>
      <c r="F971" s="14">
        <v>54</v>
      </c>
      <c r="G971" s="14">
        <v>77</v>
      </c>
      <c r="H971" s="18">
        <v>382</v>
      </c>
      <c r="I971" s="19">
        <v>384.77960999999999</v>
      </c>
      <c r="J971" s="12">
        <f t="shared" si="60"/>
        <v>2.779609999999991</v>
      </c>
      <c r="K971" s="14">
        <f t="shared" si="61"/>
        <v>7.7262317520999497</v>
      </c>
      <c r="L971" s="14">
        <f t="shared" si="62"/>
        <v>0.72764659685863642</v>
      </c>
      <c r="M971" s="14">
        <f t="shared" si="63"/>
        <v>5</v>
      </c>
    </row>
    <row r="972" spans="1:13" x14ac:dyDescent="0.25">
      <c r="A972" s="14" t="s">
        <v>1042</v>
      </c>
      <c r="B972" s="21"/>
      <c r="C972" s="16">
        <v>0.5</v>
      </c>
      <c r="D972" s="17" t="s">
        <v>1076</v>
      </c>
      <c r="E972" s="14">
        <v>31.327999999999999</v>
      </c>
      <c r="F972" s="14">
        <v>78</v>
      </c>
      <c r="G972" s="14">
        <v>72</v>
      </c>
      <c r="H972" s="18">
        <v>225</v>
      </c>
      <c r="I972" s="19">
        <v>229.07615999999999</v>
      </c>
      <c r="J972" s="12">
        <f t="shared" si="60"/>
        <v>4.0761599999999873</v>
      </c>
      <c r="K972" s="14">
        <f t="shared" si="61"/>
        <v>16.615080345599896</v>
      </c>
      <c r="L972" s="14">
        <f t="shared" si="62"/>
        <v>1.8116266666666609</v>
      </c>
      <c r="M972" s="14">
        <f t="shared" si="63"/>
        <v>1</v>
      </c>
    </row>
    <row r="973" spans="1:13" x14ac:dyDescent="0.25">
      <c r="A973" s="14" t="s">
        <v>1043</v>
      </c>
      <c r="B973" s="15" t="s">
        <v>1044</v>
      </c>
      <c r="C973" s="16">
        <v>0.375</v>
      </c>
      <c r="D973" s="17" t="s">
        <v>1076</v>
      </c>
      <c r="E973" s="14">
        <v>32.625999999999998</v>
      </c>
      <c r="F973" s="14">
        <v>60</v>
      </c>
      <c r="G973" s="14">
        <v>89.7</v>
      </c>
      <c r="H973" s="18">
        <v>305</v>
      </c>
      <c r="I973" s="19">
        <v>307.26822000000021</v>
      </c>
      <c r="J973" s="12">
        <f t="shared" si="60"/>
        <v>2.2682200000002126</v>
      </c>
      <c r="K973" s="14">
        <f t="shared" si="61"/>
        <v>5.1448219684009642</v>
      </c>
      <c r="L973" s="14">
        <f t="shared" si="62"/>
        <v>0.7436786885246599</v>
      </c>
      <c r="M973" s="14">
        <f t="shared" si="63"/>
        <v>2</v>
      </c>
    </row>
    <row r="974" spans="1:13" x14ac:dyDescent="0.25">
      <c r="A974" s="14" t="s">
        <v>1045</v>
      </c>
      <c r="B974" s="20"/>
      <c r="C974" s="16">
        <v>0.3888888888888889</v>
      </c>
      <c r="D974" s="17" t="s">
        <v>1076</v>
      </c>
      <c r="E974" s="14">
        <v>31.966000000000001</v>
      </c>
      <c r="F974" s="14">
        <v>56</v>
      </c>
      <c r="G974" s="14">
        <v>87.2</v>
      </c>
      <c r="H974" s="18">
        <v>247</v>
      </c>
      <c r="I974" s="19">
        <v>247.61</v>
      </c>
      <c r="J974" s="12">
        <f t="shared" si="60"/>
        <v>0.61000000000001364</v>
      </c>
      <c r="K974" s="14">
        <f t="shared" si="61"/>
        <v>0.37210000000001664</v>
      </c>
      <c r="L974" s="14">
        <f t="shared" si="62"/>
        <v>0.24696356275304196</v>
      </c>
      <c r="M974" s="14">
        <f t="shared" si="63"/>
        <v>3</v>
      </c>
    </row>
    <row r="975" spans="1:13" x14ac:dyDescent="0.25">
      <c r="A975" s="14" t="s">
        <v>1046</v>
      </c>
      <c r="B975" s="20"/>
      <c r="C975" s="16">
        <v>0.40277777777777779</v>
      </c>
      <c r="D975" s="17" t="s">
        <v>1076</v>
      </c>
      <c r="E975" s="14">
        <v>32.588999999999999</v>
      </c>
      <c r="F975" s="14">
        <v>73</v>
      </c>
      <c r="G975" s="14">
        <v>79.5</v>
      </c>
      <c r="H975" s="18">
        <v>291</v>
      </c>
      <c r="I975" s="19">
        <v>289.06783000000001</v>
      </c>
      <c r="J975" s="12">
        <f t="shared" si="60"/>
        <v>1.9321699999999851</v>
      </c>
      <c r="K975" s="14">
        <f t="shared" si="61"/>
        <v>3.7332809088999421</v>
      </c>
      <c r="L975" s="14">
        <f t="shared" si="62"/>
        <v>0.66397594501717694</v>
      </c>
      <c r="M975" s="14">
        <f t="shared" si="63"/>
        <v>4</v>
      </c>
    </row>
    <row r="976" spans="1:13" x14ac:dyDescent="0.25">
      <c r="A976" s="14" t="s">
        <v>1047</v>
      </c>
      <c r="B976" s="20"/>
      <c r="C976" s="16">
        <v>0.41666666666666669</v>
      </c>
      <c r="D976" s="17" t="s">
        <v>1076</v>
      </c>
      <c r="E976" s="14">
        <v>31.669</v>
      </c>
      <c r="F976" s="14">
        <v>80</v>
      </c>
      <c r="G976" s="14">
        <v>85.5</v>
      </c>
      <c r="H976" s="18">
        <v>263</v>
      </c>
      <c r="I976" s="19">
        <v>262.51</v>
      </c>
      <c r="J976" s="12">
        <f t="shared" si="60"/>
        <v>0.49000000000000909</v>
      </c>
      <c r="K976" s="14">
        <f t="shared" si="61"/>
        <v>0.24010000000000892</v>
      </c>
      <c r="L976" s="14">
        <f t="shared" si="62"/>
        <v>0.1863117870722468</v>
      </c>
      <c r="M976" s="14">
        <f t="shared" si="63"/>
        <v>5</v>
      </c>
    </row>
    <row r="977" spans="1:13" x14ac:dyDescent="0.25">
      <c r="A977" s="14" t="s">
        <v>1048</v>
      </c>
      <c r="B977" s="20"/>
      <c r="C977" s="16">
        <v>0.43055555555555558</v>
      </c>
      <c r="D977" s="17" t="s">
        <v>1076</v>
      </c>
      <c r="E977" s="14">
        <v>29.748000000000001</v>
      </c>
      <c r="F977" s="14">
        <v>63</v>
      </c>
      <c r="G977" s="14">
        <v>62.7</v>
      </c>
      <c r="H977" s="18">
        <v>151</v>
      </c>
      <c r="I977" s="19">
        <v>149.51</v>
      </c>
      <c r="J977" s="12">
        <f t="shared" si="60"/>
        <v>1.4900000000000091</v>
      </c>
      <c r="K977" s="14">
        <f t="shared" si="61"/>
        <v>2.2201000000000271</v>
      </c>
      <c r="L977" s="14">
        <f t="shared" si="62"/>
        <v>0.98675496688742315</v>
      </c>
      <c r="M977" s="14">
        <f t="shared" si="63"/>
        <v>1</v>
      </c>
    </row>
    <row r="978" spans="1:13" x14ac:dyDescent="0.25">
      <c r="A978" s="14" t="s">
        <v>1049</v>
      </c>
      <c r="B978" s="20"/>
      <c r="C978" s="16">
        <v>0.44444444444444442</v>
      </c>
      <c r="D978" s="17" t="s">
        <v>1076</v>
      </c>
      <c r="E978" s="14">
        <v>32.35</v>
      </c>
      <c r="F978" s="14">
        <v>28</v>
      </c>
      <c r="G978" s="14">
        <v>60</v>
      </c>
      <c r="H978" s="18">
        <v>289</v>
      </c>
      <c r="I978" s="19">
        <v>290.85450000000009</v>
      </c>
      <c r="J978" s="12">
        <f t="shared" si="60"/>
        <v>1.8545000000000869</v>
      </c>
      <c r="K978" s="14">
        <f t="shared" si="61"/>
        <v>3.4391702500003221</v>
      </c>
      <c r="L978" s="14">
        <f t="shared" si="62"/>
        <v>0.6416955017301339</v>
      </c>
      <c r="M978" s="14">
        <f t="shared" si="63"/>
        <v>2</v>
      </c>
    </row>
    <row r="979" spans="1:13" x14ac:dyDescent="0.25">
      <c r="A979" s="14" t="s">
        <v>1050</v>
      </c>
      <c r="B979" s="20"/>
      <c r="C979" s="16">
        <v>0.45833333333333331</v>
      </c>
      <c r="D979" s="17" t="s">
        <v>1076</v>
      </c>
      <c r="E979" s="14">
        <v>31.361000000000001</v>
      </c>
      <c r="F979" s="14">
        <v>79</v>
      </c>
      <c r="G979" s="14">
        <v>63</v>
      </c>
      <c r="H979" s="18">
        <v>238</v>
      </c>
      <c r="I979" s="19">
        <v>236.03867</v>
      </c>
      <c r="J979" s="12">
        <f t="shared" si="60"/>
        <v>1.9613300000000038</v>
      </c>
      <c r="K979" s="14">
        <f t="shared" si="61"/>
        <v>3.8468153689000149</v>
      </c>
      <c r="L979" s="14">
        <f t="shared" si="62"/>
        <v>0.82408823529411912</v>
      </c>
      <c r="M979" s="14">
        <f t="shared" si="63"/>
        <v>3</v>
      </c>
    </row>
    <row r="980" spans="1:13" x14ac:dyDescent="0.25">
      <c r="A980" s="14" t="s">
        <v>1051</v>
      </c>
      <c r="B980" s="20"/>
      <c r="C980" s="16">
        <v>0.47222222222222221</v>
      </c>
      <c r="D980" s="17" t="s">
        <v>1076</v>
      </c>
      <c r="E980" s="14">
        <v>32.273000000000003</v>
      </c>
      <c r="F980" s="14">
        <v>42</v>
      </c>
      <c r="G980" s="14">
        <v>69.3</v>
      </c>
      <c r="H980" s="18">
        <v>289</v>
      </c>
      <c r="I980" s="19">
        <v>286.27531000000022</v>
      </c>
      <c r="J980" s="12">
        <f t="shared" si="60"/>
        <v>2.7246899999997822</v>
      </c>
      <c r="K980" s="14">
        <f t="shared" si="61"/>
        <v>7.4239355960988131</v>
      </c>
      <c r="L980" s="14">
        <f t="shared" si="62"/>
        <v>0.94279930795840206</v>
      </c>
      <c r="M980" s="14">
        <f t="shared" si="63"/>
        <v>4</v>
      </c>
    </row>
    <row r="981" spans="1:13" x14ac:dyDescent="0.25">
      <c r="A981" s="14" t="s">
        <v>1052</v>
      </c>
      <c r="B981" s="20"/>
      <c r="C981" s="16">
        <v>0.4861111111111111</v>
      </c>
      <c r="D981" s="17" t="s">
        <v>1076</v>
      </c>
      <c r="E981" s="14">
        <v>33.508000000000003</v>
      </c>
      <c r="F981" s="14">
        <v>69</v>
      </c>
      <c r="G981" s="14">
        <v>83.9</v>
      </c>
      <c r="H981" s="18">
        <v>389</v>
      </c>
      <c r="I981" s="19">
        <v>388.52</v>
      </c>
      <c r="J981" s="12">
        <f t="shared" si="60"/>
        <v>0.48000000000001819</v>
      </c>
      <c r="K981" s="14">
        <f t="shared" si="61"/>
        <v>0.23040000000001745</v>
      </c>
      <c r="L981" s="14">
        <f t="shared" si="62"/>
        <v>0.12339331619537741</v>
      </c>
      <c r="M981" s="14">
        <f t="shared" si="63"/>
        <v>5</v>
      </c>
    </row>
    <row r="982" spans="1:13" x14ac:dyDescent="0.25">
      <c r="A982" s="14" t="s">
        <v>1053</v>
      </c>
      <c r="B982" s="21"/>
      <c r="C982" s="16">
        <v>0.5</v>
      </c>
      <c r="D982" s="17" t="s">
        <v>1076</v>
      </c>
      <c r="E982" s="14">
        <v>32.06</v>
      </c>
      <c r="F982" s="14">
        <v>21</v>
      </c>
      <c r="G982" s="14">
        <v>92.4</v>
      </c>
      <c r="H982" s="18">
        <v>284</v>
      </c>
      <c r="I982" s="19">
        <v>283.14</v>
      </c>
      <c r="J982" s="12">
        <f t="shared" si="60"/>
        <v>0.86000000000001364</v>
      </c>
      <c r="K982" s="14">
        <f t="shared" si="61"/>
        <v>0.73960000000002346</v>
      </c>
      <c r="L982" s="14">
        <f t="shared" si="62"/>
        <v>0.30281690140845552</v>
      </c>
      <c r="M982" s="14">
        <f t="shared" si="63"/>
        <v>1</v>
      </c>
    </row>
    <row r="983" spans="1:13" x14ac:dyDescent="0.25">
      <c r="A983" s="14" t="s">
        <v>1054</v>
      </c>
      <c r="B983" s="15" t="s">
        <v>1055</v>
      </c>
      <c r="C983" s="16">
        <v>0.375</v>
      </c>
      <c r="D983" s="17" t="s">
        <v>1076</v>
      </c>
      <c r="E983" s="14">
        <v>30.785</v>
      </c>
      <c r="F983" s="14">
        <v>76</v>
      </c>
      <c r="G983" s="14">
        <v>77.400000000000006</v>
      </c>
      <c r="H983" s="18">
        <v>197</v>
      </c>
      <c r="I983" s="19">
        <v>197.7839500000002</v>
      </c>
      <c r="J983" s="12">
        <f t="shared" si="60"/>
        <v>0.78395000000020332</v>
      </c>
      <c r="K983" s="14">
        <f t="shared" si="61"/>
        <v>0.61457760250031879</v>
      </c>
      <c r="L983" s="14">
        <f t="shared" si="62"/>
        <v>0.39794416243665143</v>
      </c>
      <c r="M983" s="14">
        <f t="shared" si="63"/>
        <v>2</v>
      </c>
    </row>
    <row r="984" spans="1:13" x14ac:dyDescent="0.25">
      <c r="A984" s="14" t="s">
        <v>1056</v>
      </c>
      <c r="B984" s="20"/>
      <c r="C984" s="16">
        <v>0.3888888888888889</v>
      </c>
      <c r="D984" s="17" t="s">
        <v>1076</v>
      </c>
      <c r="E984" s="14">
        <v>32.031999999999996</v>
      </c>
      <c r="F984" s="14">
        <v>37</v>
      </c>
      <c r="G984" s="14">
        <v>94.3</v>
      </c>
      <c r="H984" s="18">
        <v>263</v>
      </c>
      <c r="I984" s="19">
        <v>261.94304</v>
      </c>
      <c r="J984" s="12">
        <f t="shared" si="60"/>
        <v>1.0569600000000037</v>
      </c>
      <c r="K984" s="14">
        <f t="shared" si="61"/>
        <v>1.1171644416000077</v>
      </c>
      <c r="L984" s="14">
        <f t="shared" si="62"/>
        <v>0.40188593155893676</v>
      </c>
      <c r="M984" s="14">
        <f t="shared" si="63"/>
        <v>3</v>
      </c>
    </row>
    <row r="985" spans="1:13" x14ac:dyDescent="0.25">
      <c r="A985" s="14" t="s">
        <v>1057</v>
      </c>
      <c r="B985" s="20"/>
      <c r="C985" s="16">
        <v>0.40277777777777779</v>
      </c>
      <c r="D985" s="17" t="s">
        <v>1076</v>
      </c>
      <c r="E985" s="14">
        <v>34.305000000000007</v>
      </c>
      <c r="F985" s="14">
        <v>80</v>
      </c>
      <c r="G985" s="14">
        <v>77.3</v>
      </c>
      <c r="H985" s="18">
        <v>392</v>
      </c>
      <c r="I985" s="19">
        <v>391.52</v>
      </c>
      <c r="J985" s="12">
        <f t="shared" si="60"/>
        <v>0.48000000000001819</v>
      </c>
      <c r="K985" s="14">
        <f t="shared" si="61"/>
        <v>0.23040000000001745</v>
      </c>
      <c r="L985" s="14">
        <f t="shared" si="62"/>
        <v>0.12244897959184137</v>
      </c>
      <c r="M985" s="14">
        <f t="shared" si="63"/>
        <v>4</v>
      </c>
    </row>
    <row r="986" spans="1:13" x14ac:dyDescent="0.25">
      <c r="A986" s="14" t="s">
        <v>1058</v>
      </c>
      <c r="B986" s="20"/>
      <c r="C986" s="16">
        <v>0.41666666666666669</v>
      </c>
      <c r="D986" s="17" t="s">
        <v>1076</v>
      </c>
      <c r="E986" s="14">
        <v>33.658000000000001</v>
      </c>
      <c r="F986" s="14">
        <v>71</v>
      </c>
      <c r="G986" s="14">
        <v>67.2</v>
      </c>
      <c r="H986" s="18">
        <v>371</v>
      </c>
      <c r="I986" s="19">
        <v>368.6412600000001</v>
      </c>
      <c r="J986" s="12">
        <f t="shared" si="60"/>
        <v>2.3587399999998979</v>
      </c>
      <c r="K986" s="14">
        <f t="shared" si="61"/>
        <v>5.5636543875995184</v>
      </c>
      <c r="L986" s="14">
        <f t="shared" si="62"/>
        <v>0.63577897574121234</v>
      </c>
      <c r="M986" s="14">
        <f t="shared" si="63"/>
        <v>5</v>
      </c>
    </row>
    <row r="987" spans="1:13" x14ac:dyDescent="0.25">
      <c r="A987" s="14" t="s">
        <v>1059</v>
      </c>
      <c r="B987" s="20"/>
      <c r="C987" s="16">
        <v>0.43055555555555558</v>
      </c>
      <c r="D987" s="17" t="s">
        <v>1076</v>
      </c>
      <c r="E987" s="14">
        <v>33.109000000000002</v>
      </c>
      <c r="F987" s="14">
        <v>74</v>
      </c>
      <c r="G987" s="14">
        <v>74.900000000000006</v>
      </c>
      <c r="H987" s="18">
        <v>329</v>
      </c>
      <c r="I987" s="19">
        <v>325.99223000000001</v>
      </c>
      <c r="J987" s="12">
        <f t="shared" si="60"/>
        <v>3.0077699999999936</v>
      </c>
      <c r="K987" s="14">
        <f t="shared" si="61"/>
        <v>9.0466803728999619</v>
      </c>
      <c r="L987" s="14">
        <f t="shared" si="62"/>
        <v>0.91421580547112258</v>
      </c>
      <c r="M987" s="14">
        <f t="shared" si="63"/>
        <v>1</v>
      </c>
    </row>
    <row r="988" spans="1:13" x14ac:dyDescent="0.25">
      <c r="A988" s="14" t="s">
        <v>1060</v>
      </c>
      <c r="B988" s="20"/>
      <c r="C988" s="16">
        <v>0.44444444444444442</v>
      </c>
      <c r="D988" s="17" t="s">
        <v>1076</v>
      </c>
      <c r="E988" s="14">
        <v>33.707000000000008</v>
      </c>
      <c r="F988" s="14">
        <v>58</v>
      </c>
      <c r="G988" s="14">
        <v>61.1</v>
      </c>
      <c r="H988" s="18">
        <v>359</v>
      </c>
      <c r="I988" s="19">
        <v>357.55529000000001</v>
      </c>
      <c r="J988" s="12">
        <f t="shared" si="60"/>
        <v>1.4447099999999864</v>
      </c>
      <c r="K988" s="14">
        <f t="shared" si="61"/>
        <v>2.0871869840999606</v>
      </c>
      <c r="L988" s="14">
        <f t="shared" si="62"/>
        <v>0.40242618384400736</v>
      </c>
      <c r="M988" s="14">
        <f t="shared" si="63"/>
        <v>2</v>
      </c>
    </row>
    <row r="989" spans="1:13" x14ac:dyDescent="0.25">
      <c r="A989" s="14" t="s">
        <v>1061</v>
      </c>
      <c r="B989" s="20"/>
      <c r="C989" s="16">
        <v>0.45833333333333331</v>
      </c>
      <c r="D989" s="17" t="s">
        <v>1076</v>
      </c>
      <c r="E989" s="14">
        <v>31.741</v>
      </c>
      <c r="F989" s="14">
        <v>20</v>
      </c>
      <c r="G989" s="14">
        <v>59.6</v>
      </c>
      <c r="H989" s="18">
        <v>249</v>
      </c>
      <c r="I989" s="19">
        <v>244.63727</v>
      </c>
      <c r="J989" s="12">
        <f t="shared" si="60"/>
        <v>4.3627299999999991</v>
      </c>
      <c r="K989" s="14">
        <f t="shared" si="61"/>
        <v>19.033413052899991</v>
      </c>
      <c r="L989" s="14">
        <f t="shared" si="62"/>
        <v>1.7521004016064254</v>
      </c>
      <c r="M989" s="14">
        <f t="shared" si="63"/>
        <v>3</v>
      </c>
    </row>
    <row r="990" spans="1:13" x14ac:dyDescent="0.25">
      <c r="A990" s="14" t="s">
        <v>1062</v>
      </c>
      <c r="B990" s="20"/>
      <c r="C990" s="16">
        <v>0.47222222222222221</v>
      </c>
      <c r="D990" s="17" t="s">
        <v>1076</v>
      </c>
      <c r="E990" s="14">
        <v>31.056000000000001</v>
      </c>
      <c r="F990" s="14">
        <v>23</v>
      </c>
      <c r="G990" s="14">
        <v>82.2</v>
      </c>
      <c r="H990" s="18">
        <v>204</v>
      </c>
      <c r="I990" s="19">
        <v>202.90031999999999</v>
      </c>
      <c r="J990" s="12">
        <f t="shared" si="60"/>
        <v>1.0996800000000064</v>
      </c>
      <c r="K990" s="14">
        <f t="shared" si="61"/>
        <v>1.2092961024000142</v>
      </c>
      <c r="L990" s="14">
        <f t="shared" si="62"/>
        <v>0.53905882352941492</v>
      </c>
      <c r="M990" s="14">
        <f t="shared" si="63"/>
        <v>4</v>
      </c>
    </row>
    <row r="991" spans="1:13" x14ac:dyDescent="0.25">
      <c r="A991" s="14" t="s">
        <v>1063</v>
      </c>
      <c r="B991" s="20"/>
      <c r="C991" s="16">
        <v>0.4861111111111111</v>
      </c>
      <c r="D991" s="17" t="s">
        <v>1076</v>
      </c>
      <c r="E991" s="14">
        <v>31.49</v>
      </c>
      <c r="F991" s="14">
        <v>22</v>
      </c>
      <c r="G991" s="14">
        <v>67.3</v>
      </c>
      <c r="H991" s="18">
        <v>256</v>
      </c>
      <c r="I991" s="19">
        <v>255.61</v>
      </c>
      <c r="J991" s="12">
        <f t="shared" si="60"/>
        <v>0.38999999999998636</v>
      </c>
      <c r="K991" s="14">
        <f t="shared" si="61"/>
        <v>0.15209999999998935</v>
      </c>
      <c r="L991" s="14">
        <f t="shared" si="62"/>
        <v>0.15234374999999467</v>
      </c>
      <c r="M991" s="14">
        <f t="shared" si="63"/>
        <v>5</v>
      </c>
    </row>
    <row r="992" spans="1:13" x14ac:dyDescent="0.25">
      <c r="A992" s="14" t="s">
        <v>1064</v>
      </c>
      <c r="B992" s="21"/>
      <c r="C992" s="16">
        <v>0.5</v>
      </c>
      <c r="D992" s="17" t="s">
        <v>1076</v>
      </c>
      <c r="E992" s="14">
        <v>31.864000000000001</v>
      </c>
      <c r="F992" s="14">
        <v>22</v>
      </c>
      <c r="G992" s="14">
        <v>66</v>
      </c>
      <c r="H992" s="18">
        <v>270</v>
      </c>
      <c r="I992" s="19">
        <v>268.95208000000002</v>
      </c>
      <c r="J992" s="12">
        <f t="shared" si="60"/>
        <v>1.0479199999999764</v>
      </c>
      <c r="K992" s="14">
        <f t="shared" si="61"/>
        <v>1.0981363263999506</v>
      </c>
      <c r="L992" s="14">
        <f t="shared" si="62"/>
        <v>0.38811851851850976</v>
      </c>
      <c r="M992" s="14">
        <f t="shared" si="63"/>
        <v>1</v>
      </c>
    </row>
    <row r="993" spans="1:13" x14ac:dyDescent="0.25">
      <c r="A993" s="14" t="s">
        <v>1065</v>
      </c>
      <c r="B993" s="15" t="s">
        <v>1066</v>
      </c>
      <c r="C993" s="16">
        <v>0.375</v>
      </c>
      <c r="D993" s="17" t="s">
        <v>1076</v>
      </c>
      <c r="E993" s="14">
        <v>30.673999999999999</v>
      </c>
      <c r="F993" s="14">
        <v>71</v>
      </c>
      <c r="G993" s="14">
        <v>71.7</v>
      </c>
      <c r="H993" s="18">
        <v>191</v>
      </c>
      <c r="I993" s="19">
        <v>191.18278000000009</v>
      </c>
      <c r="J993" s="12">
        <f t="shared" si="60"/>
        <v>0.18278000000009342</v>
      </c>
      <c r="K993" s="14">
        <f t="shared" si="61"/>
        <v>3.3408528400034151E-2</v>
      </c>
      <c r="L993" s="14">
        <f t="shared" si="62"/>
        <v>9.5696335078582939E-2</v>
      </c>
      <c r="M993" s="14">
        <f t="shared" si="63"/>
        <v>2</v>
      </c>
    </row>
    <row r="994" spans="1:13" x14ac:dyDescent="0.25">
      <c r="A994" s="14" t="s">
        <v>1067</v>
      </c>
      <c r="B994" s="20"/>
      <c r="C994" s="16">
        <v>0.3888888888888889</v>
      </c>
      <c r="D994" s="17" t="s">
        <v>1076</v>
      </c>
      <c r="E994" s="14">
        <v>32.36</v>
      </c>
      <c r="F994" s="14">
        <v>64</v>
      </c>
      <c r="G994" s="14">
        <v>69.2</v>
      </c>
      <c r="H994" s="18">
        <v>305</v>
      </c>
      <c r="I994" s="19">
        <v>304.56</v>
      </c>
      <c r="J994" s="12">
        <f t="shared" si="60"/>
        <v>0.43999999999999773</v>
      </c>
      <c r="K994" s="14">
        <f t="shared" si="61"/>
        <v>0.193599999999998</v>
      </c>
      <c r="L994" s="14">
        <f t="shared" si="62"/>
        <v>0.14426229508196647</v>
      </c>
      <c r="M994" s="14">
        <f t="shared" si="63"/>
        <v>3</v>
      </c>
    </row>
    <row r="995" spans="1:13" x14ac:dyDescent="0.25">
      <c r="A995" s="14" t="s">
        <v>1068</v>
      </c>
      <c r="B995" s="20"/>
      <c r="C995" s="16">
        <v>0.40277777777777779</v>
      </c>
      <c r="D995" s="17" t="s">
        <v>1076</v>
      </c>
      <c r="E995" s="14">
        <v>31.707000000000001</v>
      </c>
      <c r="F995" s="14">
        <v>66</v>
      </c>
      <c r="G995" s="14">
        <v>90.3</v>
      </c>
      <c r="H995" s="18">
        <v>253</v>
      </c>
      <c r="I995" s="19">
        <v>252.61529000000019</v>
      </c>
      <c r="J995" s="12">
        <f t="shared" si="60"/>
        <v>0.38470999999981359</v>
      </c>
      <c r="K995" s="14">
        <f t="shared" si="61"/>
        <v>0.14800178409985656</v>
      </c>
      <c r="L995" s="14">
        <f t="shared" si="62"/>
        <v>0.15205928853747575</v>
      </c>
      <c r="M995" s="14">
        <f t="shared" si="63"/>
        <v>4</v>
      </c>
    </row>
    <row r="996" spans="1:13" x14ac:dyDescent="0.25">
      <c r="A996" s="14" t="s">
        <v>1069</v>
      </c>
      <c r="B996" s="20"/>
      <c r="C996" s="16">
        <v>0.41666666666666669</v>
      </c>
      <c r="D996" s="17" t="s">
        <v>1076</v>
      </c>
      <c r="E996" s="14">
        <v>32.781999999999996</v>
      </c>
      <c r="F996" s="14">
        <v>26</v>
      </c>
      <c r="G996" s="14">
        <v>62.5</v>
      </c>
      <c r="H996" s="18">
        <v>309</v>
      </c>
      <c r="I996" s="19">
        <v>306.54554000000002</v>
      </c>
      <c r="J996" s="12">
        <f t="shared" si="60"/>
        <v>2.4544599999999832</v>
      </c>
      <c r="K996" s="14">
        <f t="shared" si="61"/>
        <v>6.0243738915999172</v>
      </c>
      <c r="L996" s="14">
        <f t="shared" si="62"/>
        <v>0.7943236245954638</v>
      </c>
      <c r="M996" s="14">
        <f t="shared" si="63"/>
        <v>5</v>
      </c>
    </row>
    <row r="997" spans="1:13" x14ac:dyDescent="0.25">
      <c r="A997" s="14" t="s">
        <v>1070</v>
      </c>
      <c r="B997" s="20"/>
      <c r="C997" s="16">
        <v>0.43055555555555558</v>
      </c>
      <c r="D997" s="17" t="s">
        <v>1076</v>
      </c>
      <c r="E997" s="14">
        <v>31.292000000000002</v>
      </c>
      <c r="F997" s="14">
        <v>37</v>
      </c>
      <c r="G997" s="14">
        <v>67.2</v>
      </c>
      <c r="H997" s="18">
        <v>242</v>
      </c>
      <c r="I997" s="19">
        <v>240.52</v>
      </c>
      <c r="J997" s="12">
        <f t="shared" si="60"/>
        <v>1.4799999999999898</v>
      </c>
      <c r="K997" s="14">
        <f t="shared" si="61"/>
        <v>2.1903999999999697</v>
      </c>
      <c r="L997" s="14">
        <f t="shared" si="62"/>
        <v>0.61157024793388015</v>
      </c>
      <c r="M997" s="14">
        <f t="shared" si="63"/>
        <v>1</v>
      </c>
    </row>
    <row r="998" spans="1:13" x14ac:dyDescent="0.25">
      <c r="A998" s="14" t="s">
        <v>1071</v>
      </c>
      <c r="B998" s="20"/>
      <c r="C998" s="16">
        <v>0.44444444444444442</v>
      </c>
      <c r="D998" s="17" t="s">
        <v>1076</v>
      </c>
      <c r="E998" s="14">
        <v>32.566000000000003</v>
      </c>
      <c r="F998" s="14">
        <v>78</v>
      </c>
      <c r="G998" s="14">
        <v>71.099999999999994</v>
      </c>
      <c r="H998" s="18">
        <v>309</v>
      </c>
      <c r="I998" s="19">
        <v>307.70001999999999</v>
      </c>
      <c r="J998" s="12">
        <f t="shared" si="60"/>
        <v>1.299980000000005</v>
      </c>
      <c r="K998" s="14">
        <f t="shared" si="61"/>
        <v>1.6899480004000131</v>
      </c>
      <c r="L998" s="14">
        <f t="shared" si="62"/>
        <v>0.42070550161812459</v>
      </c>
      <c r="M998" s="14">
        <f t="shared" si="63"/>
        <v>2</v>
      </c>
    </row>
    <row r="999" spans="1:13" x14ac:dyDescent="0.25">
      <c r="A999" s="14" t="s">
        <v>1072</v>
      </c>
      <c r="B999" s="20"/>
      <c r="C999" s="16">
        <v>0.45833333333333331</v>
      </c>
      <c r="D999" s="17" t="s">
        <v>1076</v>
      </c>
      <c r="E999" s="14">
        <v>30.934999999999999</v>
      </c>
      <c r="F999" s="14">
        <v>52</v>
      </c>
      <c r="G999" s="14">
        <v>77.2</v>
      </c>
      <c r="H999" s="18">
        <v>197</v>
      </c>
      <c r="I999" s="19">
        <v>196.70445000000001</v>
      </c>
      <c r="J999" s="12">
        <f t="shared" si="60"/>
        <v>0.29554999999999154</v>
      </c>
      <c r="K999" s="14">
        <f t="shared" si="61"/>
        <v>8.7349802499994994E-2</v>
      </c>
      <c r="L999" s="14">
        <f t="shared" si="62"/>
        <v>0.1500253807106556</v>
      </c>
      <c r="M999" s="14">
        <f t="shared" si="63"/>
        <v>3</v>
      </c>
    </row>
    <row r="1000" spans="1:13" x14ac:dyDescent="0.25">
      <c r="A1000" s="14" t="s">
        <v>1073</v>
      </c>
      <c r="B1000" s="20"/>
      <c r="C1000" s="16">
        <v>0.47222222222222221</v>
      </c>
      <c r="D1000" s="17" t="s">
        <v>1076</v>
      </c>
      <c r="E1000" s="14">
        <v>32.418000000000013</v>
      </c>
      <c r="F1000" s="14">
        <v>67</v>
      </c>
      <c r="G1000" s="14">
        <v>73.900000000000006</v>
      </c>
      <c r="H1000" s="18">
        <v>293</v>
      </c>
      <c r="I1000" s="19">
        <v>294.89846000000028</v>
      </c>
      <c r="J1000" s="12">
        <f t="shared" si="60"/>
        <v>1.8984600000002843</v>
      </c>
      <c r="K1000" s="14">
        <f t="shared" si="61"/>
        <v>3.6041503716010794</v>
      </c>
      <c r="L1000" s="14">
        <f t="shared" si="62"/>
        <v>0.64793856655299809</v>
      </c>
      <c r="M1000" s="14">
        <f t="shared" si="63"/>
        <v>4</v>
      </c>
    </row>
    <row r="1001" spans="1:13" x14ac:dyDescent="0.25">
      <c r="A1001" s="14" t="s">
        <v>1074</v>
      </c>
      <c r="B1001" s="20"/>
      <c r="C1001" s="16">
        <v>0.4861111111111111</v>
      </c>
      <c r="D1001" s="17" t="s">
        <v>1076</v>
      </c>
      <c r="E1001" s="14">
        <v>31.782</v>
      </c>
      <c r="F1001" s="14">
        <v>79</v>
      </c>
      <c r="G1001" s="14">
        <v>92.7</v>
      </c>
      <c r="H1001" s="18">
        <v>249</v>
      </c>
      <c r="I1001" s="19">
        <v>248.07553999999999</v>
      </c>
      <c r="J1001" s="12">
        <f t="shared" si="60"/>
        <v>0.9244600000000105</v>
      </c>
      <c r="K1001" s="14">
        <f t="shared" si="61"/>
        <v>0.85462629160001946</v>
      </c>
      <c r="L1001" s="14">
        <f t="shared" si="62"/>
        <v>0.3712690763052251</v>
      </c>
      <c r="M1001" s="14">
        <f t="shared" si="63"/>
        <v>5</v>
      </c>
    </row>
    <row r="1002" spans="1:13" x14ac:dyDescent="0.25">
      <c r="A1002" s="14" t="s">
        <v>1075</v>
      </c>
      <c r="B1002" s="21"/>
      <c r="C1002" s="16">
        <v>0.5</v>
      </c>
      <c r="D1002" s="17" t="s">
        <v>1076</v>
      </c>
      <c r="E1002" s="14">
        <v>31.178000000000001</v>
      </c>
      <c r="F1002" s="14">
        <v>34</v>
      </c>
      <c r="G1002" s="14">
        <v>75.599999999999994</v>
      </c>
      <c r="H1002" s="18">
        <v>208</v>
      </c>
      <c r="I1002" s="19">
        <v>207.15566000000001</v>
      </c>
      <c r="J1002" s="12">
        <f t="shared" si="60"/>
        <v>0.84433999999998832</v>
      </c>
      <c r="K1002" s="14">
        <f t="shared" si="61"/>
        <v>0.71291003559998023</v>
      </c>
      <c r="L1002" s="14">
        <f t="shared" si="62"/>
        <v>0.40593269230768669</v>
      </c>
      <c r="M1002" s="14">
        <f t="shared" si="63"/>
        <v>1</v>
      </c>
    </row>
  </sheetData>
  <sheetProtection algorithmName="SHA-512" hashValue="ZnjCxTR5GSya5Uy5J0fHMkFygX17FReOPxm/RakvTzWcHkF82H5gs3XHMb+k+T08Evez+TDBLZW+Utj2hun52Q==" saltValue="liBLvWC0hxPQ7HoNih7o4Q==" spinCount="100000" sheet="1" objects="1" scenarios="1"/>
  <mergeCells count="101">
    <mergeCell ref="B963:B972"/>
    <mergeCell ref="B973:B982"/>
    <mergeCell ref="B983:B992"/>
    <mergeCell ref="B993:B1002"/>
    <mergeCell ref="A1:M1"/>
    <mergeCell ref="B903:B912"/>
    <mergeCell ref="B913:B922"/>
    <mergeCell ref="B923:B932"/>
    <mergeCell ref="B933:B942"/>
    <mergeCell ref="B943:B952"/>
    <mergeCell ref="B953:B962"/>
    <mergeCell ref="B843:B852"/>
    <mergeCell ref="B853:B862"/>
    <mergeCell ref="B863:B872"/>
    <mergeCell ref="B873:B882"/>
    <mergeCell ref="B883:B892"/>
    <mergeCell ref="B893:B902"/>
    <mergeCell ref="B783:B792"/>
    <mergeCell ref="B793:B802"/>
    <mergeCell ref="B803:B812"/>
    <mergeCell ref="B813:B822"/>
    <mergeCell ref="B823:B832"/>
    <mergeCell ref="B833:B842"/>
    <mergeCell ref="B723:B732"/>
    <mergeCell ref="B733:B742"/>
    <mergeCell ref="B743:B752"/>
    <mergeCell ref="B753:B762"/>
    <mergeCell ref="B763:B772"/>
    <mergeCell ref="B773:B782"/>
    <mergeCell ref="B663:B672"/>
    <mergeCell ref="B673:B682"/>
    <mergeCell ref="B683:B692"/>
    <mergeCell ref="B693:B702"/>
    <mergeCell ref="B703:B712"/>
    <mergeCell ref="B713:B722"/>
    <mergeCell ref="B603:B612"/>
    <mergeCell ref="B613:B622"/>
    <mergeCell ref="B623:B632"/>
    <mergeCell ref="B633:B642"/>
    <mergeCell ref="B643:B652"/>
    <mergeCell ref="B653:B662"/>
    <mergeCell ref="B543:B552"/>
    <mergeCell ref="B553:B562"/>
    <mergeCell ref="B563:B572"/>
    <mergeCell ref="B573:B582"/>
    <mergeCell ref="B583:B592"/>
    <mergeCell ref="B593:B602"/>
    <mergeCell ref="B483:B492"/>
    <mergeCell ref="B493:B502"/>
    <mergeCell ref="B503:B512"/>
    <mergeCell ref="B513:B522"/>
    <mergeCell ref="B523:B532"/>
    <mergeCell ref="B533:B542"/>
    <mergeCell ref="B423:B432"/>
    <mergeCell ref="B433:B442"/>
    <mergeCell ref="B443:B452"/>
    <mergeCell ref="B453:B462"/>
    <mergeCell ref="B463:B472"/>
    <mergeCell ref="B473:B482"/>
    <mergeCell ref="B363:B372"/>
    <mergeCell ref="B373:B382"/>
    <mergeCell ref="B383:B392"/>
    <mergeCell ref="B393:B402"/>
    <mergeCell ref="B403:B412"/>
    <mergeCell ref="B413:B422"/>
    <mergeCell ref="B303:B312"/>
    <mergeCell ref="B313:B322"/>
    <mergeCell ref="B323:B332"/>
    <mergeCell ref="B333:B342"/>
    <mergeCell ref="B343:B352"/>
    <mergeCell ref="B353:B362"/>
    <mergeCell ref="B243:B252"/>
    <mergeCell ref="B253:B262"/>
    <mergeCell ref="B263:B272"/>
    <mergeCell ref="B273:B282"/>
    <mergeCell ref="B283:B292"/>
    <mergeCell ref="B293:B302"/>
    <mergeCell ref="B183:B192"/>
    <mergeCell ref="B193:B202"/>
    <mergeCell ref="B203:B212"/>
    <mergeCell ref="B213:B222"/>
    <mergeCell ref="B223:B232"/>
    <mergeCell ref="B233:B242"/>
    <mergeCell ref="B123:B132"/>
    <mergeCell ref="B133:B142"/>
    <mergeCell ref="B143:B152"/>
    <mergeCell ref="B153:B162"/>
    <mergeCell ref="B163:B172"/>
    <mergeCell ref="B173:B182"/>
    <mergeCell ref="B63:B72"/>
    <mergeCell ref="B73:B82"/>
    <mergeCell ref="B83:B92"/>
    <mergeCell ref="B93:B102"/>
    <mergeCell ref="B103:B112"/>
    <mergeCell ref="B113:B122"/>
    <mergeCell ref="B3:B12"/>
    <mergeCell ref="B13:B22"/>
    <mergeCell ref="B23:B32"/>
    <mergeCell ref="B33:B42"/>
    <mergeCell ref="B43:B52"/>
    <mergeCell ref="B53:B62"/>
  </mergeCells>
  <conditionalFormatting sqref="J3:J502">
    <cfRule type="colorScale" priority="2">
      <colorScale>
        <cfvo type="min"/>
        <cfvo type="percentile" val="50"/>
        <cfvo type="max"/>
        <color rgb="FFD9EAD3"/>
        <color rgb="FFFFF2CC"/>
        <color rgb="FFF4CCCC"/>
      </colorScale>
    </cfRule>
  </conditionalFormatting>
  <conditionalFormatting sqref="J503:J1002">
    <cfRule type="colorScale" priority="1">
      <colorScale>
        <cfvo type="min"/>
        <cfvo type="percentile" val="50"/>
        <cfvo type="max"/>
        <color rgb="FFD9EAD3"/>
        <color rgb="FFFFF2CC"/>
        <color rgb="FFF4CCCC"/>
      </colorScale>
    </cfRule>
  </conditionalFormatting>
  <dataValidations count="1">
    <dataValidation type="list" allowBlank="1" sqref="M3:M1002" xr:uid="{E446202A-BB1B-4432-982D-5563A7117B55}">
      <formula1>"1,2,3,4,5"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11BEC-9BA2-4D6F-B453-88EBA080CFC1}">
  <dimension ref="A1:X137"/>
  <sheetViews>
    <sheetView workbookViewId="0">
      <selection sqref="A1:M1"/>
    </sheetView>
  </sheetViews>
  <sheetFormatPr defaultRowHeight="13.8" x14ac:dyDescent="0.25"/>
  <cols>
    <col min="1" max="1" width="15" style="1" customWidth="1"/>
    <col min="2" max="2" width="22.33203125" style="1" customWidth="1"/>
    <col min="3" max="3" width="20.5546875" style="1" customWidth="1"/>
    <col min="4" max="4" width="15.109375" style="1" customWidth="1"/>
    <col min="5" max="5" width="18.6640625" style="1" customWidth="1"/>
    <col min="6" max="6" width="10.109375" style="1" customWidth="1"/>
    <col min="7" max="7" width="16" style="1" customWidth="1"/>
    <col min="8" max="8" width="43.33203125" style="1" customWidth="1"/>
    <col min="9" max="9" width="25" style="1" customWidth="1"/>
    <col min="10" max="10" width="24" style="1" customWidth="1"/>
    <col min="11" max="17" width="20" style="1" customWidth="1"/>
    <col min="18" max="18" width="16" style="1" customWidth="1"/>
    <col min="19" max="19" width="20" style="1" customWidth="1"/>
    <col min="20" max="20" width="18.44140625" style="1" customWidth="1"/>
    <col min="21" max="21" width="19.109375" style="1" customWidth="1"/>
    <col min="22" max="22" width="38.77734375" style="1" customWidth="1"/>
    <col min="23" max="23" width="30" style="1" customWidth="1"/>
    <col min="24" max="24" width="42" style="1" customWidth="1"/>
    <col min="25" max="16384" width="8.88671875" style="1"/>
  </cols>
  <sheetData>
    <row r="1" spans="1:24" ht="17.399999999999999" customHeight="1" x14ac:dyDescent="0.25">
      <c r="A1" s="22" t="s">
        <v>517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4"/>
    </row>
    <row r="2" spans="1:24" ht="36" customHeight="1" x14ac:dyDescent="0.25">
      <c r="A2" s="25" t="s">
        <v>1082</v>
      </c>
      <c r="B2" s="25" t="s">
        <v>1083</v>
      </c>
      <c r="C2" s="25" t="s">
        <v>1084</v>
      </c>
      <c r="D2" s="25" t="s">
        <v>1216</v>
      </c>
      <c r="E2" s="25" t="s">
        <v>1217</v>
      </c>
      <c r="F2" s="25" t="s">
        <v>1218</v>
      </c>
      <c r="G2" s="25" t="s">
        <v>1219</v>
      </c>
      <c r="H2" s="25" t="s">
        <v>1220</v>
      </c>
      <c r="I2" s="25" t="s">
        <v>1085</v>
      </c>
      <c r="J2" s="25" t="s">
        <v>1086</v>
      </c>
      <c r="K2" s="25" t="s">
        <v>1087</v>
      </c>
      <c r="L2" s="25" t="s">
        <v>1088</v>
      </c>
      <c r="M2" s="25" t="s">
        <v>1089</v>
      </c>
      <c r="N2" s="25" t="s">
        <v>1090</v>
      </c>
      <c r="O2" s="25" t="s">
        <v>1091</v>
      </c>
      <c r="P2" s="25" t="s">
        <v>1092</v>
      </c>
      <c r="Q2" s="25" t="s">
        <v>1093</v>
      </c>
      <c r="R2" s="25" t="s">
        <v>1094</v>
      </c>
      <c r="S2" s="25" t="s">
        <v>1095</v>
      </c>
      <c r="T2" s="25" t="s">
        <v>1096</v>
      </c>
      <c r="U2" s="25" t="s">
        <v>1097</v>
      </c>
      <c r="V2" s="25" t="s">
        <v>1098</v>
      </c>
      <c r="W2" s="25" t="s">
        <v>1099</v>
      </c>
      <c r="X2" s="25" t="s">
        <v>1100</v>
      </c>
    </row>
    <row r="3" spans="1:24" ht="15.6" customHeight="1" x14ac:dyDescent="0.25">
      <c r="A3" s="26" t="s">
        <v>1101</v>
      </c>
      <c r="B3" s="26" t="s">
        <v>1102</v>
      </c>
      <c r="C3" s="26" t="s">
        <v>1103</v>
      </c>
      <c r="D3" s="27">
        <v>45934</v>
      </c>
      <c r="E3" s="27">
        <v>45935</v>
      </c>
      <c r="F3" s="26">
        <v>63</v>
      </c>
      <c r="G3" s="26" t="s">
        <v>2</v>
      </c>
      <c r="H3" s="26" t="s">
        <v>1104</v>
      </c>
      <c r="I3" s="26">
        <v>116</v>
      </c>
      <c r="J3" s="26" t="s">
        <v>1105</v>
      </c>
      <c r="K3" s="28">
        <v>23.716999999999999</v>
      </c>
      <c r="L3" s="28">
        <v>4.3120000000000003</v>
      </c>
      <c r="M3" s="28">
        <v>3.472</v>
      </c>
      <c r="N3" s="28">
        <v>3.02</v>
      </c>
      <c r="O3" s="28">
        <v>4.1459999999999999</v>
      </c>
      <c r="P3" s="28">
        <v>4.8929999999999998</v>
      </c>
      <c r="Q3" s="28">
        <v>4.3479999999999999</v>
      </c>
      <c r="R3" s="28">
        <v>4.43</v>
      </c>
      <c r="S3" s="28">
        <v>4.4660000000000002</v>
      </c>
      <c r="T3" s="28">
        <v>5.202</v>
      </c>
      <c r="U3" s="28">
        <v>4.2569999999999997</v>
      </c>
      <c r="V3" s="26">
        <v>118.30249999999999</v>
      </c>
      <c r="W3" s="29" t="s">
        <v>1106</v>
      </c>
      <c r="X3" s="26" t="s">
        <v>1107</v>
      </c>
    </row>
    <row r="4" spans="1:24" ht="15.6" customHeight="1" x14ac:dyDescent="0.25">
      <c r="A4" s="26" t="s">
        <v>1108</v>
      </c>
      <c r="B4" s="26" t="s">
        <v>1102</v>
      </c>
      <c r="C4" s="26" t="s">
        <v>1103</v>
      </c>
      <c r="D4" s="27">
        <v>45934</v>
      </c>
      <c r="E4" s="27">
        <v>45935</v>
      </c>
      <c r="F4" s="26">
        <v>68</v>
      </c>
      <c r="G4" s="26" t="s">
        <v>2</v>
      </c>
      <c r="H4" s="26" t="s">
        <v>1109</v>
      </c>
      <c r="I4" s="26">
        <v>111</v>
      </c>
      <c r="J4" s="26" t="s">
        <v>1105</v>
      </c>
      <c r="K4" s="28">
        <v>22.882000000000001</v>
      </c>
      <c r="L4" s="28">
        <v>4.3209999999999997</v>
      </c>
      <c r="M4" s="28">
        <v>4.7140000000000004</v>
      </c>
      <c r="N4" s="28">
        <v>5.4790000000000001</v>
      </c>
      <c r="O4" s="28">
        <v>4.0730000000000004</v>
      </c>
      <c r="P4" s="28">
        <v>4.0170000000000003</v>
      </c>
      <c r="Q4" s="28">
        <v>3.754</v>
      </c>
      <c r="R4" s="28">
        <v>5.0549999999999997</v>
      </c>
      <c r="S4" s="28">
        <v>4.4749999999999996</v>
      </c>
      <c r="T4" s="28">
        <v>6.2190000000000003</v>
      </c>
      <c r="U4" s="28">
        <v>4.4390000000000001</v>
      </c>
      <c r="V4" s="26"/>
      <c r="W4" s="29" t="s">
        <v>1110</v>
      </c>
      <c r="X4" s="26" t="s">
        <v>1107</v>
      </c>
    </row>
    <row r="5" spans="1:24" ht="15.6" customHeight="1" x14ac:dyDescent="0.25">
      <c r="A5" s="26" t="s">
        <v>1111</v>
      </c>
      <c r="B5" s="26" t="s">
        <v>1102</v>
      </c>
      <c r="C5" s="26" t="s">
        <v>1103</v>
      </c>
      <c r="D5" s="27">
        <v>45934</v>
      </c>
      <c r="E5" s="27">
        <v>45935</v>
      </c>
      <c r="F5" s="26">
        <v>72</v>
      </c>
      <c r="G5" s="26" t="s">
        <v>2</v>
      </c>
      <c r="H5" s="26" t="s">
        <v>1104</v>
      </c>
      <c r="I5" s="26">
        <v>121</v>
      </c>
      <c r="J5" s="26" t="s">
        <v>1105</v>
      </c>
      <c r="K5" s="28">
        <v>24.815999999999999</v>
      </c>
      <c r="L5" s="28">
        <v>5.92</v>
      </c>
      <c r="M5" s="28">
        <v>4.4560000000000004</v>
      </c>
      <c r="N5" s="28">
        <v>5.1239999999999997</v>
      </c>
      <c r="O5" s="28">
        <v>6.1680000000000001</v>
      </c>
      <c r="P5" s="28">
        <v>4.05</v>
      </c>
      <c r="Q5" s="28">
        <v>4.63</v>
      </c>
      <c r="R5" s="28">
        <v>5.7220000000000004</v>
      </c>
      <c r="S5" s="28">
        <v>4.0119999999999996</v>
      </c>
      <c r="T5" s="28">
        <v>5.39</v>
      </c>
      <c r="U5" s="28">
        <v>4.8499999999999996</v>
      </c>
      <c r="V5" s="26">
        <v>123.6759</v>
      </c>
      <c r="W5" s="29" t="s">
        <v>1112</v>
      </c>
      <c r="X5" s="26" t="s">
        <v>1107</v>
      </c>
    </row>
    <row r="6" spans="1:24" ht="15.6" customHeight="1" x14ac:dyDescent="0.25">
      <c r="A6" s="26" t="s">
        <v>1113</v>
      </c>
      <c r="B6" s="26" t="s">
        <v>1102</v>
      </c>
      <c r="C6" s="26" t="s">
        <v>1103</v>
      </c>
      <c r="D6" s="27">
        <v>45934</v>
      </c>
      <c r="E6" s="27">
        <v>45935</v>
      </c>
      <c r="F6" s="26">
        <v>31</v>
      </c>
      <c r="G6" s="26" t="s">
        <v>3</v>
      </c>
      <c r="H6" s="26" t="s">
        <v>1104</v>
      </c>
      <c r="I6" s="26">
        <v>96</v>
      </c>
      <c r="J6" s="26" t="s">
        <v>1105</v>
      </c>
      <c r="K6" s="28">
        <v>20.170999999999999</v>
      </c>
      <c r="L6" s="28">
        <v>2.81</v>
      </c>
      <c r="M6" s="28">
        <v>5.38</v>
      </c>
      <c r="N6" s="28">
        <v>3.7330000000000001</v>
      </c>
      <c r="O6" s="28">
        <v>3.895</v>
      </c>
      <c r="P6" s="28">
        <v>4.92</v>
      </c>
      <c r="Q6" s="28">
        <v>4.2169999999999996</v>
      </c>
      <c r="R6" s="28">
        <v>5.5490000000000004</v>
      </c>
      <c r="S6" s="28">
        <v>3.4039999999999999</v>
      </c>
      <c r="T6" s="28">
        <v>5.5389999999999997</v>
      </c>
      <c r="U6" s="28">
        <v>4.9409999999999998</v>
      </c>
      <c r="V6" s="26">
        <v>100.96510000000001</v>
      </c>
      <c r="W6" s="29" t="s">
        <v>1114</v>
      </c>
      <c r="X6" s="26" t="s">
        <v>1107</v>
      </c>
    </row>
    <row r="7" spans="1:24" ht="15.6" customHeight="1" x14ac:dyDescent="0.25">
      <c r="A7" s="26" t="s">
        <v>1115</v>
      </c>
      <c r="B7" s="26" t="s">
        <v>1102</v>
      </c>
      <c r="C7" s="26" t="s">
        <v>1103</v>
      </c>
      <c r="D7" s="27">
        <v>45934</v>
      </c>
      <c r="E7" s="27">
        <v>45935</v>
      </c>
      <c r="F7" s="26">
        <v>45</v>
      </c>
      <c r="G7" s="26" t="s">
        <v>2</v>
      </c>
      <c r="H7" s="26" t="s">
        <v>1104</v>
      </c>
      <c r="I7" s="26">
        <v>106</v>
      </c>
      <c r="J7" s="26" t="s">
        <v>1105</v>
      </c>
      <c r="K7" s="28">
        <v>21.341000000000001</v>
      </c>
      <c r="L7" s="28">
        <v>3.5720000000000001</v>
      </c>
      <c r="M7" s="28">
        <v>2.9</v>
      </c>
      <c r="N7" s="28">
        <v>5.6079999999999997</v>
      </c>
      <c r="O7" s="28">
        <v>6.0490000000000004</v>
      </c>
      <c r="P7" s="28">
        <v>5.7830000000000004</v>
      </c>
      <c r="Q7" s="28">
        <v>4.7709999999999999</v>
      </c>
      <c r="R7" s="28">
        <v>5.194</v>
      </c>
      <c r="S7" s="28">
        <v>4.9320000000000004</v>
      </c>
      <c r="T7" s="28">
        <v>5.3410000000000002</v>
      </c>
      <c r="U7" s="28">
        <v>4.8289999999999997</v>
      </c>
      <c r="V7" s="26">
        <v>106.68559999999999</v>
      </c>
      <c r="W7" s="29" t="s">
        <v>1116</v>
      </c>
      <c r="X7" s="26" t="s">
        <v>1107</v>
      </c>
    </row>
    <row r="8" spans="1:24" ht="15.6" customHeight="1" x14ac:dyDescent="0.25">
      <c r="A8" s="26" t="s">
        <v>1117</v>
      </c>
      <c r="B8" s="26" t="s">
        <v>1102</v>
      </c>
      <c r="C8" s="26" t="s">
        <v>1103</v>
      </c>
      <c r="D8" s="27">
        <v>45934</v>
      </c>
      <c r="E8" s="27">
        <v>45935</v>
      </c>
      <c r="F8" s="26">
        <v>24</v>
      </c>
      <c r="G8" s="26" t="s">
        <v>3</v>
      </c>
      <c r="H8" s="26" t="s">
        <v>1109</v>
      </c>
      <c r="I8" s="26">
        <v>121</v>
      </c>
      <c r="J8" s="26" t="s">
        <v>1105</v>
      </c>
      <c r="K8" s="28">
        <v>25.06</v>
      </c>
      <c r="L8" s="28">
        <v>5.31</v>
      </c>
      <c r="M8" s="28">
        <v>4.2939999999999996</v>
      </c>
      <c r="N8" s="28">
        <v>3.859</v>
      </c>
      <c r="O8" s="28">
        <v>6.0469999999999997</v>
      </c>
      <c r="P8" s="28">
        <v>3.4359999999999999</v>
      </c>
      <c r="Q8" s="28">
        <v>3.9209999999999998</v>
      </c>
      <c r="R8" s="28">
        <v>4.9560000000000004</v>
      </c>
      <c r="S8" s="28">
        <v>4.09</v>
      </c>
      <c r="T8" s="28">
        <v>5.83</v>
      </c>
      <c r="U8" s="28">
        <v>5.7510000000000003</v>
      </c>
      <c r="V8" s="26"/>
      <c r="W8" s="29" t="s">
        <v>1118</v>
      </c>
      <c r="X8" s="26" t="s">
        <v>1107</v>
      </c>
    </row>
    <row r="9" spans="1:24" ht="15.6" customHeight="1" x14ac:dyDescent="0.25">
      <c r="A9" s="26" t="s">
        <v>1119</v>
      </c>
      <c r="B9" s="26" t="s">
        <v>1102</v>
      </c>
      <c r="C9" s="26" t="s">
        <v>1103</v>
      </c>
      <c r="D9" s="27">
        <v>45934</v>
      </c>
      <c r="E9" s="27">
        <v>45935</v>
      </c>
      <c r="F9" s="26">
        <v>21</v>
      </c>
      <c r="G9" s="26" t="s">
        <v>3</v>
      </c>
      <c r="H9" s="26" t="s">
        <v>1104</v>
      </c>
      <c r="I9" s="26">
        <v>120</v>
      </c>
      <c r="J9" s="26" t="s">
        <v>1105</v>
      </c>
      <c r="K9" s="28">
        <v>23.53</v>
      </c>
      <c r="L9" s="28">
        <v>4.6150000000000002</v>
      </c>
      <c r="M9" s="28">
        <v>3.5230000000000001</v>
      </c>
      <c r="N9" s="28">
        <v>4.26</v>
      </c>
      <c r="O9" s="28">
        <v>4.3019999999999996</v>
      </c>
      <c r="P9" s="28">
        <v>4.282</v>
      </c>
      <c r="Q9" s="28">
        <v>4.7380000000000004</v>
      </c>
      <c r="R9" s="28">
        <v>5.3179999999999996</v>
      </c>
      <c r="S9" s="28">
        <v>3.8210000000000002</v>
      </c>
      <c r="T9" s="28">
        <v>5.3159999999999998</v>
      </c>
      <c r="U9" s="28">
        <v>4.5640000000000001</v>
      </c>
      <c r="V9" s="26">
        <v>117.3882</v>
      </c>
      <c r="W9" s="29" t="s">
        <v>1120</v>
      </c>
      <c r="X9" s="26" t="s">
        <v>1107</v>
      </c>
    </row>
    <row r="10" spans="1:24" ht="15.6" customHeight="1" x14ac:dyDescent="0.25">
      <c r="A10" s="26" t="s">
        <v>1121</v>
      </c>
      <c r="B10" s="26" t="s">
        <v>1102</v>
      </c>
      <c r="C10" s="26" t="s">
        <v>1103</v>
      </c>
      <c r="D10" s="27">
        <v>45934</v>
      </c>
      <c r="E10" s="27">
        <v>45935</v>
      </c>
      <c r="F10" s="26">
        <v>45</v>
      </c>
      <c r="G10" s="26" t="s">
        <v>3</v>
      </c>
      <c r="H10" s="26" t="s">
        <v>1104</v>
      </c>
      <c r="I10" s="26">
        <v>134</v>
      </c>
      <c r="J10" s="26" t="s">
        <v>1105</v>
      </c>
      <c r="K10" s="28">
        <v>27.271999999999998</v>
      </c>
      <c r="L10" s="28">
        <v>7.3280000000000003</v>
      </c>
      <c r="M10" s="28">
        <v>5.39</v>
      </c>
      <c r="N10" s="28">
        <v>6.1360000000000001</v>
      </c>
      <c r="O10" s="28">
        <v>4.6609999999999996</v>
      </c>
      <c r="P10" s="28">
        <v>4.6040000000000001</v>
      </c>
      <c r="Q10" s="28">
        <v>4.1710000000000003</v>
      </c>
      <c r="R10" s="28">
        <v>4.2869999999999999</v>
      </c>
      <c r="S10" s="28">
        <v>5.0529999999999999</v>
      </c>
      <c r="T10" s="28">
        <v>5.5010000000000003</v>
      </c>
      <c r="U10" s="28">
        <v>4.7450000000000001</v>
      </c>
      <c r="V10" s="26">
        <v>135.684</v>
      </c>
      <c r="W10" s="29" t="s">
        <v>1122</v>
      </c>
      <c r="X10" s="26" t="s">
        <v>1107</v>
      </c>
    </row>
    <row r="11" spans="1:24" ht="15.6" customHeight="1" x14ac:dyDescent="0.25">
      <c r="A11" s="26" t="s">
        <v>1123</v>
      </c>
      <c r="B11" s="26" t="s">
        <v>1102</v>
      </c>
      <c r="C11" s="26" t="s">
        <v>1103</v>
      </c>
      <c r="D11" s="27">
        <v>45934</v>
      </c>
      <c r="E11" s="27">
        <v>45935</v>
      </c>
      <c r="F11" s="26">
        <v>63</v>
      </c>
      <c r="G11" s="26" t="s">
        <v>3</v>
      </c>
      <c r="H11" s="26" t="s">
        <v>1104</v>
      </c>
      <c r="I11" s="26">
        <v>108</v>
      </c>
      <c r="J11" s="26" t="s">
        <v>1105</v>
      </c>
      <c r="K11" s="28">
        <v>22.635000000000002</v>
      </c>
      <c r="L11" s="28">
        <v>4.274</v>
      </c>
      <c r="M11" s="28">
        <v>3.972</v>
      </c>
      <c r="N11" s="28">
        <v>5.5049999999999999</v>
      </c>
      <c r="O11" s="28">
        <v>6.3680000000000003</v>
      </c>
      <c r="P11" s="28">
        <v>5.1619999999999999</v>
      </c>
      <c r="Q11" s="28">
        <v>4.41</v>
      </c>
      <c r="R11" s="28">
        <v>4.8120000000000003</v>
      </c>
      <c r="S11" s="28">
        <v>4.0830000000000002</v>
      </c>
      <c r="T11" s="28">
        <v>5.9660000000000002</v>
      </c>
      <c r="U11" s="28">
        <v>4.5279999999999996</v>
      </c>
      <c r="V11" s="26">
        <v>113.0123</v>
      </c>
      <c r="W11" s="29" t="s">
        <v>1106</v>
      </c>
      <c r="X11" s="26" t="s">
        <v>1107</v>
      </c>
    </row>
    <row r="12" spans="1:24" ht="15.6" customHeight="1" x14ac:dyDescent="0.25">
      <c r="A12" s="26" t="s">
        <v>1124</v>
      </c>
      <c r="B12" s="26" t="s">
        <v>1102</v>
      </c>
      <c r="C12" s="26" t="s">
        <v>1103</v>
      </c>
      <c r="D12" s="27">
        <v>45934</v>
      </c>
      <c r="E12" s="27">
        <v>45935</v>
      </c>
      <c r="F12" s="26">
        <v>81</v>
      </c>
      <c r="G12" s="26" t="s">
        <v>2</v>
      </c>
      <c r="H12" s="26" t="s">
        <v>1104</v>
      </c>
      <c r="I12" s="26">
        <v>111</v>
      </c>
      <c r="J12" s="26" t="s">
        <v>1105</v>
      </c>
      <c r="K12" s="28">
        <v>22.765999999999998</v>
      </c>
      <c r="L12" s="28">
        <v>4.6159999999999997</v>
      </c>
      <c r="M12" s="28">
        <v>5.7140000000000004</v>
      </c>
      <c r="N12" s="28">
        <v>4.5579999999999998</v>
      </c>
      <c r="O12" s="28">
        <v>5.2169999999999996</v>
      </c>
      <c r="P12" s="28">
        <v>4.125</v>
      </c>
      <c r="Q12" s="28">
        <v>4.5060000000000002</v>
      </c>
      <c r="R12" s="28">
        <v>5.3</v>
      </c>
      <c r="S12" s="28">
        <v>4.5599999999999996</v>
      </c>
      <c r="T12" s="28">
        <v>5.67</v>
      </c>
      <c r="U12" s="28">
        <v>4.7990000000000004</v>
      </c>
      <c r="V12" s="26">
        <v>113.6528</v>
      </c>
      <c r="W12" s="29" t="s">
        <v>1110</v>
      </c>
      <c r="X12" s="26" t="s">
        <v>1107</v>
      </c>
    </row>
    <row r="13" spans="1:24" ht="15.6" customHeight="1" x14ac:dyDescent="0.25">
      <c r="A13" s="26" t="s">
        <v>1125</v>
      </c>
      <c r="B13" s="26" t="s">
        <v>1102</v>
      </c>
      <c r="C13" s="26" t="s">
        <v>1103</v>
      </c>
      <c r="D13" s="27">
        <v>45935</v>
      </c>
      <c r="E13" s="27">
        <v>45936</v>
      </c>
      <c r="F13" s="26">
        <v>61</v>
      </c>
      <c r="G13" s="26" t="s">
        <v>3</v>
      </c>
      <c r="H13" s="26" t="s">
        <v>1104</v>
      </c>
      <c r="I13" s="26">
        <v>99</v>
      </c>
      <c r="J13" s="26" t="s">
        <v>1105</v>
      </c>
      <c r="K13" s="28">
        <v>20.459</v>
      </c>
      <c r="L13" s="28">
        <v>2.93</v>
      </c>
      <c r="M13" s="28">
        <v>4.9560000000000004</v>
      </c>
      <c r="N13" s="28">
        <v>5.0060000000000002</v>
      </c>
      <c r="O13" s="28">
        <v>4.8920000000000003</v>
      </c>
      <c r="P13" s="28">
        <v>4.1870000000000003</v>
      </c>
      <c r="Q13" s="28">
        <v>3.992</v>
      </c>
      <c r="R13" s="28">
        <v>6.5860000000000003</v>
      </c>
      <c r="S13" s="28">
        <v>4.4749999999999996</v>
      </c>
      <c r="T13" s="28">
        <v>5.8650000000000002</v>
      </c>
      <c r="U13" s="28">
        <v>4.7759999999999998</v>
      </c>
      <c r="V13" s="26">
        <v>102.3732</v>
      </c>
      <c r="W13" s="29" t="s">
        <v>1112</v>
      </c>
      <c r="X13" s="26" t="s">
        <v>1107</v>
      </c>
    </row>
    <row r="14" spans="1:24" ht="15.6" customHeight="1" x14ac:dyDescent="0.25">
      <c r="A14" s="26" t="s">
        <v>1126</v>
      </c>
      <c r="B14" s="26" t="s">
        <v>1102</v>
      </c>
      <c r="C14" s="26" t="s">
        <v>1103</v>
      </c>
      <c r="D14" s="27">
        <v>45935</v>
      </c>
      <c r="E14" s="27">
        <v>45936</v>
      </c>
      <c r="F14" s="26">
        <v>24</v>
      </c>
      <c r="G14" s="26" t="s">
        <v>3</v>
      </c>
      <c r="H14" s="26" t="s">
        <v>1104</v>
      </c>
      <c r="I14" s="26">
        <v>94</v>
      </c>
      <c r="J14" s="26" t="s">
        <v>1105</v>
      </c>
      <c r="K14" s="28">
        <v>19.21</v>
      </c>
      <c r="L14" s="28">
        <v>3.79</v>
      </c>
      <c r="M14" s="28">
        <v>6.38</v>
      </c>
      <c r="N14" s="28">
        <v>6.069</v>
      </c>
      <c r="O14" s="28">
        <v>5.0209999999999999</v>
      </c>
      <c r="P14" s="28">
        <v>4.056</v>
      </c>
      <c r="Q14" s="28">
        <v>4.49</v>
      </c>
      <c r="R14" s="28">
        <v>4.4189999999999996</v>
      </c>
      <c r="S14" s="28">
        <v>5.0919999999999996</v>
      </c>
      <c r="T14" s="28">
        <v>5.51</v>
      </c>
      <c r="U14" s="28">
        <v>5.0759999999999996</v>
      </c>
      <c r="V14" s="26">
        <v>96.266499999999994</v>
      </c>
      <c r="W14" s="29" t="s">
        <v>1114</v>
      </c>
      <c r="X14" s="26" t="s">
        <v>1107</v>
      </c>
    </row>
    <row r="15" spans="1:24" ht="15.6" customHeight="1" x14ac:dyDescent="0.25">
      <c r="A15" s="26" t="s">
        <v>1127</v>
      </c>
      <c r="B15" s="26" t="s">
        <v>1102</v>
      </c>
      <c r="C15" s="26" t="s">
        <v>1103</v>
      </c>
      <c r="D15" s="27">
        <v>45935</v>
      </c>
      <c r="E15" s="27">
        <v>45936</v>
      </c>
      <c r="F15" s="26">
        <v>43</v>
      </c>
      <c r="G15" s="26" t="s">
        <v>2</v>
      </c>
      <c r="H15" s="26" t="s">
        <v>1104</v>
      </c>
      <c r="I15" s="26">
        <v>90</v>
      </c>
      <c r="J15" s="26" t="s">
        <v>1105</v>
      </c>
      <c r="K15" s="28">
        <v>19.306999999999999</v>
      </c>
      <c r="L15" s="28">
        <v>2.4870000000000001</v>
      </c>
      <c r="M15" s="28">
        <v>3.4</v>
      </c>
      <c r="N15" s="28">
        <v>4.0430000000000001</v>
      </c>
      <c r="O15" s="28">
        <v>5.1769999999999996</v>
      </c>
      <c r="P15" s="28">
        <v>3.8170000000000002</v>
      </c>
      <c r="Q15" s="28">
        <v>4.0309999999999997</v>
      </c>
      <c r="R15" s="28">
        <v>4.8680000000000003</v>
      </c>
      <c r="S15" s="28">
        <v>3.2810000000000001</v>
      </c>
      <c r="T15" s="28">
        <v>5.6589999999999998</v>
      </c>
      <c r="U15" s="28">
        <v>4.3129999999999997</v>
      </c>
      <c r="V15" s="26">
        <v>96.740700000000004</v>
      </c>
      <c r="W15" s="29" t="s">
        <v>1116</v>
      </c>
      <c r="X15" s="26" t="s">
        <v>1107</v>
      </c>
    </row>
    <row r="16" spans="1:24" ht="15.6" customHeight="1" x14ac:dyDescent="0.25">
      <c r="A16" s="26" t="s">
        <v>1128</v>
      </c>
      <c r="B16" s="26" t="s">
        <v>1102</v>
      </c>
      <c r="C16" s="26" t="s">
        <v>1103</v>
      </c>
      <c r="D16" s="27">
        <v>45935</v>
      </c>
      <c r="E16" s="27">
        <v>45936</v>
      </c>
      <c r="F16" s="26">
        <v>52</v>
      </c>
      <c r="G16" s="26" t="s">
        <v>2</v>
      </c>
      <c r="H16" s="26" t="s">
        <v>1104</v>
      </c>
      <c r="I16" s="26">
        <v>95</v>
      </c>
      <c r="J16" s="26" t="s">
        <v>1105</v>
      </c>
      <c r="K16" s="28">
        <v>19.803999999999998</v>
      </c>
      <c r="L16" s="28">
        <v>3.363</v>
      </c>
      <c r="M16" s="28">
        <v>5.2939999999999996</v>
      </c>
      <c r="N16" s="28">
        <v>4.2380000000000004</v>
      </c>
      <c r="O16" s="28">
        <v>4.843</v>
      </c>
      <c r="P16" s="28">
        <v>5.4109999999999996</v>
      </c>
      <c r="Q16" s="28">
        <v>4.5410000000000004</v>
      </c>
      <c r="R16" s="28">
        <v>3.4510000000000001</v>
      </c>
      <c r="S16" s="28">
        <v>4.4000000000000004</v>
      </c>
      <c r="T16" s="28">
        <v>5.3230000000000004</v>
      </c>
      <c r="U16" s="28">
        <v>4.843</v>
      </c>
      <c r="V16" s="26">
        <v>99.170699999999997</v>
      </c>
      <c r="W16" s="29" t="s">
        <v>1118</v>
      </c>
      <c r="X16" s="26" t="s">
        <v>1107</v>
      </c>
    </row>
    <row r="17" spans="1:24" ht="15.6" customHeight="1" x14ac:dyDescent="0.25">
      <c r="A17" s="26" t="s">
        <v>1129</v>
      </c>
      <c r="B17" s="26" t="s">
        <v>1102</v>
      </c>
      <c r="C17" s="26" t="s">
        <v>1103</v>
      </c>
      <c r="D17" s="27">
        <v>45935</v>
      </c>
      <c r="E17" s="27">
        <v>45936</v>
      </c>
      <c r="F17" s="26">
        <v>52</v>
      </c>
      <c r="G17" s="26" t="s">
        <v>2</v>
      </c>
      <c r="H17" s="26" t="s">
        <v>1104</v>
      </c>
      <c r="I17" s="26">
        <v>118</v>
      </c>
      <c r="J17" s="26" t="s">
        <v>1105</v>
      </c>
      <c r="K17" s="28">
        <v>23.89</v>
      </c>
      <c r="L17" s="28">
        <v>5.7720000000000002</v>
      </c>
      <c r="M17" s="28">
        <v>4.0229999999999997</v>
      </c>
      <c r="N17" s="28">
        <v>5.0789999999999997</v>
      </c>
      <c r="O17" s="28">
        <v>4.2759999999999998</v>
      </c>
      <c r="P17" s="28">
        <v>3.8380000000000001</v>
      </c>
      <c r="Q17" s="28">
        <v>4.6100000000000003</v>
      </c>
      <c r="R17" s="28">
        <v>4.9539999999999997</v>
      </c>
      <c r="S17" s="28">
        <v>4.25</v>
      </c>
      <c r="T17" s="28">
        <v>5.4379999999999997</v>
      </c>
      <c r="U17" s="28">
        <v>5.4089999999999998</v>
      </c>
      <c r="V17" s="26">
        <v>119.1484</v>
      </c>
      <c r="W17" s="29" t="s">
        <v>1120</v>
      </c>
      <c r="X17" s="26" t="s">
        <v>1107</v>
      </c>
    </row>
    <row r="18" spans="1:24" ht="15.6" customHeight="1" x14ac:dyDescent="0.25">
      <c r="A18" s="26" t="s">
        <v>1130</v>
      </c>
      <c r="B18" s="26" t="s">
        <v>1102</v>
      </c>
      <c r="C18" s="26" t="s">
        <v>1103</v>
      </c>
      <c r="D18" s="27">
        <v>45935</v>
      </c>
      <c r="E18" s="27">
        <v>45936</v>
      </c>
      <c r="F18" s="26">
        <v>42</v>
      </c>
      <c r="G18" s="26" t="s">
        <v>3</v>
      </c>
      <c r="H18" s="26" t="s">
        <v>1104</v>
      </c>
      <c r="I18" s="26">
        <v>94</v>
      </c>
      <c r="J18" s="26" t="s">
        <v>1105</v>
      </c>
      <c r="K18" s="28">
        <v>19.649999999999999</v>
      </c>
      <c r="L18" s="28">
        <v>2.8559999999999999</v>
      </c>
      <c r="M18" s="28">
        <v>5.89</v>
      </c>
      <c r="N18" s="28">
        <v>3.9220000000000002</v>
      </c>
      <c r="O18" s="28">
        <v>4.056</v>
      </c>
      <c r="P18" s="28">
        <v>3.2309999999999999</v>
      </c>
      <c r="Q18" s="28">
        <v>4.24</v>
      </c>
      <c r="R18" s="28">
        <v>4.3540000000000001</v>
      </c>
      <c r="S18" s="28">
        <v>3.9460000000000002</v>
      </c>
      <c r="T18" s="28">
        <v>5.6760000000000002</v>
      </c>
      <c r="U18" s="28">
        <v>5.3869999999999996</v>
      </c>
      <c r="V18" s="26">
        <v>98.417699999999996</v>
      </c>
      <c r="W18" s="29" t="s">
        <v>1122</v>
      </c>
      <c r="X18" s="26" t="s">
        <v>1107</v>
      </c>
    </row>
    <row r="19" spans="1:24" ht="15.6" customHeight="1" x14ac:dyDescent="0.25">
      <c r="A19" s="26" t="s">
        <v>1131</v>
      </c>
      <c r="B19" s="26" t="s">
        <v>1102</v>
      </c>
      <c r="C19" s="26" t="s">
        <v>1103</v>
      </c>
      <c r="D19" s="27">
        <v>45935</v>
      </c>
      <c r="E19" s="27">
        <v>45936</v>
      </c>
      <c r="F19" s="26">
        <v>59</v>
      </c>
      <c r="G19" s="26" t="s">
        <v>2</v>
      </c>
      <c r="H19" s="26" t="s">
        <v>1104</v>
      </c>
      <c r="I19" s="26">
        <v>101</v>
      </c>
      <c r="J19" s="26" t="s">
        <v>1105</v>
      </c>
      <c r="K19" s="28">
        <v>20.896000000000001</v>
      </c>
      <c r="L19" s="28">
        <v>3.9740000000000002</v>
      </c>
      <c r="M19" s="28">
        <v>6.2149999999999999</v>
      </c>
      <c r="N19" s="28">
        <v>4.8470000000000004</v>
      </c>
      <c r="O19" s="28">
        <v>3.863</v>
      </c>
      <c r="P19" s="28">
        <v>4.5529999999999999</v>
      </c>
      <c r="Q19" s="28">
        <v>4.6500000000000004</v>
      </c>
      <c r="R19" s="28">
        <v>5.6150000000000002</v>
      </c>
      <c r="S19" s="28">
        <v>4.1029999999999998</v>
      </c>
      <c r="T19" s="28">
        <v>5.593</v>
      </c>
      <c r="U19" s="28">
        <v>4.3109999999999999</v>
      </c>
      <c r="V19" s="26">
        <v>104.5098</v>
      </c>
      <c r="W19" s="29" t="s">
        <v>1106</v>
      </c>
      <c r="X19" s="26" t="s">
        <v>1107</v>
      </c>
    </row>
    <row r="20" spans="1:24" ht="15.6" customHeight="1" x14ac:dyDescent="0.25">
      <c r="A20" s="26" t="s">
        <v>1132</v>
      </c>
      <c r="B20" s="26" t="s">
        <v>1102</v>
      </c>
      <c r="C20" s="26" t="s">
        <v>1103</v>
      </c>
      <c r="D20" s="27">
        <v>45935</v>
      </c>
      <c r="E20" s="27">
        <v>45936</v>
      </c>
      <c r="F20" s="26">
        <v>43</v>
      </c>
      <c r="G20" s="26" t="s">
        <v>2</v>
      </c>
      <c r="H20" s="26" t="s">
        <v>1104</v>
      </c>
      <c r="I20" s="26">
        <v>124</v>
      </c>
      <c r="J20" s="26" t="s">
        <v>1105</v>
      </c>
      <c r="K20" s="28">
        <v>25.065000000000001</v>
      </c>
      <c r="L20" s="28">
        <v>5.5780000000000003</v>
      </c>
      <c r="M20" s="28">
        <v>5.3369999999999997</v>
      </c>
      <c r="N20" s="28">
        <v>5.3049999999999997</v>
      </c>
      <c r="O20" s="28">
        <v>3.327</v>
      </c>
      <c r="P20" s="28">
        <v>2.79</v>
      </c>
      <c r="Q20" s="28">
        <v>3.8519999999999999</v>
      </c>
      <c r="R20" s="28">
        <v>5.2949999999999999</v>
      </c>
      <c r="S20" s="28">
        <v>3.133</v>
      </c>
      <c r="T20" s="28">
        <v>5.9580000000000002</v>
      </c>
      <c r="U20" s="28">
        <v>4.5469999999999997</v>
      </c>
      <c r="V20" s="26">
        <v>124.8933</v>
      </c>
      <c r="W20" s="29" t="s">
        <v>1110</v>
      </c>
      <c r="X20" s="26" t="s">
        <v>1107</v>
      </c>
    </row>
    <row r="21" spans="1:24" ht="15.6" customHeight="1" x14ac:dyDescent="0.25">
      <c r="A21" s="26" t="s">
        <v>1133</v>
      </c>
      <c r="B21" s="26" t="s">
        <v>1102</v>
      </c>
      <c r="C21" s="26" t="s">
        <v>1103</v>
      </c>
      <c r="D21" s="27">
        <v>45935</v>
      </c>
      <c r="E21" s="27">
        <v>45936</v>
      </c>
      <c r="F21" s="26">
        <v>36</v>
      </c>
      <c r="G21" s="26" t="s">
        <v>3</v>
      </c>
      <c r="H21" s="26" t="s">
        <v>1104</v>
      </c>
      <c r="I21" s="26">
        <v>116</v>
      </c>
      <c r="J21" s="26" t="s">
        <v>1105</v>
      </c>
      <c r="K21" s="28">
        <v>23.385000000000002</v>
      </c>
      <c r="L21" s="28">
        <v>5.0789999999999997</v>
      </c>
      <c r="M21" s="28">
        <v>5.8120000000000003</v>
      </c>
      <c r="N21" s="28">
        <v>5.3959999999999999</v>
      </c>
      <c r="O21" s="28">
        <v>5.1449999999999996</v>
      </c>
      <c r="P21" s="28">
        <v>4.12</v>
      </c>
      <c r="Q21" s="28">
        <v>4.6719999999999997</v>
      </c>
      <c r="R21" s="28">
        <v>3.7570000000000001</v>
      </c>
      <c r="S21" s="28">
        <v>4.3869999999999996</v>
      </c>
      <c r="T21" s="28">
        <v>6.2389999999999999</v>
      </c>
      <c r="U21" s="28">
        <v>4.7279999999999998</v>
      </c>
      <c r="V21" s="26">
        <v>116.6793</v>
      </c>
      <c r="W21" s="29" t="s">
        <v>1112</v>
      </c>
      <c r="X21" s="26" t="s">
        <v>1107</v>
      </c>
    </row>
    <row r="22" spans="1:24" ht="15.6" customHeight="1" x14ac:dyDescent="0.25">
      <c r="A22" s="26" t="s">
        <v>1134</v>
      </c>
      <c r="B22" s="26" t="s">
        <v>1102</v>
      </c>
      <c r="C22" s="26" t="s">
        <v>1103</v>
      </c>
      <c r="D22" s="27">
        <v>45935</v>
      </c>
      <c r="E22" s="27">
        <v>45936</v>
      </c>
      <c r="F22" s="26">
        <v>27</v>
      </c>
      <c r="G22" s="26" t="s">
        <v>2</v>
      </c>
      <c r="H22" s="26" t="s">
        <v>1104</v>
      </c>
      <c r="I22" s="26">
        <v>113</v>
      </c>
      <c r="J22" s="26" t="s">
        <v>1105</v>
      </c>
      <c r="K22" s="28">
        <v>23.876000000000001</v>
      </c>
      <c r="L22" s="28">
        <v>4.5789999999999997</v>
      </c>
      <c r="M22" s="28">
        <v>6.6109999999999998</v>
      </c>
      <c r="N22" s="28">
        <v>3.53</v>
      </c>
      <c r="O22" s="28">
        <v>5.7690000000000001</v>
      </c>
      <c r="P22" s="28">
        <v>3.6819999999999999</v>
      </c>
      <c r="Q22" s="28">
        <v>3.754</v>
      </c>
      <c r="R22" s="28">
        <v>4.4279999999999999</v>
      </c>
      <c r="S22" s="28">
        <v>4.6829999999999998</v>
      </c>
      <c r="T22" s="28">
        <v>6.2450000000000001</v>
      </c>
      <c r="U22" s="28">
        <v>5.0839999999999996</v>
      </c>
      <c r="V22" s="26">
        <v>119.07989999999999</v>
      </c>
      <c r="W22" s="29" t="s">
        <v>1114</v>
      </c>
      <c r="X22" s="26" t="s">
        <v>1107</v>
      </c>
    </row>
    <row r="23" spans="1:24" ht="15.6" customHeight="1" x14ac:dyDescent="0.25">
      <c r="A23" s="26" t="s">
        <v>1135</v>
      </c>
      <c r="B23" s="26" t="s">
        <v>1102</v>
      </c>
      <c r="C23" s="26" t="s">
        <v>1103</v>
      </c>
      <c r="D23" s="27">
        <v>45936</v>
      </c>
      <c r="E23" s="27">
        <v>45937</v>
      </c>
      <c r="F23" s="26">
        <v>54</v>
      </c>
      <c r="G23" s="26" t="s">
        <v>2</v>
      </c>
      <c r="H23" s="26" t="s">
        <v>1104</v>
      </c>
      <c r="I23" s="26">
        <v>96</v>
      </c>
      <c r="J23" s="26" t="s">
        <v>1105</v>
      </c>
      <c r="K23" s="28">
        <v>19.847000000000001</v>
      </c>
      <c r="L23" s="28">
        <v>3.077</v>
      </c>
      <c r="M23" s="28">
        <v>5.9640000000000004</v>
      </c>
      <c r="N23" s="28">
        <v>2.0299999999999998</v>
      </c>
      <c r="O23" s="28">
        <v>4.58</v>
      </c>
      <c r="P23" s="28">
        <v>4.1479999999999997</v>
      </c>
      <c r="Q23" s="28">
        <v>4.63</v>
      </c>
      <c r="R23" s="28">
        <v>6.0369999999999999</v>
      </c>
      <c r="S23" s="28">
        <v>5.3209999999999997</v>
      </c>
      <c r="T23" s="28">
        <v>5.1050000000000004</v>
      </c>
      <c r="U23" s="28">
        <v>4.6059999999999999</v>
      </c>
      <c r="V23" s="26">
        <v>99.380899999999997</v>
      </c>
      <c r="W23" s="29" t="s">
        <v>1116</v>
      </c>
      <c r="X23" s="26" t="s">
        <v>1107</v>
      </c>
    </row>
    <row r="24" spans="1:24" ht="15.6" customHeight="1" x14ac:dyDescent="0.25">
      <c r="A24" s="26" t="s">
        <v>1136</v>
      </c>
      <c r="B24" s="26" t="s">
        <v>1102</v>
      </c>
      <c r="C24" s="26" t="s">
        <v>1103</v>
      </c>
      <c r="D24" s="27">
        <v>45936</v>
      </c>
      <c r="E24" s="27">
        <v>45937</v>
      </c>
      <c r="F24" s="26">
        <v>22</v>
      </c>
      <c r="G24" s="26" t="s">
        <v>2</v>
      </c>
      <c r="H24" s="26" t="s">
        <v>1104</v>
      </c>
      <c r="I24" s="26">
        <v>99</v>
      </c>
      <c r="J24" s="26" t="s">
        <v>1105</v>
      </c>
      <c r="K24" s="28">
        <v>20.231999999999999</v>
      </c>
      <c r="L24" s="28">
        <v>4.3099999999999996</v>
      </c>
      <c r="M24" s="28">
        <v>5.5720000000000001</v>
      </c>
      <c r="N24" s="28">
        <v>3.96</v>
      </c>
      <c r="O24" s="28">
        <v>4.3499999999999996</v>
      </c>
      <c r="P24" s="28">
        <v>4.8099999999999996</v>
      </c>
      <c r="Q24" s="28">
        <v>4.5709999999999997</v>
      </c>
      <c r="R24" s="28">
        <v>4.851</v>
      </c>
      <c r="S24" s="28">
        <v>4.8049999999999997</v>
      </c>
      <c r="T24" s="28">
        <v>5.6310000000000002</v>
      </c>
      <c r="U24" s="28">
        <v>5.0330000000000004</v>
      </c>
      <c r="V24" s="26">
        <v>101.2633</v>
      </c>
      <c r="W24" s="29" t="s">
        <v>1118</v>
      </c>
      <c r="X24" s="26" t="s">
        <v>1107</v>
      </c>
    </row>
    <row r="25" spans="1:24" ht="15.6" customHeight="1" x14ac:dyDescent="0.25">
      <c r="A25" s="26" t="s">
        <v>1137</v>
      </c>
      <c r="B25" s="26" t="s">
        <v>1102</v>
      </c>
      <c r="C25" s="26" t="s">
        <v>1103</v>
      </c>
      <c r="D25" s="27">
        <v>45936</v>
      </c>
      <c r="E25" s="27">
        <v>45937</v>
      </c>
      <c r="F25" s="26">
        <v>39</v>
      </c>
      <c r="G25" s="26" t="s">
        <v>2</v>
      </c>
      <c r="H25" s="26" t="s">
        <v>1104</v>
      </c>
      <c r="I25" s="26">
        <v>110</v>
      </c>
      <c r="J25" s="26" t="s">
        <v>1105</v>
      </c>
      <c r="K25" s="28">
        <v>22.263999999999999</v>
      </c>
      <c r="L25" s="28">
        <v>4.1859999999999999</v>
      </c>
      <c r="M25" s="28">
        <v>4.8769999999999998</v>
      </c>
      <c r="N25" s="28">
        <v>4.0919999999999996</v>
      </c>
      <c r="O25" s="28">
        <v>4.8639999999999999</v>
      </c>
      <c r="P25" s="28">
        <v>2.8159999999999998</v>
      </c>
      <c r="Q25" s="28">
        <v>4.3019999999999996</v>
      </c>
      <c r="R25" s="28">
        <v>5.0579999999999998</v>
      </c>
      <c r="S25" s="28">
        <v>3.2879999999999998</v>
      </c>
      <c r="T25" s="28">
        <v>5.8860000000000001</v>
      </c>
      <c r="U25" s="28">
        <v>4.5359999999999996</v>
      </c>
      <c r="V25" s="26">
        <v>111.19840000000001</v>
      </c>
      <c r="W25" s="29" t="s">
        <v>1120</v>
      </c>
      <c r="X25" s="26" t="s">
        <v>1107</v>
      </c>
    </row>
    <row r="26" spans="1:24" ht="15.6" customHeight="1" x14ac:dyDescent="0.25">
      <c r="A26" s="26" t="s">
        <v>1138</v>
      </c>
      <c r="B26" s="26" t="s">
        <v>1102</v>
      </c>
      <c r="C26" s="26" t="s">
        <v>1103</v>
      </c>
      <c r="D26" s="27">
        <v>45936</v>
      </c>
      <c r="E26" s="27">
        <v>45937</v>
      </c>
      <c r="F26" s="26">
        <v>63</v>
      </c>
      <c r="G26" s="26" t="s">
        <v>3</v>
      </c>
      <c r="H26" s="26" t="s">
        <v>1104</v>
      </c>
      <c r="I26" s="26">
        <v>116</v>
      </c>
      <c r="J26" s="26" t="s">
        <v>1105</v>
      </c>
      <c r="K26" s="28">
        <v>23.481999999999999</v>
      </c>
      <c r="L26" s="28">
        <v>5.984</v>
      </c>
      <c r="M26" s="28">
        <v>6.0990000000000002</v>
      </c>
      <c r="N26" s="28">
        <v>4.1580000000000004</v>
      </c>
      <c r="O26" s="28">
        <v>5.1829999999999998</v>
      </c>
      <c r="P26" s="28">
        <v>4.2320000000000002</v>
      </c>
      <c r="Q26" s="28">
        <v>4.5190000000000001</v>
      </c>
      <c r="R26" s="28">
        <v>5.6660000000000004</v>
      </c>
      <c r="S26" s="28">
        <v>3.88</v>
      </c>
      <c r="T26" s="28">
        <v>5.5010000000000003</v>
      </c>
      <c r="U26" s="28">
        <v>5.5049999999999999</v>
      </c>
      <c r="V26" s="26">
        <v>117.15349999999999</v>
      </c>
      <c r="W26" s="29" t="s">
        <v>1122</v>
      </c>
      <c r="X26" s="26" t="s">
        <v>1107</v>
      </c>
    </row>
    <row r="27" spans="1:24" ht="15.6" customHeight="1" x14ac:dyDescent="0.25">
      <c r="A27" s="26" t="s">
        <v>1139</v>
      </c>
      <c r="B27" s="26" t="s">
        <v>1102</v>
      </c>
      <c r="C27" s="26" t="s">
        <v>1103</v>
      </c>
      <c r="D27" s="27">
        <v>45936</v>
      </c>
      <c r="E27" s="27">
        <v>45937</v>
      </c>
      <c r="F27" s="26">
        <v>62</v>
      </c>
      <c r="G27" s="26" t="s">
        <v>2</v>
      </c>
      <c r="H27" s="26" t="s">
        <v>1104</v>
      </c>
      <c r="I27" s="26">
        <v>97</v>
      </c>
      <c r="J27" s="26" t="s">
        <v>1105</v>
      </c>
      <c r="K27" s="28">
        <v>19.989999999999998</v>
      </c>
      <c r="L27" s="28">
        <v>3.3210000000000002</v>
      </c>
      <c r="M27" s="28">
        <v>5.3239999999999998</v>
      </c>
      <c r="N27" s="28">
        <v>4.5119999999999996</v>
      </c>
      <c r="O27" s="28">
        <v>4.8049999999999997</v>
      </c>
      <c r="P27" s="28">
        <v>4.4320000000000004</v>
      </c>
      <c r="Q27" s="28">
        <v>3.9849999999999999</v>
      </c>
      <c r="R27" s="28">
        <v>5.8029999999999999</v>
      </c>
      <c r="S27" s="28">
        <v>3.5569999999999999</v>
      </c>
      <c r="T27" s="28">
        <v>6.19</v>
      </c>
      <c r="U27" s="28">
        <v>4.8710000000000004</v>
      </c>
      <c r="V27" s="26">
        <v>100.0801</v>
      </c>
      <c r="W27" s="29" t="s">
        <v>1106</v>
      </c>
      <c r="X27" s="26" t="s">
        <v>1107</v>
      </c>
    </row>
    <row r="28" spans="1:24" ht="15.6" customHeight="1" x14ac:dyDescent="0.25">
      <c r="A28" s="26" t="s">
        <v>1140</v>
      </c>
      <c r="B28" s="26" t="s">
        <v>1102</v>
      </c>
      <c r="C28" s="26" t="s">
        <v>1103</v>
      </c>
      <c r="D28" s="27">
        <v>45936</v>
      </c>
      <c r="E28" s="27">
        <v>45937</v>
      </c>
      <c r="F28" s="26">
        <v>28</v>
      </c>
      <c r="G28" s="26" t="s">
        <v>2</v>
      </c>
      <c r="H28" s="26" t="s">
        <v>1109</v>
      </c>
      <c r="I28" s="26">
        <v>92</v>
      </c>
      <c r="J28" s="26" t="s">
        <v>1105</v>
      </c>
      <c r="K28" s="28">
        <v>18.818000000000001</v>
      </c>
      <c r="L28" s="28">
        <v>3.97</v>
      </c>
      <c r="M28" s="28">
        <v>5.8339999999999996</v>
      </c>
      <c r="N28" s="28">
        <v>5.718</v>
      </c>
      <c r="O28" s="28">
        <v>5.1859999999999999</v>
      </c>
      <c r="P28" s="28">
        <v>3.6429999999999998</v>
      </c>
      <c r="Q28" s="28">
        <v>4.4400000000000004</v>
      </c>
      <c r="R28" s="28">
        <v>4.8440000000000003</v>
      </c>
      <c r="S28" s="28">
        <v>3.7330000000000001</v>
      </c>
      <c r="T28" s="28">
        <v>5.2859999999999996</v>
      </c>
      <c r="U28" s="28">
        <v>5.3360000000000003</v>
      </c>
      <c r="V28" s="26"/>
      <c r="W28" s="29" t="s">
        <v>1110</v>
      </c>
      <c r="X28" s="26" t="s">
        <v>1107</v>
      </c>
    </row>
    <row r="29" spans="1:24" ht="15.6" customHeight="1" x14ac:dyDescent="0.25">
      <c r="A29" s="26" t="s">
        <v>1141</v>
      </c>
      <c r="B29" s="26" t="s">
        <v>1102</v>
      </c>
      <c r="C29" s="26" t="s">
        <v>1103</v>
      </c>
      <c r="D29" s="27">
        <v>45936</v>
      </c>
      <c r="E29" s="27">
        <v>45937</v>
      </c>
      <c r="F29" s="26">
        <v>29</v>
      </c>
      <c r="G29" s="26" t="s">
        <v>3</v>
      </c>
      <c r="H29" s="26" t="s">
        <v>1104</v>
      </c>
      <c r="I29" s="26">
        <v>96</v>
      </c>
      <c r="J29" s="26" t="s">
        <v>1105</v>
      </c>
      <c r="K29" s="28">
        <v>19.712</v>
      </c>
      <c r="L29" s="28">
        <v>3.141</v>
      </c>
      <c r="M29" s="28">
        <v>5.1349999999999998</v>
      </c>
      <c r="N29" s="28">
        <v>3.3109999999999999</v>
      </c>
      <c r="O29" s="28">
        <v>7.5350000000000001</v>
      </c>
      <c r="P29" s="28">
        <v>4.2839999999999998</v>
      </c>
      <c r="Q29" s="28">
        <v>4.2149999999999999</v>
      </c>
      <c r="R29" s="28">
        <v>4.5940000000000003</v>
      </c>
      <c r="S29" s="28">
        <v>4.2370000000000001</v>
      </c>
      <c r="T29" s="28">
        <v>5.9379999999999997</v>
      </c>
      <c r="U29" s="28">
        <v>4.21</v>
      </c>
      <c r="V29" s="26">
        <v>98.7209</v>
      </c>
      <c r="W29" s="29" t="s">
        <v>1112</v>
      </c>
      <c r="X29" s="26" t="s">
        <v>1107</v>
      </c>
    </row>
    <row r="30" spans="1:24" ht="15.6" customHeight="1" x14ac:dyDescent="0.25">
      <c r="A30" s="26" t="s">
        <v>1142</v>
      </c>
      <c r="B30" s="26" t="s">
        <v>1102</v>
      </c>
      <c r="C30" s="26" t="s">
        <v>1103</v>
      </c>
      <c r="D30" s="27">
        <v>45936</v>
      </c>
      <c r="E30" s="27">
        <v>45937</v>
      </c>
      <c r="F30" s="26">
        <v>78</v>
      </c>
      <c r="G30" s="26" t="s">
        <v>2</v>
      </c>
      <c r="H30" s="26" t="s">
        <v>1104</v>
      </c>
      <c r="I30" s="26">
        <v>122</v>
      </c>
      <c r="J30" s="26" t="s">
        <v>1105</v>
      </c>
      <c r="K30" s="28">
        <v>24.335000000000001</v>
      </c>
      <c r="L30" s="28">
        <v>5.806</v>
      </c>
      <c r="M30" s="28">
        <v>5.8090000000000002</v>
      </c>
      <c r="N30" s="28">
        <v>6.0330000000000004</v>
      </c>
      <c r="O30" s="28">
        <v>5.8849999999999998</v>
      </c>
      <c r="P30" s="28">
        <v>4.6689999999999996</v>
      </c>
      <c r="Q30" s="28">
        <v>4.8780000000000001</v>
      </c>
      <c r="R30" s="28">
        <v>5.0750000000000002</v>
      </c>
      <c r="S30" s="28">
        <v>4.5709999999999997</v>
      </c>
      <c r="T30" s="28">
        <v>5.4720000000000004</v>
      </c>
      <c r="U30" s="28">
        <v>4.6100000000000003</v>
      </c>
      <c r="V30" s="26">
        <v>121.3241</v>
      </c>
      <c r="W30" s="29" t="s">
        <v>1114</v>
      </c>
      <c r="X30" s="26" t="s">
        <v>1107</v>
      </c>
    </row>
    <row r="31" spans="1:24" ht="15.6" customHeight="1" x14ac:dyDescent="0.25">
      <c r="A31" s="26" t="s">
        <v>1143</v>
      </c>
      <c r="B31" s="26" t="s">
        <v>1102</v>
      </c>
      <c r="C31" s="26" t="s">
        <v>1103</v>
      </c>
      <c r="D31" s="27">
        <v>45936</v>
      </c>
      <c r="E31" s="27">
        <v>45937</v>
      </c>
      <c r="F31" s="26">
        <v>76</v>
      </c>
      <c r="G31" s="26" t="s">
        <v>3</v>
      </c>
      <c r="H31" s="26" t="s">
        <v>1104</v>
      </c>
      <c r="I31" s="26">
        <v>99</v>
      </c>
      <c r="J31" s="26" t="s">
        <v>1105</v>
      </c>
      <c r="K31" s="28">
        <v>19.364000000000001</v>
      </c>
      <c r="L31" s="28">
        <v>4.4139999999999997</v>
      </c>
      <c r="M31" s="28">
        <v>5.4050000000000002</v>
      </c>
      <c r="N31" s="28">
        <v>6.1459999999999999</v>
      </c>
      <c r="O31" s="28">
        <v>5.2830000000000004</v>
      </c>
      <c r="P31" s="28">
        <v>3.6269999999999998</v>
      </c>
      <c r="Q31" s="28">
        <v>4.524</v>
      </c>
      <c r="R31" s="28">
        <v>4.7910000000000004</v>
      </c>
      <c r="S31" s="28">
        <v>4.3620000000000001</v>
      </c>
      <c r="T31" s="28">
        <v>5.6310000000000002</v>
      </c>
      <c r="U31" s="28">
        <v>4.7229999999999999</v>
      </c>
      <c r="V31" s="26">
        <v>97.019400000000005</v>
      </c>
      <c r="W31" s="29" t="s">
        <v>1116</v>
      </c>
      <c r="X31" s="26" t="s">
        <v>1107</v>
      </c>
    </row>
    <row r="32" spans="1:24" ht="15.6" customHeight="1" x14ac:dyDescent="0.25">
      <c r="A32" s="26" t="s">
        <v>1144</v>
      </c>
      <c r="B32" s="26" t="s">
        <v>1102</v>
      </c>
      <c r="C32" s="26" t="s">
        <v>1103</v>
      </c>
      <c r="D32" s="27">
        <v>45936</v>
      </c>
      <c r="E32" s="27">
        <v>45937</v>
      </c>
      <c r="F32" s="26">
        <v>59</v>
      </c>
      <c r="G32" s="26" t="s">
        <v>2</v>
      </c>
      <c r="H32" s="26" t="s">
        <v>1104</v>
      </c>
      <c r="I32" s="26">
        <v>100</v>
      </c>
      <c r="J32" s="26" t="s">
        <v>1105</v>
      </c>
      <c r="K32" s="28">
        <v>21.234999999999999</v>
      </c>
      <c r="L32" s="28">
        <v>1.85</v>
      </c>
      <c r="M32" s="28">
        <v>6.7119999999999997</v>
      </c>
      <c r="N32" s="28">
        <v>6.0449999999999999</v>
      </c>
      <c r="O32" s="28">
        <v>4.96</v>
      </c>
      <c r="P32" s="28">
        <v>3.3730000000000002</v>
      </c>
      <c r="Q32" s="28">
        <v>4.1059999999999999</v>
      </c>
      <c r="R32" s="28">
        <v>3.952</v>
      </c>
      <c r="S32" s="28">
        <v>4.1589999999999998</v>
      </c>
      <c r="T32" s="28">
        <v>5.8650000000000002</v>
      </c>
      <c r="U32" s="28">
        <v>5.2279999999999998</v>
      </c>
      <c r="V32" s="26">
        <v>106.1673</v>
      </c>
      <c r="W32" s="29" t="s">
        <v>1118</v>
      </c>
      <c r="X32" s="26" t="s">
        <v>1107</v>
      </c>
    </row>
    <row r="33" spans="1:24" ht="15.6" customHeight="1" x14ac:dyDescent="0.25">
      <c r="A33" s="26" t="s">
        <v>1145</v>
      </c>
      <c r="B33" s="26" t="s">
        <v>1102</v>
      </c>
      <c r="C33" s="26" t="s">
        <v>1103</v>
      </c>
      <c r="D33" s="27">
        <v>45937</v>
      </c>
      <c r="E33" s="27">
        <v>45938</v>
      </c>
      <c r="F33" s="26">
        <v>81</v>
      </c>
      <c r="G33" s="26" t="s">
        <v>3</v>
      </c>
      <c r="H33" s="26" t="s">
        <v>1104</v>
      </c>
      <c r="I33" s="26">
        <v>109</v>
      </c>
      <c r="J33" s="26" t="s">
        <v>1105</v>
      </c>
      <c r="K33" s="28">
        <v>21.957999999999998</v>
      </c>
      <c r="L33" s="28">
        <v>4.5250000000000004</v>
      </c>
      <c r="M33" s="28">
        <v>5.5060000000000002</v>
      </c>
      <c r="N33" s="28">
        <v>3.3279999999999998</v>
      </c>
      <c r="O33" s="28">
        <v>5.2839999999999998</v>
      </c>
      <c r="P33" s="28">
        <v>4.8040000000000003</v>
      </c>
      <c r="Q33" s="28">
        <v>4.306</v>
      </c>
      <c r="R33" s="28">
        <v>5.2389999999999999</v>
      </c>
      <c r="S33" s="28">
        <v>4.8479999999999999</v>
      </c>
      <c r="T33" s="28">
        <v>5.5039999999999996</v>
      </c>
      <c r="U33" s="28">
        <v>5.2270000000000003</v>
      </c>
      <c r="V33" s="26">
        <v>109.7022</v>
      </c>
      <c r="W33" s="29" t="s">
        <v>1106</v>
      </c>
      <c r="X33" s="26" t="s">
        <v>1107</v>
      </c>
    </row>
    <row r="34" spans="1:24" ht="15.6" customHeight="1" x14ac:dyDescent="0.25">
      <c r="A34" s="26" t="s">
        <v>1146</v>
      </c>
      <c r="B34" s="26" t="s">
        <v>1102</v>
      </c>
      <c r="C34" s="26" t="s">
        <v>1103</v>
      </c>
      <c r="D34" s="27">
        <v>45937</v>
      </c>
      <c r="E34" s="27">
        <v>45938</v>
      </c>
      <c r="F34" s="26">
        <v>21</v>
      </c>
      <c r="G34" s="26" t="s">
        <v>3</v>
      </c>
      <c r="H34" s="26" t="s">
        <v>1109</v>
      </c>
      <c r="I34" s="26">
        <v>86</v>
      </c>
      <c r="J34" s="26" t="s">
        <v>1105</v>
      </c>
      <c r="K34" s="28">
        <v>18.056000000000001</v>
      </c>
      <c r="L34" s="28">
        <v>2.7639999999999998</v>
      </c>
      <c r="M34" s="28">
        <v>6.3920000000000003</v>
      </c>
      <c r="N34" s="28">
        <v>3.1389999999999998</v>
      </c>
      <c r="O34" s="28">
        <v>4.351</v>
      </c>
      <c r="P34" s="28">
        <v>3.9</v>
      </c>
      <c r="Q34" s="28">
        <v>4.0110000000000001</v>
      </c>
      <c r="R34" s="28">
        <v>4.681</v>
      </c>
      <c r="S34" s="28">
        <v>3.6110000000000002</v>
      </c>
      <c r="T34" s="28">
        <v>5.8209999999999997</v>
      </c>
      <c r="U34" s="28">
        <v>5.8559999999999999</v>
      </c>
      <c r="V34" s="26"/>
      <c r="W34" s="29" t="s">
        <v>1110</v>
      </c>
      <c r="X34" s="26" t="s">
        <v>1107</v>
      </c>
    </row>
    <row r="35" spans="1:24" ht="15.6" customHeight="1" x14ac:dyDescent="0.25">
      <c r="A35" s="26" t="s">
        <v>1147</v>
      </c>
      <c r="B35" s="26" t="s">
        <v>1102</v>
      </c>
      <c r="C35" s="26" t="s">
        <v>1103</v>
      </c>
      <c r="D35" s="27">
        <v>45937</v>
      </c>
      <c r="E35" s="27">
        <v>45938</v>
      </c>
      <c r="F35" s="26">
        <v>53</v>
      </c>
      <c r="G35" s="26" t="s">
        <v>3</v>
      </c>
      <c r="H35" s="26" t="s">
        <v>1104</v>
      </c>
      <c r="I35" s="26">
        <v>108</v>
      </c>
      <c r="J35" s="26" t="s">
        <v>1105</v>
      </c>
      <c r="K35" s="28">
        <v>21.899000000000001</v>
      </c>
      <c r="L35" s="28">
        <v>5.2149999999999999</v>
      </c>
      <c r="M35" s="28">
        <v>6.2510000000000003</v>
      </c>
      <c r="N35" s="28">
        <v>2.444</v>
      </c>
      <c r="O35" s="28">
        <v>6.7060000000000004</v>
      </c>
      <c r="P35" s="28">
        <v>4.4530000000000003</v>
      </c>
      <c r="Q35" s="28">
        <v>4.4359999999999999</v>
      </c>
      <c r="R35" s="28">
        <v>5.1559999999999997</v>
      </c>
      <c r="S35" s="28">
        <v>4.0819999999999999</v>
      </c>
      <c r="T35" s="28">
        <v>5.5860000000000003</v>
      </c>
      <c r="U35" s="28">
        <v>4.6669999999999998</v>
      </c>
      <c r="V35" s="26">
        <v>109.41379999999999</v>
      </c>
      <c r="W35" s="29" t="s">
        <v>1112</v>
      </c>
      <c r="X35" s="26" t="s">
        <v>1107</v>
      </c>
    </row>
    <row r="36" spans="1:24" ht="15.6" customHeight="1" x14ac:dyDescent="0.25">
      <c r="A36" s="26" t="s">
        <v>1148</v>
      </c>
      <c r="B36" s="26" t="s">
        <v>1102</v>
      </c>
      <c r="C36" s="26" t="s">
        <v>1103</v>
      </c>
      <c r="D36" s="27">
        <v>45937</v>
      </c>
      <c r="E36" s="27">
        <v>45938</v>
      </c>
      <c r="F36" s="26">
        <v>47</v>
      </c>
      <c r="G36" s="26" t="s">
        <v>3</v>
      </c>
      <c r="H36" s="26" t="s">
        <v>1104</v>
      </c>
      <c r="I36" s="26">
        <v>113</v>
      </c>
      <c r="J36" s="26" t="s">
        <v>1105</v>
      </c>
      <c r="K36" s="28">
        <v>23.02</v>
      </c>
      <c r="L36" s="28">
        <v>3.383</v>
      </c>
      <c r="M36" s="28">
        <v>6.82</v>
      </c>
      <c r="N36" s="28">
        <v>3.5950000000000002</v>
      </c>
      <c r="O36" s="28">
        <v>4.2450000000000001</v>
      </c>
      <c r="P36" s="28">
        <v>4.577</v>
      </c>
      <c r="Q36" s="28">
        <v>4.2039999999999997</v>
      </c>
      <c r="R36" s="28">
        <v>5.1749999999999998</v>
      </c>
      <c r="S36" s="28">
        <v>3.762</v>
      </c>
      <c r="T36" s="28">
        <v>5.9249999999999998</v>
      </c>
      <c r="U36" s="28">
        <v>5.2750000000000004</v>
      </c>
      <c r="V36" s="26">
        <v>114.8947</v>
      </c>
      <c r="W36" s="29" t="s">
        <v>1114</v>
      </c>
      <c r="X36" s="26" t="s">
        <v>1107</v>
      </c>
    </row>
    <row r="37" spans="1:24" ht="15.6" customHeight="1" x14ac:dyDescent="0.25">
      <c r="A37" s="26" t="s">
        <v>1149</v>
      </c>
      <c r="B37" s="26" t="s">
        <v>1102</v>
      </c>
      <c r="C37" s="26" t="s">
        <v>1103</v>
      </c>
      <c r="D37" s="27">
        <v>45937</v>
      </c>
      <c r="E37" s="27">
        <v>45938</v>
      </c>
      <c r="F37" s="26">
        <v>25</v>
      </c>
      <c r="G37" s="26" t="s">
        <v>2</v>
      </c>
      <c r="H37" s="26" t="s">
        <v>1104</v>
      </c>
      <c r="I37" s="26">
        <v>98</v>
      </c>
      <c r="J37" s="26" t="s">
        <v>1105</v>
      </c>
      <c r="K37" s="28">
        <v>19.451000000000001</v>
      </c>
      <c r="L37" s="28">
        <v>3.5449999999999999</v>
      </c>
      <c r="M37" s="28">
        <v>5.72</v>
      </c>
      <c r="N37" s="28">
        <v>3.4910000000000001</v>
      </c>
      <c r="O37" s="28">
        <v>5.734</v>
      </c>
      <c r="P37" s="28">
        <v>3.1480000000000001</v>
      </c>
      <c r="Q37" s="28">
        <v>4.383</v>
      </c>
      <c r="R37" s="28">
        <v>5.367</v>
      </c>
      <c r="S37" s="28">
        <v>4.4260000000000002</v>
      </c>
      <c r="T37" s="28">
        <v>5.7329999999999997</v>
      </c>
      <c r="U37" s="28">
        <v>5.1159999999999997</v>
      </c>
      <c r="V37" s="26">
        <v>97.444800000000001</v>
      </c>
      <c r="W37" s="29" t="s">
        <v>1116</v>
      </c>
      <c r="X37" s="26" t="s">
        <v>1107</v>
      </c>
    </row>
    <row r="38" spans="1:24" ht="15.6" customHeight="1" x14ac:dyDescent="0.25">
      <c r="A38" s="26" t="s">
        <v>1150</v>
      </c>
      <c r="B38" s="26" t="s">
        <v>1102</v>
      </c>
      <c r="C38" s="26" t="s">
        <v>1103</v>
      </c>
      <c r="D38" s="27">
        <v>45937</v>
      </c>
      <c r="E38" s="27">
        <v>45938</v>
      </c>
      <c r="F38" s="26">
        <v>67</v>
      </c>
      <c r="G38" s="26" t="s">
        <v>3</v>
      </c>
      <c r="H38" s="26" t="s">
        <v>1104</v>
      </c>
      <c r="I38" s="26">
        <v>108</v>
      </c>
      <c r="J38" s="26" t="s">
        <v>1105</v>
      </c>
      <c r="K38" s="28">
        <v>21.542000000000002</v>
      </c>
      <c r="L38" s="28">
        <v>4.6360000000000001</v>
      </c>
      <c r="M38" s="28">
        <v>4.8380000000000001</v>
      </c>
      <c r="N38" s="28">
        <v>4.2039999999999997</v>
      </c>
      <c r="O38" s="28">
        <v>4.6459999999999999</v>
      </c>
      <c r="P38" s="28">
        <v>5.81</v>
      </c>
      <c r="Q38" s="28">
        <v>4.5979999999999999</v>
      </c>
      <c r="R38" s="28">
        <v>5.0960000000000001</v>
      </c>
      <c r="S38" s="28">
        <v>4.2690000000000001</v>
      </c>
      <c r="T38" s="28">
        <v>5.6459999999999999</v>
      </c>
      <c r="U38" s="28">
        <v>5.0739999999999998</v>
      </c>
      <c r="V38" s="26">
        <v>107.6683</v>
      </c>
      <c r="W38" s="29" t="s">
        <v>1118</v>
      </c>
      <c r="X38" s="26" t="s">
        <v>1107</v>
      </c>
    </row>
    <row r="39" spans="1:24" ht="15.6" customHeight="1" x14ac:dyDescent="0.25">
      <c r="A39" s="26" t="s">
        <v>1151</v>
      </c>
      <c r="B39" s="26" t="s">
        <v>1102</v>
      </c>
      <c r="C39" s="26" t="s">
        <v>1103</v>
      </c>
      <c r="D39" s="27">
        <v>45937</v>
      </c>
      <c r="E39" s="27">
        <v>45938</v>
      </c>
      <c r="F39" s="26">
        <v>45</v>
      </c>
      <c r="G39" s="26" t="s">
        <v>2</v>
      </c>
      <c r="H39" s="26" t="s">
        <v>1104</v>
      </c>
      <c r="I39" s="26">
        <v>108</v>
      </c>
      <c r="J39" s="26" t="s">
        <v>1105</v>
      </c>
      <c r="K39" s="28">
        <v>22.141999999999999</v>
      </c>
      <c r="L39" s="28">
        <v>4.6379999999999999</v>
      </c>
      <c r="M39" s="28">
        <v>6.665</v>
      </c>
      <c r="N39" s="28">
        <v>3.4220000000000002</v>
      </c>
      <c r="O39" s="28">
        <v>5.0730000000000004</v>
      </c>
      <c r="P39" s="28">
        <v>3.6880000000000002</v>
      </c>
      <c r="Q39" s="28">
        <v>4.2210000000000001</v>
      </c>
      <c r="R39" s="28">
        <v>4.6710000000000003</v>
      </c>
      <c r="S39" s="28">
        <v>4.2779999999999996</v>
      </c>
      <c r="T39" s="28">
        <v>6.3109999999999999</v>
      </c>
      <c r="U39" s="28">
        <v>5.3259999999999996</v>
      </c>
      <c r="V39" s="26">
        <v>110.6019</v>
      </c>
      <c r="W39" s="29" t="s">
        <v>1120</v>
      </c>
      <c r="X39" s="26" t="s">
        <v>1107</v>
      </c>
    </row>
    <row r="40" spans="1:24" ht="15.6" customHeight="1" x14ac:dyDescent="0.25">
      <c r="A40" s="26" t="s">
        <v>1152</v>
      </c>
      <c r="B40" s="26" t="s">
        <v>1102</v>
      </c>
      <c r="C40" s="26" t="s">
        <v>1103</v>
      </c>
      <c r="D40" s="27">
        <v>45937</v>
      </c>
      <c r="E40" s="27">
        <v>45938</v>
      </c>
      <c r="F40" s="26">
        <v>56</v>
      </c>
      <c r="G40" s="26" t="s">
        <v>3</v>
      </c>
      <c r="H40" s="26" t="s">
        <v>1104</v>
      </c>
      <c r="I40" s="26">
        <v>98</v>
      </c>
      <c r="J40" s="26" t="s">
        <v>1105</v>
      </c>
      <c r="K40" s="28">
        <v>20.030999999999999</v>
      </c>
      <c r="L40" s="28">
        <v>4.133</v>
      </c>
      <c r="M40" s="28">
        <v>3.4809999999999999</v>
      </c>
      <c r="N40" s="28">
        <v>5.8769999999999998</v>
      </c>
      <c r="O40" s="28">
        <v>6.6680000000000001</v>
      </c>
      <c r="P40" s="28">
        <v>3.794</v>
      </c>
      <c r="Q40" s="28">
        <v>4.3019999999999996</v>
      </c>
      <c r="R40" s="28">
        <v>4.0750000000000002</v>
      </c>
      <c r="S40" s="28">
        <v>4.2300000000000004</v>
      </c>
      <c r="T40" s="28">
        <v>5.1079999999999997</v>
      </c>
      <c r="U40" s="28">
        <v>4.5720000000000001</v>
      </c>
      <c r="V40" s="26">
        <v>100.28060000000001</v>
      </c>
      <c r="W40" s="29" t="s">
        <v>1122</v>
      </c>
      <c r="X40" s="26" t="s">
        <v>1107</v>
      </c>
    </row>
    <row r="41" spans="1:24" ht="15.6" customHeight="1" x14ac:dyDescent="0.25">
      <c r="A41" s="26" t="s">
        <v>1153</v>
      </c>
      <c r="B41" s="26" t="s">
        <v>1102</v>
      </c>
      <c r="C41" s="26" t="s">
        <v>1103</v>
      </c>
      <c r="D41" s="27">
        <v>45937</v>
      </c>
      <c r="E41" s="27">
        <v>45938</v>
      </c>
      <c r="F41" s="26">
        <v>57</v>
      </c>
      <c r="G41" s="26" t="s">
        <v>3</v>
      </c>
      <c r="H41" s="26" t="s">
        <v>1104</v>
      </c>
      <c r="I41" s="26">
        <v>114</v>
      </c>
      <c r="J41" s="26" t="s">
        <v>1105</v>
      </c>
      <c r="K41" s="28">
        <v>23.317</v>
      </c>
      <c r="L41" s="28">
        <v>5.0609999999999999</v>
      </c>
      <c r="M41" s="28">
        <v>4.9820000000000002</v>
      </c>
      <c r="N41" s="28">
        <v>3.9630000000000001</v>
      </c>
      <c r="O41" s="28">
        <v>4.8949999999999996</v>
      </c>
      <c r="P41" s="28">
        <v>3.9159999999999999</v>
      </c>
      <c r="Q41" s="28">
        <v>4.3129999999999997</v>
      </c>
      <c r="R41" s="28">
        <v>4.5330000000000004</v>
      </c>
      <c r="S41" s="28">
        <v>4.3979999999999997</v>
      </c>
      <c r="T41" s="28">
        <v>5.8330000000000002</v>
      </c>
      <c r="U41" s="28">
        <v>4.617</v>
      </c>
      <c r="V41" s="26">
        <v>116.3468</v>
      </c>
      <c r="W41" s="29" t="s">
        <v>1106</v>
      </c>
      <c r="X41" s="26" t="s">
        <v>1107</v>
      </c>
    </row>
    <row r="42" spans="1:24" ht="15.6" customHeight="1" x14ac:dyDescent="0.25">
      <c r="A42" s="26" t="s">
        <v>1154</v>
      </c>
      <c r="B42" s="26" t="s">
        <v>1102</v>
      </c>
      <c r="C42" s="26" t="s">
        <v>1103</v>
      </c>
      <c r="D42" s="27">
        <v>45937</v>
      </c>
      <c r="E42" s="27">
        <v>45938</v>
      </c>
      <c r="F42" s="26">
        <v>27</v>
      </c>
      <c r="G42" s="26" t="s">
        <v>3</v>
      </c>
      <c r="H42" s="26" t="s">
        <v>1104</v>
      </c>
      <c r="I42" s="26">
        <v>101</v>
      </c>
      <c r="J42" s="26" t="s">
        <v>1105</v>
      </c>
      <c r="K42" s="28">
        <v>21.122</v>
      </c>
      <c r="L42" s="28">
        <v>4.556</v>
      </c>
      <c r="M42" s="28">
        <v>8.5180000000000007</v>
      </c>
      <c r="N42" s="28">
        <v>3.8839999999999999</v>
      </c>
      <c r="O42" s="28">
        <v>6.5490000000000004</v>
      </c>
      <c r="P42" s="28">
        <v>4.665</v>
      </c>
      <c r="Q42" s="28">
        <v>4.2030000000000003</v>
      </c>
      <c r="R42" s="28">
        <v>4.75</v>
      </c>
      <c r="S42" s="28">
        <v>5.1870000000000003</v>
      </c>
      <c r="T42" s="28">
        <v>5.5490000000000004</v>
      </c>
      <c r="U42" s="28">
        <v>4.9260000000000002</v>
      </c>
      <c r="V42" s="26">
        <v>105.6148</v>
      </c>
      <c r="W42" s="29" t="s">
        <v>1110</v>
      </c>
      <c r="X42" s="26" t="s">
        <v>1107</v>
      </c>
    </row>
    <row r="43" spans="1:24" ht="15.6" customHeight="1" x14ac:dyDescent="0.25">
      <c r="A43" s="26" t="s">
        <v>1155</v>
      </c>
      <c r="B43" s="26" t="s">
        <v>1102</v>
      </c>
      <c r="C43" s="26" t="s">
        <v>1103</v>
      </c>
      <c r="D43" s="27">
        <v>45938</v>
      </c>
      <c r="E43" s="27">
        <v>45939</v>
      </c>
      <c r="F43" s="26">
        <v>39</v>
      </c>
      <c r="G43" s="26" t="s">
        <v>2</v>
      </c>
      <c r="H43" s="26" t="s">
        <v>1104</v>
      </c>
      <c r="I43" s="26">
        <v>103</v>
      </c>
      <c r="J43" s="26" t="s">
        <v>1105</v>
      </c>
      <c r="K43" s="28">
        <v>21.765999999999998</v>
      </c>
      <c r="L43" s="28">
        <v>4.085</v>
      </c>
      <c r="M43" s="28">
        <v>5.5549999999999997</v>
      </c>
      <c r="N43" s="28">
        <v>4.0069999999999997</v>
      </c>
      <c r="O43" s="28">
        <v>7.0469999999999997</v>
      </c>
      <c r="P43" s="28">
        <v>3.8159999999999998</v>
      </c>
      <c r="Q43" s="28">
        <v>4.0940000000000003</v>
      </c>
      <c r="R43" s="28">
        <v>5.3869999999999996</v>
      </c>
      <c r="S43" s="28">
        <v>4.0259999999999998</v>
      </c>
      <c r="T43" s="28">
        <v>5.4420000000000002</v>
      </c>
      <c r="U43" s="28">
        <v>5.3209999999999997</v>
      </c>
      <c r="V43" s="26">
        <v>108.76349999999999</v>
      </c>
      <c r="W43" s="29" t="s">
        <v>1112</v>
      </c>
      <c r="X43" s="26" t="s">
        <v>1107</v>
      </c>
    </row>
    <row r="44" spans="1:24" ht="15.6" customHeight="1" x14ac:dyDescent="0.25">
      <c r="A44" s="26" t="s">
        <v>1156</v>
      </c>
      <c r="B44" s="26" t="s">
        <v>1102</v>
      </c>
      <c r="C44" s="26" t="s">
        <v>1103</v>
      </c>
      <c r="D44" s="27">
        <v>45938</v>
      </c>
      <c r="E44" s="27">
        <v>45939</v>
      </c>
      <c r="F44" s="26">
        <v>23</v>
      </c>
      <c r="G44" s="26" t="s">
        <v>3</v>
      </c>
      <c r="H44" s="26" t="s">
        <v>1104</v>
      </c>
      <c r="I44" s="26">
        <v>122</v>
      </c>
      <c r="J44" s="26" t="s">
        <v>1105</v>
      </c>
      <c r="K44" s="28">
        <v>24.988</v>
      </c>
      <c r="L44" s="28">
        <v>6.3360000000000003</v>
      </c>
      <c r="M44" s="28">
        <v>4.12</v>
      </c>
      <c r="N44" s="28">
        <v>5.1379999999999999</v>
      </c>
      <c r="O44" s="28">
        <v>4.8019999999999996</v>
      </c>
      <c r="P44" s="28">
        <v>4.2560000000000002</v>
      </c>
      <c r="Q44" s="28">
        <v>4.2830000000000004</v>
      </c>
      <c r="R44" s="28">
        <v>5.4370000000000003</v>
      </c>
      <c r="S44" s="28">
        <v>4.4489999999999998</v>
      </c>
      <c r="T44" s="28">
        <v>5.5519999999999996</v>
      </c>
      <c r="U44" s="28">
        <v>4.6349999999999998</v>
      </c>
      <c r="V44" s="26">
        <v>124.5168</v>
      </c>
      <c r="W44" s="29" t="s">
        <v>1114</v>
      </c>
      <c r="X44" s="26" t="s">
        <v>1107</v>
      </c>
    </row>
    <row r="45" spans="1:24" ht="15.6" customHeight="1" x14ac:dyDescent="0.25">
      <c r="A45" s="26" t="s">
        <v>1157</v>
      </c>
      <c r="B45" s="26" t="s">
        <v>1102</v>
      </c>
      <c r="C45" s="26" t="s">
        <v>1103</v>
      </c>
      <c r="D45" s="27">
        <v>45938</v>
      </c>
      <c r="E45" s="27">
        <v>45939</v>
      </c>
      <c r="F45" s="26">
        <v>62</v>
      </c>
      <c r="G45" s="26" t="s">
        <v>2</v>
      </c>
      <c r="H45" s="26" t="s">
        <v>1104</v>
      </c>
      <c r="I45" s="26">
        <v>111</v>
      </c>
      <c r="J45" s="26" t="s">
        <v>1105</v>
      </c>
      <c r="K45" s="28">
        <v>22.457000000000001</v>
      </c>
      <c r="L45" s="28">
        <v>5.1749999999999998</v>
      </c>
      <c r="M45" s="28">
        <v>5.5279999999999996</v>
      </c>
      <c r="N45" s="28">
        <v>3.6040000000000001</v>
      </c>
      <c r="O45" s="28">
        <v>5.1609999999999996</v>
      </c>
      <c r="P45" s="28">
        <v>4.5670000000000002</v>
      </c>
      <c r="Q45" s="28">
        <v>4.5129999999999999</v>
      </c>
      <c r="R45" s="28">
        <v>4.556</v>
      </c>
      <c r="S45" s="28">
        <v>4.1639999999999997</v>
      </c>
      <c r="T45" s="28">
        <v>5.4240000000000004</v>
      </c>
      <c r="U45" s="28">
        <v>4.875</v>
      </c>
      <c r="V45" s="26">
        <v>112.142</v>
      </c>
      <c r="W45" s="29" t="s">
        <v>1116</v>
      </c>
      <c r="X45" s="26" t="s">
        <v>1107</v>
      </c>
    </row>
    <row r="46" spans="1:24" ht="15.6" customHeight="1" x14ac:dyDescent="0.25">
      <c r="A46" s="26" t="s">
        <v>1158</v>
      </c>
      <c r="B46" s="26" t="s">
        <v>1102</v>
      </c>
      <c r="C46" s="26" t="s">
        <v>1103</v>
      </c>
      <c r="D46" s="27">
        <v>45938</v>
      </c>
      <c r="E46" s="27">
        <v>45939</v>
      </c>
      <c r="F46" s="26">
        <v>37</v>
      </c>
      <c r="G46" s="26" t="s">
        <v>2</v>
      </c>
      <c r="H46" s="26" t="s">
        <v>1104</v>
      </c>
      <c r="I46" s="26">
        <v>97</v>
      </c>
      <c r="J46" s="26" t="s">
        <v>1105</v>
      </c>
      <c r="K46" s="28">
        <v>20.239000000000001</v>
      </c>
      <c r="L46" s="28">
        <v>2.9540000000000002</v>
      </c>
      <c r="M46" s="28">
        <v>5.7969999999999997</v>
      </c>
      <c r="N46" s="28">
        <v>5.109</v>
      </c>
      <c r="O46" s="28">
        <v>7.3680000000000003</v>
      </c>
      <c r="P46" s="28">
        <v>5.1509999999999998</v>
      </c>
      <c r="Q46" s="28">
        <v>4.282</v>
      </c>
      <c r="R46" s="28">
        <v>4.0430000000000001</v>
      </c>
      <c r="S46" s="28">
        <v>4.0540000000000003</v>
      </c>
      <c r="T46" s="28">
        <v>5.3140000000000001</v>
      </c>
      <c r="U46" s="28">
        <v>4.9969999999999999</v>
      </c>
      <c r="V46" s="26">
        <v>101.2975</v>
      </c>
      <c r="W46" s="29" t="s">
        <v>1118</v>
      </c>
      <c r="X46" s="26" t="s">
        <v>1107</v>
      </c>
    </row>
    <row r="47" spans="1:24" ht="15.6" customHeight="1" x14ac:dyDescent="0.25">
      <c r="A47" s="26" t="s">
        <v>1159</v>
      </c>
      <c r="B47" s="26" t="s">
        <v>1102</v>
      </c>
      <c r="C47" s="26" t="s">
        <v>1103</v>
      </c>
      <c r="D47" s="27">
        <v>45938</v>
      </c>
      <c r="E47" s="27">
        <v>45939</v>
      </c>
      <c r="F47" s="26">
        <v>52</v>
      </c>
      <c r="G47" s="26" t="s">
        <v>2</v>
      </c>
      <c r="H47" s="26" t="s">
        <v>1104</v>
      </c>
      <c r="I47" s="26">
        <v>115</v>
      </c>
      <c r="J47" s="26" t="s">
        <v>1105</v>
      </c>
      <c r="K47" s="28">
        <v>23.321999999999999</v>
      </c>
      <c r="L47" s="28">
        <v>4.3540000000000001</v>
      </c>
      <c r="M47" s="28">
        <v>6.6660000000000004</v>
      </c>
      <c r="N47" s="28">
        <v>5.2539999999999996</v>
      </c>
      <c r="O47" s="28">
        <v>5.7169999999999996</v>
      </c>
      <c r="P47" s="28">
        <v>3.8479999999999999</v>
      </c>
      <c r="Q47" s="28">
        <v>4.1050000000000004</v>
      </c>
      <c r="R47" s="28">
        <v>4.5090000000000003</v>
      </c>
      <c r="S47" s="28">
        <v>4.2949999999999999</v>
      </c>
      <c r="T47" s="28">
        <v>5.6550000000000002</v>
      </c>
      <c r="U47" s="28">
        <v>5.2229999999999999</v>
      </c>
      <c r="V47" s="26">
        <v>116.37130000000001</v>
      </c>
      <c r="W47" s="29" t="s">
        <v>1120</v>
      </c>
      <c r="X47" s="26" t="s">
        <v>1107</v>
      </c>
    </row>
    <row r="48" spans="1:24" ht="15.6" customHeight="1" x14ac:dyDescent="0.25">
      <c r="A48" s="26" t="s">
        <v>1160</v>
      </c>
      <c r="B48" s="26" t="s">
        <v>1102</v>
      </c>
      <c r="C48" s="26" t="s">
        <v>1103</v>
      </c>
      <c r="D48" s="27">
        <v>45938</v>
      </c>
      <c r="E48" s="27">
        <v>45939</v>
      </c>
      <c r="F48" s="26">
        <v>70</v>
      </c>
      <c r="G48" s="26" t="s">
        <v>2</v>
      </c>
      <c r="H48" s="26" t="s">
        <v>1104</v>
      </c>
      <c r="I48" s="26">
        <v>111</v>
      </c>
      <c r="J48" s="26" t="s">
        <v>1105</v>
      </c>
      <c r="K48" s="28">
        <v>22.489000000000001</v>
      </c>
      <c r="L48" s="28">
        <v>4.4080000000000004</v>
      </c>
      <c r="M48" s="28">
        <v>6.734</v>
      </c>
      <c r="N48" s="28">
        <v>4.7309999999999999</v>
      </c>
      <c r="O48" s="28">
        <v>5.8920000000000003</v>
      </c>
      <c r="P48" s="28">
        <v>5.4560000000000004</v>
      </c>
      <c r="Q48" s="28">
        <v>4.5599999999999996</v>
      </c>
      <c r="R48" s="28">
        <v>5.0659999999999998</v>
      </c>
      <c r="S48" s="28">
        <v>4.1319999999999997</v>
      </c>
      <c r="T48" s="28">
        <v>5.0389999999999997</v>
      </c>
      <c r="U48" s="28">
        <v>4.6989999999999998</v>
      </c>
      <c r="V48" s="26">
        <v>112.2985</v>
      </c>
      <c r="W48" s="29" t="s">
        <v>1122</v>
      </c>
      <c r="X48" s="26" t="s">
        <v>1107</v>
      </c>
    </row>
    <row r="49" spans="1:24" ht="15.6" customHeight="1" x14ac:dyDescent="0.25">
      <c r="A49" s="26" t="s">
        <v>1161</v>
      </c>
      <c r="B49" s="26" t="s">
        <v>1102</v>
      </c>
      <c r="C49" s="26" t="s">
        <v>1103</v>
      </c>
      <c r="D49" s="27">
        <v>45938</v>
      </c>
      <c r="E49" s="27">
        <v>45939</v>
      </c>
      <c r="F49" s="26">
        <v>73</v>
      </c>
      <c r="G49" s="26" t="s">
        <v>2</v>
      </c>
      <c r="H49" s="26" t="s">
        <v>1104</v>
      </c>
      <c r="I49" s="26">
        <v>108</v>
      </c>
      <c r="J49" s="26" t="s">
        <v>1105</v>
      </c>
      <c r="K49" s="28">
        <v>22.061</v>
      </c>
      <c r="L49" s="28">
        <v>4.6379999999999999</v>
      </c>
      <c r="M49" s="28">
        <v>5.8040000000000003</v>
      </c>
      <c r="N49" s="28">
        <v>5.4130000000000003</v>
      </c>
      <c r="O49" s="28">
        <v>5.5209999999999999</v>
      </c>
      <c r="P49" s="28">
        <v>4.2880000000000003</v>
      </c>
      <c r="Q49" s="28">
        <v>4.0419999999999998</v>
      </c>
      <c r="R49" s="28">
        <v>5.2149999999999999</v>
      </c>
      <c r="S49" s="28">
        <v>4.0839999999999996</v>
      </c>
      <c r="T49" s="28">
        <v>6.1619999999999999</v>
      </c>
      <c r="U49" s="28">
        <v>5.8230000000000004</v>
      </c>
      <c r="V49" s="26">
        <v>110.2058</v>
      </c>
      <c r="W49" s="29" t="s">
        <v>1106</v>
      </c>
      <c r="X49" s="26" t="s">
        <v>1107</v>
      </c>
    </row>
    <row r="50" spans="1:24" ht="15.6" customHeight="1" x14ac:dyDescent="0.25">
      <c r="A50" s="26" t="s">
        <v>1162</v>
      </c>
      <c r="B50" s="26" t="s">
        <v>1102</v>
      </c>
      <c r="C50" s="26" t="s">
        <v>1103</v>
      </c>
      <c r="D50" s="27">
        <v>45938</v>
      </c>
      <c r="E50" s="27">
        <v>45939</v>
      </c>
      <c r="F50" s="26">
        <v>25</v>
      </c>
      <c r="G50" s="26" t="s">
        <v>2</v>
      </c>
      <c r="H50" s="26" t="s">
        <v>1104</v>
      </c>
      <c r="I50" s="26">
        <v>96</v>
      </c>
      <c r="J50" s="26" t="s">
        <v>1105</v>
      </c>
      <c r="K50" s="28">
        <v>19.75</v>
      </c>
      <c r="L50" s="28">
        <v>3.637</v>
      </c>
      <c r="M50" s="28">
        <v>5.9889999999999999</v>
      </c>
      <c r="N50" s="28">
        <v>3.9580000000000002</v>
      </c>
      <c r="O50" s="28">
        <v>6.1769999999999996</v>
      </c>
      <c r="P50" s="28">
        <v>3.851</v>
      </c>
      <c r="Q50" s="28">
        <v>4.2649999999999997</v>
      </c>
      <c r="R50" s="28">
        <v>5.032</v>
      </c>
      <c r="S50" s="28">
        <v>4.4989999999999997</v>
      </c>
      <c r="T50" s="28">
        <v>5.6840000000000002</v>
      </c>
      <c r="U50" s="28">
        <v>5.7</v>
      </c>
      <c r="V50" s="26">
        <v>98.906700000000001</v>
      </c>
      <c r="W50" s="29" t="s">
        <v>1110</v>
      </c>
      <c r="X50" s="26" t="s">
        <v>1107</v>
      </c>
    </row>
    <row r="51" spans="1:24" ht="15.6" customHeight="1" x14ac:dyDescent="0.25">
      <c r="A51" s="26" t="s">
        <v>1163</v>
      </c>
      <c r="B51" s="26" t="s">
        <v>1102</v>
      </c>
      <c r="C51" s="26" t="s">
        <v>1103</v>
      </c>
      <c r="D51" s="27">
        <v>45938</v>
      </c>
      <c r="E51" s="27">
        <v>45939</v>
      </c>
      <c r="F51" s="26">
        <v>79</v>
      </c>
      <c r="G51" s="26" t="s">
        <v>2</v>
      </c>
      <c r="H51" s="26" t="s">
        <v>1104</v>
      </c>
      <c r="I51" s="26">
        <v>108</v>
      </c>
      <c r="J51" s="26" t="s">
        <v>1105</v>
      </c>
      <c r="K51" s="28">
        <v>21.827000000000002</v>
      </c>
      <c r="L51" s="28">
        <v>3.1139999999999999</v>
      </c>
      <c r="M51" s="28">
        <v>6.5229999999999997</v>
      </c>
      <c r="N51" s="28">
        <v>3.8740000000000001</v>
      </c>
      <c r="O51" s="28">
        <v>5.343</v>
      </c>
      <c r="P51" s="28">
        <v>3.5459999999999998</v>
      </c>
      <c r="Q51" s="28">
        <v>3.7480000000000002</v>
      </c>
      <c r="R51" s="28">
        <v>4.7320000000000002</v>
      </c>
      <c r="S51" s="28">
        <v>3.6040000000000001</v>
      </c>
      <c r="T51" s="28">
        <v>5.8540000000000001</v>
      </c>
      <c r="U51" s="28">
        <v>4.4000000000000004</v>
      </c>
      <c r="V51" s="26">
        <v>109.06180000000001</v>
      </c>
      <c r="W51" s="29" t="s">
        <v>1112</v>
      </c>
      <c r="X51" s="26" t="s">
        <v>1107</v>
      </c>
    </row>
    <row r="52" spans="1:24" ht="15.6" customHeight="1" x14ac:dyDescent="0.25">
      <c r="A52" s="26" t="s">
        <v>1164</v>
      </c>
      <c r="B52" s="26" t="s">
        <v>1102</v>
      </c>
      <c r="C52" s="26" t="s">
        <v>1103</v>
      </c>
      <c r="D52" s="27">
        <v>45938</v>
      </c>
      <c r="E52" s="27">
        <v>45939</v>
      </c>
      <c r="F52" s="26">
        <v>70</v>
      </c>
      <c r="G52" s="26" t="s">
        <v>2</v>
      </c>
      <c r="H52" s="26" t="s">
        <v>1104</v>
      </c>
      <c r="I52" s="26">
        <v>86</v>
      </c>
      <c r="J52" s="26" t="s">
        <v>1105</v>
      </c>
      <c r="K52" s="28">
        <v>17.331</v>
      </c>
      <c r="L52" s="28">
        <v>3.2770000000000001</v>
      </c>
      <c r="M52" s="28">
        <v>5.4859999999999998</v>
      </c>
      <c r="N52" s="28">
        <v>2.83</v>
      </c>
      <c r="O52" s="28">
        <v>4.7759999999999998</v>
      </c>
      <c r="P52" s="28">
        <v>4.25</v>
      </c>
      <c r="Q52" s="28">
        <v>4.3099999999999996</v>
      </c>
      <c r="R52" s="28">
        <v>5.1689999999999996</v>
      </c>
      <c r="S52" s="28">
        <v>5.2880000000000003</v>
      </c>
      <c r="T52" s="28">
        <v>5.48</v>
      </c>
      <c r="U52" s="28">
        <v>5.2809999999999997</v>
      </c>
      <c r="V52" s="26">
        <v>87.079499999999996</v>
      </c>
      <c r="W52" s="29" t="s">
        <v>1114</v>
      </c>
      <c r="X52" s="26" t="s">
        <v>1107</v>
      </c>
    </row>
    <row r="53" spans="1:24" ht="15.6" customHeight="1" x14ac:dyDescent="0.25">
      <c r="A53" s="26" t="s">
        <v>1165</v>
      </c>
      <c r="B53" s="26" t="s">
        <v>1102</v>
      </c>
      <c r="C53" s="26" t="s">
        <v>1103</v>
      </c>
      <c r="D53" s="27">
        <v>45934</v>
      </c>
      <c r="E53" s="27">
        <v>45935</v>
      </c>
      <c r="F53" s="26">
        <v>63</v>
      </c>
      <c r="G53" s="26" t="s">
        <v>2</v>
      </c>
      <c r="H53" s="26" t="s">
        <v>1166</v>
      </c>
      <c r="I53" s="28">
        <v>141</v>
      </c>
      <c r="J53" s="26" t="s">
        <v>1105</v>
      </c>
      <c r="K53" s="30">
        <v>29.853999999999999</v>
      </c>
      <c r="L53" s="30">
        <v>3.335</v>
      </c>
      <c r="M53" s="30">
        <v>5.5549999999999997</v>
      </c>
      <c r="N53" s="30">
        <v>5.6210000000000004</v>
      </c>
      <c r="O53" s="30">
        <v>5.056</v>
      </c>
      <c r="P53" s="30">
        <v>6.0469999999999997</v>
      </c>
      <c r="Q53" s="30">
        <v>3.9620000000000002</v>
      </c>
      <c r="R53" s="30">
        <v>4.37</v>
      </c>
      <c r="S53" s="30">
        <v>3.7320000000000002</v>
      </c>
      <c r="T53" s="30">
        <v>4.431</v>
      </c>
      <c r="U53" s="30">
        <v>5.5720000000000001</v>
      </c>
      <c r="V53" s="26">
        <v>142.66659999999999</v>
      </c>
      <c r="W53" s="29" t="s">
        <v>1116</v>
      </c>
      <c r="X53" s="26" t="s">
        <v>1107</v>
      </c>
    </row>
    <row r="54" spans="1:24" ht="15.6" customHeight="1" x14ac:dyDescent="0.25">
      <c r="A54" s="26" t="s">
        <v>1167</v>
      </c>
      <c r="B54" s="26" t="s">
        <v>1102</v>
      </c>
      <c r="C54" s="26" t="s">
        <v>1103</v>
      </c>
      <c r="D54" s="27">
        <v>45934</v>
      </c>
      <c r="E54" s="27">
        <v>45935</v>
      </c>
      <c r="F54" s="26">
        <v>68</v>
      </c>
      <c r="G54" s="26" t="s">
        <v>2</v>
      </c>
      <c r="H54" s="26" t="s">
        <v>1166</v>
      </c>
      <c r="I54" s="28">
        <v>348</v>
      </c>
      <c r="J54" s="26" t="s">
        <v>1105</v>
      </c>
      <c r="K54" s="30">
        <v>33.409999999999997</v>
      </c>
      <c r="L54" s="30">
        <v>4.7149999999999999</v>
      </c>
      <c r="M54" s="30">
        <v>4.6639999999999997</v>
      </c>
      <c r="N54" s="30">
        <v>5.048</v>
      </c>
      <c r="O54" s="30">
        <v>4.3630000000000004</v>
      </c>
      <c r="P54" s="30">
        <v>4.7080000000000002</v>
      </c>
      <c r="Q54" s="30">
        <v>3.2450000000000001</v>
      </c>
      <c r="R54" s="30">
        <v>3.69</v>
      </c>
      <c r="S54" s="30">
        <v>2.9049999999999998</v>
      </c>
      <c r="T54" s="30">
        <v>5.1829999999999998</v>
      </c>
      <c r="U54" s="30">
        <v>5.0270000000000001</v>
      </c>
      <c r="V54" s="26">
        <v>354.14190000000002</v>
      </c>
      <c r="W54" s="29" t="s">
        <v>1118</v>
      </c>
      <c r="X54" s="26" t="s">
        <v>1107</v>
      </c>
    </row>
    <row r="55" spans="1:24" ht="15.6" customHeight="1" x14ac:dyDescent="0.25">
      <c r="A55" s="26" t="s">
        <v>1168</v>
      </c>
      <c r="B55" s="26" t="s">
        <v>1102</v>
      </c>
      <c r="C55" s="26" t="s">
        <v>1103</v>
      </c>
      <c r="D55" s="27">
        <v>45934</v>
      </c>
      <c r="E55" s="27">
        <v>45935</v>
      </c>
      <c r="F55" s="26">
        <v>72</v>
      </c>
      <c r="G55" s="26" t="s">
        <v>2</v>
      </c>
      <c r="H55" s="26" t="s">
        <v>1109</v>
      </c>
      <c r="I55" s="28">
        <v>341</v>
      </c>
      <c r="J55" s="26" t="s">
        <v>1105</v>
      </c>
      <c r="K55" s="30">
        <v>33.244999999999997</v>
      </c>
      <c r="L55" s="30">
        <v>5.55</v>
      </c>
      <c r="M55" s="30">
        <v>5.5220000000000002</v>
      </c>
      <c r="N55" s="30">
        <v>4.5839999999999996</v>
      </c>
      <c r="O55" s="30">
        <v>4.327</v>
      </c>
      <c r="P55" s="30">
        <v>5.4950000000000001</v>
      </c>
      <c r="Q55" s="30">
        <v>3.9180000000000001</v>
      </c>
      <c r="R55" s="30">
        <v>3.6589999999999998</v>
      </c>
      <c r="S55" s="30">
        <v>3.8069999999999999</v>
      </c>
      <c r="T55" s="30">
        <v>4.7489999999999997</v>
      </c>
      <c r="U55" s="30">
        <v>6.38</v>
      </c>
      <c r="V55" s="26"/>
      <c r="W55" s="29" t="s">
        <v>1120</v>
      </c>
      <c r="X55" s="26" t="s">
        <v>1107</v>
      </c>
    </row>
    <row r="56" spans="1:24" ht="15.6" customHeight="1" x14ac:dyDescent="0.25">
      <c r="A56" s="26" t="s">
        <v>1169</v>
      </c>
      <c r="B56" s="26" t="s">
        <v>1102</v>
      </c>
      <c r="C56" s="26" t="s">
        <v>1103</v>
      </c>
      <c r="D56" s="27">
        <v>45934</v>
      </c>
      <c r="E56" s="27">
        <v>45935</v>
      </c>
      <c r="F56" s="26">
        <v>31</v>
      </c>
      <c r="G56" s="26" t="s">
        <v>3</v>
      </c>
      <c r="H56" s="26" t="s">
        <v>1166</v>
      </c>
      <c r="I56" s="28">
        <v>421</v>
      </c>
      <c r="J56" s="26" t="s">
        <v>1105</v>
      </c>
      <c r="K56" s="30">
        <v>34.587000000000003</v>
      </c>
      <c r="L56" s="30">
        <v>5.8920000000000003</v>
      </c>
      <c r="M56" s="30">
        <v>4.5430000000000001</v>
      </c>
      <c r="N56" s="30">
        <v>4.8789999999999996</v>
      </c>
      <c r="O56" s="30">
        <v>5.6449999999999996</v>
      </c>
      <c r="P56" s="30">
        <v>4.4260000000000002</v>
      </c>
      <c r="Q56" s="30">
        <v>3.4540000000000002</v>
      </c>
      <c r="R56" s="30">
        <v>4.0149999999999997</v>
      </c>
      <c r="S56" s="30">
        <v>3.306</v>
      </c>
      <c r="T56" s="30">
        <v>5.6639999999999997</v>
      </c>
      <c r="U56" s="30">
        <v>5.1689999999999996</v>
      </c>
      <c r="V56" s="26">
        <v>424.13810000000001</v>
      </c>
      <c r="W56" s="29" t="s">
        <v>1122</v>
      </c>
      <c r="X56" s="26" t="s">
        <v>1107</v>
      </c>
    </row>
    <row r="57" spans="1:24" ht="15.6" customHeight="1" x14ac:dyDescent="0.25">
      <c r="A57" s="26" t="s">
        <v>1170</v>
      </c>
      <c r="B57" s="26" t="s">
        <v>1102</v>
      </c>
      <c r="C57" s="26" t="s">
        <v>1103</v>
      </c>
      <c r="D57" s="27">
        <v>45934</v>
      </c>
      <c r="E57" s="27">
        <v>45935</v>
      </c>
      <c r="F57" s="26">
        <v>45</v>
      </c>
      <c r="G57" s="26" t="s">
        <v>2</v>
      </c>
      <c r="H57" s="26" t="s">
        <v>1109</v>
      </c>
      <c r="I57" s="28">
        <v>271</v>
      </c>
      <c r="J57" s="26" t="s">
        <v>1105</v>
      </c>
      <c r="K57" s="30">
        <v>32.076000000000008</v>
      </c>
      <c r="L57" s="30">
        <v>4.3810000000000002</v>
      </c>
      <c r="M57" s="30">
        <v>6.2789999999999999</v>
      </c>
      <c r="N57" s="30">
        <v>5.64</v>
      </c>
      <c r="O57" s="30">
        <v>6.7690000000000001</v>
      </c>
      <c r="P57" s="30">
        <v>6.8440000000000003</v>
      </c>
      <c r="Q57" s="30">
        <v>3.4860000000000002</v>
      </c>
      <c r="R57" s="30">
        <v>3.8420000000000001</v>
      </c>
      <c r="S57" s="30">
        <v>3.8860000000000001</v>
      </c>
      <c r="T57" s="30">
        <v>5.1260000000000003</v>
      </c>
      <c r="U57" s="30">
        <v>6.0060000000000002</v>
      </c>
      <c r="V57" s="26"/>
      <c r="W57" s="29" t="s">
        <v>1106</v>
      </c>
      <c r="X57" s="26" t="s">
        <v>1107</v>
      </c>
    </row>
    <row r="58" spans="1:24" ht="15.6" customHeight="1" x14ac:dyDescent="0.25">
      <c r="A58" s="26" t="s">
        <v>1171</v>
      </c>
      <c r="B58" s="26" t="s">
        <v>1102</v>
      </c>
      <c r="C58" s="26" t="s">
        <v>1103</v>
      </c>
      <c r="D58" s="27">
        <v>45934</v>
      </c>
      <c r="E58" s="27">
        <v>45935</v>
      </c>
      <c r="F58" s="26">
        <v>24</v>
      </c>
      <c r="G58" s="26" t="s">
        <v>3</v>
      </c>
      <c r="H58" s="26" t="s">
        <v>1166</v>
      </c>
      <c r="I58" s="28">
        <v>338</v>
      </c>
      <c r="J58" s="26" t="s">
        <v>1105</v>
      </c>
      <c r="K58" s="30">
        <v>33.182000000000002</v>
      </c>
      <c r="L58" s="30">
        <v>4.4870000000000001</v>
      </c>
      <c r="M58" s="30">
        <v>5.4480000000000004</v>
      </c>
      <c r="N58" s="30">
        <v>4.2619999999999996</v>
      </c>
      <c r="O58" s="30">
        <v>5.08</v>
      </c>
      <c r="P58" s="30">
        <v>5.4379999999999997</v>
      </c>
      <c r="Q58" s="30">
        <v>3.532</v>
      </c>
      <c r="R58" s="30">
        <v>4.0830000000000002</v>
      </c>
      <c r="S58" s="30">
        <v>3.8540000000000001</v>
      </c>
      <c r="T58" s="30">
        <v>5.8289999999999997</v>
      </c>
      <c r="U58" s="30">
        <v>4.8049999999999997</v>
      </c>
      <c r="V58" s="26">
        <v>340.58269999999999</v>
      </c>
      <c r="W58" s="29" t="s">
        <v>1110</v>
      </c>
      <c r="X58" s="26" t="s">
        <v>1107</v>
      </c>
    </row>
    <row r="59" spans="1:24" ht="15.6" customHeight="1" x14ac:dyDescent="0.25">
      <c r="A59" s="26" t="s">
        <v>1172</v>
      </c>
      <c r="B59" s="26" t="s">
        <v>1102</v>
      </c>
      <c r="C59" s="26" t="s">
        <v>1103</v>
      </c>
      <c r="D59" s="27">
        <v>45934</v>
      </c>
      <c r="E59" s="27">
        <v>45935</v>
      </c>
      <c r="F59" s="26">
        <v>21</v>
      </c>
      <c r="G59" s="26" t="s">
        <v>3</v>
      </c>
      <c r="H59" s="26" t="s">
        <v>1166</v>
      </c>
      <c r="I59" s="28">
        <v>351</v>
      </c>
      <c r="J59" s="26" t="s">
        <v>1105</v>
      </c>
      <c r="K59" s="30">
        <v>33.469000000000001</v>
      </c>
      <c r="L59" s="30">
        <v>5.774</v>
      </c>
      <c r="M59" s="30">
        <v>5.8380000000000001</v>
      </c>
      <c r="N59" s="30">
        <v>6.7110000000000003</v>
      </c>
      <c r="O59" s="30">
        <v>4.8499999999999996</v>
      </c>
      <c r="P59" s="30">
        <v>4.8689999999999998</v>
      </c>
      <c r="Q59" s="30">
        <v>3.8079999999999998</v>
      </c>
      <c r="R59" s="30">
        <v>4.2279999999999998</v>
      </c>
      <c r="S59" s="30">
        <v>4.0789999999999997</v>
      </c>
      <c r="T59" s="30">
        <v>4.4909999999999997</v>
      </c>
      <c r="U59" s="30">
        <v>5.6820000000000004</v>
      </c>
      <c r="V59" s="26">
        <v>357.6506</v>
      </c>
      <c r="W59" s="29" t="s">
        <v>1112</v>
      </c>
      <c r="X59" s="26" t="s">
        <v>1107</v>
      </c>
    </row>
    <row r="60" spans="1:24" ht="15.6" customHeight="1" x14ac:dyDescent="0.25">
      <c r="A60" s="26" t="s">
        <v>1173</v>
      </c>
      <c r="B60" s="26" t="s">
        <v>1102</v>
      </c>
      <c r="C60" s="26" t="s">
        <v>1103</v>
      </c>
      <c r="D60" s="27">
        <v>45934</v>
      </c>
      <c r="E60" s="27">
        <v>45935</v>
      </c>
      <c r="F60" s="26">
        <v>45</v>
      </c>
      <c r="G60" s="26" t="s">
        <v>3</v>
      </c>
      <c r="H60" s="26" t="s">
        <v>1166</v>
      </c>
      <c r="I60" s="28">
        <v>405</v>
      </c>
      <c r="J60" s="26" t="s">
        <v>1105</v>
      </c>
      <c r="K60" s="30">
        <v>34.323999999999998</v>
      </c>
      <c r="L60" s="30">
        <v>6.6289999999999996</v>
      </c>
      <c r="M60" s="30">
        <v>6.85</v>
      </c>
      <c r="N60" s="30">
        <v>6.8120000000000003</v>
      </c>
      <c r="O60" s="30">
        <v>5.8639999999999999</v>
      </c>
      <c r="P60" s="30">
        <v>5.3470000000000004</v>
      </c>
      <c r="Q60" s="30">
        <v>4.0250000000000004</v>
      </c>
      <c r="R60" s="30">
        <v>3.35</v>
      </c>
      <c r="S60" s="30">
        <v>4.1900000000000004</v>
      </c>
      <c r="T60" s="30">
        <v>5.1020000000000003</v>
      </c>
      <c r="U60" s="30">
        <v>6.5330000000000004</v>
      </c>
      <c r="V60" s="26">
        <v>408.4975</v>
      </c>
      <c r="W60" s="29" t="s">
        <v>1114</v>
      </c>
      <c r="X60" s="26" t="s">
        <v>1107</v>
      </c>
    </row>
    <row r="61" spans="1:24" ht="15.6" customHeight="1" x14ac:dyDescent="0.25">
      <c r="A61" s="26" t="s">
        <v>1174</v>
      </c>
      <c r="B61" s="26" t="s">
        <v>1102</v>
      </c>
      <c r="C61" s="26" t="s">
        <v>1103</v>
      </c>
      <c r="D61" s="27">
        <v>45934</v>
      </c>
      <c r="E61" s="27">
        <v>45935</v>
      </c>
      <c r="F61" s="26">
        <v>63</v>
      </c>
      <c r="G61" s="26" t="s">
        <v>3</v>
      </c>
      <c r="H61" s="26" t="s">
        <v>1166</v>
      </c>
      <c r="I61" s="28">
        <v>228</v>
      </c>
      <c r="J61" s="26" t="s">
        <v>1105</v>
      </c>
      <c r="K61" s="30">
        <v>31.285</v>
      </c>
      <c r="L61" s="30">
        <v>3.59</v>
      </c>
      <c r="M61" s="30">
        <v>6.8440000000000003</v>
      </c>
      <c r="N61" s="30">
        <v>4.6500000000000004</v>
      </c>
      <c r="O61" s="30">
        <v>5.6829999999999998</v>
      </c>
      <c r="P61" s="30">
        <v>5.9969999999999999</v>
      </c>
      <c r="Q61" s="30">
        <v>3.976</v>
      </c>
      <c r="R61" s="30">
        <v>3.9980000000000002</v>
      </c>
      <c r="S61" s="30">
        <v>3.3279999999999998</v>
      </c>
      <c r="T61" s="30">
        <v>4.5570000000000004</v>
      </c>
      <c r="U61" s="30">
        <v>6.0960000000000001</v>
      </c>
      <c r="V61" s="26">
        <v>227.76820000000001</v>
      </c>
      <c r="W61" s="29" t="s">
        <v>1116</v>
      </c>
      <c r="X61" s="26" t="s">
        <v>1107</v>
      </c>
    </row>
    <row r="62" spans="1:24" ht="15.6" customHeight="1" x14ac:dyDescent="0.25">
      <c r="A62" s="26" t="s">
        <v>1175</v>
      </c>
      <c r="B62" s="26" t="s">
        <v>1102</v>
      </c>
      <c r="C62" s="26" t="s">
        <v>1103</v>
      </c>
      <c r="D62" s="27">
        <v>45934</v>
      </c>
      <c r="E62" s="27">
        <v>45935</v>
      </c>
      <c r="F62" s="26">
        <v>81</v>
      </c>
      <c r="G62" s="26" t="s">
        <v>2</v>
      </c>
      <c r="H62" s="26" t="s">
        <v>1166</v>
      </c>
      <c r="I62" s="28">
        <v>142</v>
      </c>
      <c r="J62" s="26" t="s">
        <v>1105</v>
      </c>
      <c r="K62" s="30">
        <v>29.954000000000001</v>
      </c>
      <c r="L62" s="30">
        <v>2.7530000000000001</v>
      </c>
      <c r="M62" s="30">
        <v>5.7910000000000004</v>
      </c>
      <c r="N62" s="30">
        <v>5.2160000000000002</v>
      </c>
      <c r="O62" s="30">
        <v>5.8049999999999997</v>
      </c>
      <c r="P62" s="30">
        <v>5.3049999999999997</v>
      </c>
      <c r="Q62" s="30">
        <v>3.4489999999999998</v>
      </c>
      <c r="R62" s="30">
        <v>5.1559999999999997</v>
      </c>
      <c r="S62" s="30">
        <v>2.6619999999999999</v>
      </c>
      <c r="T62" s="30">
        <v>5.7549999999999999</v>
      </c>
      <c r="U62" s="30">
        <v>6.6619999999999999</v>
      </c>
      <c r="V62" s="26">
        <v>148.61359999999999</v>
      </c>
      <c r="W62" s="29" t="s">
        <v>1118</v>
      </c>
      <c r="X62" s="26" t="s">
        <v>1107</v>
      </c>
    </row>
    <row r="63" spans="1:24" ht="15.6" customHeight="1" x14ac:dyDescent="0.25">
      <c r="A63" s="26" t="s">
        <v>1176</v>
      </c>
      <c r="B63" s="26" t="s">
        <v>1102</v>
      </c>
      <c r="C63" s="26" t="s">
        <v>1103</v>
      </c>
      <c r="D63" s="27">
        <v>45935</v>
      </c>
      <c r="E63" s="27">
        <v>45936</v>
      </c>
      <c r="F63" s="26">
        <v>61</v>
      </c>
      <c r="G63" s="26" t="s">
        <v>3</v>
      </c>
      <c r="H63" s="26" t="s">
        <v>1109</v>
      </c>
      <c r="I63" s="28">
        <v>282</v>
      </c>
      <c r="J63" s="26" t="s">
        <v>1105</v>
      </c>
      <c r="K63" s="30">
        <v>32.222999999999999</v>
      </c>
      <c r="L63" s="30">
        <v>4.5279999999999996</v>
      </c>
      <c r="M63" s="30">
        <v>8.077</v>
      </c>
      <c r="N63" s="30">
        <v>6.71</v>
      </c>
      <c r="O63" s="30">
        <v>5.6859999999999999</v>
      </c>
      <c r="P63" s="30">
        <v>5.952</v>
      </c>
      <c r="Q63" s="30">
        <v>3.9910000000000001</v>
      </c>
      <c r="R63" s="30">
        <v>3.677</v>
      </c>
      <c r="S63" s="30">
        <v>3.2690000000000001</v>
      </c>
      <c r="T63" s="30">
        <v>4.4800000000000004</v>
      </c>
      <c r="U63" s="30">
        <v>6.14</v>
      </c>
      <c r="V63" s="26"/>
      <c r="W63" s="29" t="s">
        <v>1106</v>
      </c>
      <c r="X63" s="26" t="s">
        <v>1107</v>
      </c>
    </row>
    <row r="64" spans="1:24" ht="15.6" customHeight="1" x14ac:dyDescent="0.25">
      <c r="A64" s="26" t="s">
        <v>1177</v>
      </c>
      <c r="B64" s="26" t="s">
        <v>1102</v>
      </c>
      <c r="C64" s="26" t="s">
        <v>1103</v>
      </c>
      <c r="D64" s="27">
        <v>45935</v>
      </c>
      <c r="E64" s="27">
        <v>45936</v>
      </c>
      <c r="F64" s="26">
        <v>24</v>
      </c>
      <c r="G64" s="26" t="s">
        <v>3</v>
      </c>
      <c r="H64" s="26" t="s">
        <v>1166</v>
      </c>
      <c r="I64" s="28">
        <v>334</v>
      </c>
      <c r="J64" s="26" t="s">
        <v>1105</v>
      </c>
      <c r="K64" s="30">
        <v>33.135000000000012</v>
      </c>
      <c r="L64" s="30">
        <v>4.4400000000000004</v>
      </c>
      <c r="M64" s="30">
        <v>4.1259999999999986</v>
      </c>
      <c r="N64" s="30">
        <v>3.6930000000000001</v>
      </c>
      <c r="O64" s="30">
        <v>8.5350000000000001</v>
      </c>
      <c r="P64" s="30">
        <v>4.7610000000000001</v>
      </c>
      <c r="Q64" s="30">
        <v>3.452</v>
      </c>
      <c r="R64" s="30">
        <v>3.234</v>
      </c>
      <c r="S64" s="30">
        <v>2.7509999999999999</v>
      </c>
      <c r="T64" s="30">
        <v>5.0439999999999996</v>
      </c>
      <c r="U64" s="30">
        <v>5.12</v>
      </c>
      <c r="V64" s="26">
        <v>337.78769999999997</v>
      </c>
      <c r="W64" s="29" t="s">
        <v>1110</v>
      </c>
      <c r="X64" s="26" t="s">
        <v>1107</v>
      </c>
    </row>
    <row r="65" spans="1:24" ht="15.6" customHeight="1" x14ac:dyDescent="0.25">
      <c r="A65" s="26" t="s">
        <v>1178</v>
      </c>
      <c r="B65" s="26" t="s">
        <v>1102</v>
      </c>
      <c r="C65" s="26" t="s">
        <v>1103</v>
      </c>
      <c r="D65" s="27">
        <v>45935</v>
      </c>
      <c r="E65" s="27">
        <v>45936</v>
      </c>
      <c r="F65" s="26">
        <v>43</v>
      </c>
      <c r="G65" s="26" t="s">
        <v>2</v>
      </c>
      <c r="H65" s="26" t="s">
        <v>1166</v>
      </c>
      <c r="I65" s="28">
        <v>336</v>
      </c>
      <c r="J65" s="26" t="s">
        <v>1105</v>
      </c>
      <c r="K65" s="30">
        <v>33.134</v>
      </c>
      <c r="L65" s="30">
        <v>5.4390000000000001</v>
      </c>
      <c r="M65" s="30">
        <v>6.7720000000000002</v>
      </c>
      <c r="N65" s="30">
        <v>6.6890000000000001</v>
      </c>
      <c r="O65" s="30">
        <v>6.3849999999999998</v>
      </c>
      <c r="P65" s="30">
        <v>5.8159999999999998</v>
      </c>
      <c r="Q65" s="30">
        <v>3.6640000000000001</v>
      </c>
      <c r="R65" s="30">
        <v>4.2670000000000003</v>
      </c>
      <c r="S65" s="30">
        <v>3.7850000000000001</v>
      </c>
      <c r="T65" s="30">
        <v>4.8689999999999998</v>
      </c>
      <c r="U65" s="30">
        <v>5.8689999999999998</v>
      </c>
      <c r="V65" s="26">
        <v>337.72820000000002</v>
      </c>
      <c r="W65" s="29" t="s">
        <v>1112</v>
      </c>
      <c r="X65" s="26" t="s">
        <v>1107</v>
      </c>
    </row>
    <row r="66" spans="1:24" ht="15.6" customHeight="1" x14ac:dyDescent="0.25">
      <c r="A66" s="26" t="s">
        <v>1179</v>
      </c>
      <c r="B66" s="26" t="s">
        <v>1102</v>
      </c>
      <c r="C66" s="26" t="s">
        <v>1103</v>
      </c>
      <c r="D66" s="27">
        <v>45935</v>
      </c>
      <c r="E66" s="27">
        <v>45936</v>
      </c>
      <c r="F66" s="26">
        <v>52</v>
      </c>
      <c r="G66" s="26" t="s">
        <v>2</v>
      </c>
      <c r="H66" s="26" t="s">
        <v>1166</v>
      </c>
      <c r="I66" s="28">
        <v>351</v>
      </c>
      <c r="J66" s="26" t="s">
        <v>1105</v>
      </c>
      <c r="K66" s="30">
        <v>33.396000000000001</v>
      </c>
      <c r="L66" s="30">
        <v>4.7009999999999996</v>
      </c>
      <c r="M66" s="30">
        <v>6.657</v>
      </c>
      <c r="N66" s="30">
        <v>3.7149999999999999</v>
      </c>
      <c r="O66" s="30">
        <v>5.7830000000000004</v>
      </c>
      <c r="P66" s="30">
        <v>6.4889999999999999</v>
      </c>
      <c r="Q66" s="30">
        <v>3.468</v>
      </c>
      <c r="R66" s="30">
        <v>4.032</v>
      </c>
      <c r="S66" s="30">
        <v>3.3420000000000001</v>
      </c>
      <c r="T66" s="30">
        <v>5.093</v>
      </c>
      <c r="U66" s="30">
        <v>5.4619999999999997</v>
      </c>
      <c r="V66" s="26">
        <v>353.30930000000001</v>
      </c>
      <c r="W66" s="29" t="s">
        <v>1114</v>
      </c>
      <c r="X66" s="26" t="s">
        <v>1107</v>
      </c>
    </row>
    <row r="67" spans="1:24" ht="15.6" customHeight="1" x14ac:dyDescent="0.25">
      <c r="A67" s="26" t="s">
        <v>1180</v>
      </c>
      <c r="B67" s="26" t="s">
        <v>1102</v>
      </c>
      <c r="C67" s="26" t="s">
        <v>1103</v>
      </c>
      <c r="D67" s="27">
        <v>45935</v>
      </c>
      <c r="E67" s="27">
        <v>45936</v>
      </c>
      <c r="F67" s="26">
        <v>52</v>
      </c>
      <c r="G67" s="26" t="s">
        <v>2</v>
      </c>
      <c r="H67" s="26" t="s">
        <v>1166</v>
      </c>
      <c r="I67" s="28">
        <v>271</v>
      </c>
      <c r="J67" s="26" t="s">
        <v>1105</v>
      </c>
      <c r="K67" s="30">
        <v>32.112000000000002</v>
      </c>
      <c r="L67" s="30">
        <v>4.4169999999999998</v>
      </c>
      <c r="M67" s="30">
        <v>5.63</v>
      </c>
      <c r="N67" s="30">
        <v>6.0640000000000001</v>
      </c>
      <c r="O67" s="30">
        <v>5.96</v>
      </c>
      <c r="P67" s="30">
        <v>5.2329999999999997</v>
      </c>
      <c r="Q67" s="30">
        <v>3.8</v>
      </c>
      <c r="R67" s="30">
        <v>3.4790000000000001</v>
      </c>
      <c r="S67" s="30">
        <v>3.6749999999999998</v>
      </c>
      <c r="T67" s="30">
        <v>5.3319999999999999</v>
      </c>
      <c r="U67" s="30">
        <v>5.83</v>
      </c>
      <c r="V67" s="26">
        <v>276.94979999999998</v>
      </c>
      <c r="W67" s="29" t="s">
        <v>1116</v>
      </c>
      <c r="X67" s="26" t="s">
        <v>1107</v>
      </c>
    </row>
    <row r="68" spans="1:24" ht="15.6" customHeight="1" x14ac:dyDescent="0.25">
      <c r="A68" s="26" t="s">
        <v>1181</v>
      </c>
      <c r="B68" s="26" t="s">
        <v>1102</v>
      </c>
      <c r="C68" s="26" t="s">
        <v>1103</v>
      </c>
      <c r="D68" s="27">
        <v>45935</v>
      </c>
      <c r="E68" s="27">
        <v>45936</v>
      </c>
      <c r="F68" s="26">
        <v>42</v>
      </c>
      <c r="G68" s="26" t="s">
        <v>3</v>
      </c>
      <c r="H68" s="26" t="s">
        <v>1166</v>
      </c>
      <c r="I68" s="28">
        <v>353</v>
      </c>
      <c r="J68" s="26" t="s">
        <v>1105</v>
      </c>
      <c r="K68" s="30">
        <v>33.460000000000008</v>
      </c>
      <c r="L68" s="30">
        <v>5.7649999999999997</v>
      </c>
      <c r="M68" s="30">
        <v>6.431</v>
      </c>
      <c r="N68" s="30">
        <v>5.4790000000000001</v>
      </c>
      <c r="O68" s="30">
        <v>5.7839999999999998</v>
      </c>
      <c r="P68" s="30">
        <v>5.423</v>
      </c>
      <c r="Q68" s="30">
        <v>3.72</v>
      </c>
      <c r="R68" s="30">
        <v>5.4180000000000001</v>
      </c>
      <c r="S68" s="30">
        <v>3.23</v>
      </c>
      <c r="T68" s="30">
        <v>4.6630000000000003</v>
      </c>
      <c r="U68" s="30">
        <v>5.9320000000000004</v>
      </c>
      <c r="V68" s="26">
        <v>357.11540000000002</v>
      </c>
      <c r="W68" s="29" t="s">
        <v>1118</v>
      </c>
      <c r="X68" s="26" t="s">
        <v>1107</v>
      </c>
    </row>
    <row r="69" spans="1:24" ht="15.6" customHeight="1" x14ac:dyDescent="0.25">
      <c r="A69" s="26" t="s">
        <v>1182</v>
      </c>
      <c r="B69" s="26" t="s">
        <v>1102</v>
      </c>
      <c r="C69" s="26" t="s">
        <v>1103</v>
      </c>
      <c r="D69" s="27">
        <v>45935</v>
      </c>
      <c r="E69" s="27">
        <v>45936</v>
      </c>
      <c r="F69" s="26">
        <v>59</v>
      </c>
      <c r="G69" s="26" t="s">
        <v>2</v>
      </c>
      <c r="H69" s="26" t="s">
        <v>1166</v>
      </c>
      <c r="I69" s="28">
        <v>317</v>
      </c>
      <c r="J69" s="26" t="s">
        <v>1105</v>
      </c>
      <c r="K69" s="30">
        <v>32.835999999999999</v>
      </c>
      <c r="L69" s="30">
        <v>5.141</v>
      </c>
      <c r="M69" s="30">
        <v>6.7469999999999999</v>
      </c>
      <c r="N69" s="30">
        <v>4.867</v>
      </c>
      <c r="O69" s="30">
        <v>5.351</v>
      </c>
      <c r="P69" s="30">
        <v>5.0140000000000002</v>
      </c>
      <c r="Q69" s="30">
        <v>4.1210000000000004</v>
      </c>
      <c r="R69" s="30">
        <v>3.9710000000000001</v>
      </c>
      <c r="S69" s="30">
        <v>3.5110000000000001</v>
      </c>
      <c r="T69" s="30">
        <v>4.9669999999999996</v>
      </c>
      <c r="U69" s="30">
        <v>6.0670000000000002</v>
      </c>
      <c r="V69" s="26">
        <v>320.0061</v>
      </c>
      <c r="W69" s="29" t="s">
        <v>1120</v>
      </c>
      <c r="X69" s="26" t="s">
        <v>1107</v>
      </c>
    </row>
    <row r="70" spans="1:24" ht="15.6" customHeight="1" x14ac:dyDescent="0.25">
      <c r="A70" s="26" t="s">
        <v>1183</v>
      </c>
      <c r="B70" s="26" t="s">
        <v>1102</v>
      </c>
      <c r="C70" s="26" t="s">
        <v>1103</v>
      </c>
      <c r="D70" s="27">
        <v>45935</v>
      </c>
      <c r="E70" s="27">
        <v>45936</v>
      </c>
      <c r="F70" s="26">
        <v>43</v>
      </c>
      <c r="G70" s="26" t="s">
        <v>2</v>
      </c>
      <c r="H70" s="26" t="s">
        <v>1109</v>
      </c>
      <c r="I70" s="28">
        <v>286</v>
      </c>
      <c r="J70" s="26" t="s">
        <v>1105</v>
      </c>
      <c r="K70" s="30">
        <v>32.322000000000003</v>
      </c>
      <c r="L70" s="30">
        <v>4.6269999999999998</v>
      </c>
      <c r="M70" s="30">
        <v>9.2449999999999992</v>
      </c>
      <c r="N70" s="30">
        <v>4.8479999999999999</v>
      </c>
      <c r="O70" s="30">
        <v>7.2060000000000004</v>
      </c>
      <c r="P70" s="30">
        <v>5.2380000000000004</v>
      </c>
      <c r="Q70" s="30">
        <v>4.0880000000000001</v>
      </c>
      <c r="R70" s="30">
        <v>4.4950000000000001</v>
      </c>
      <c r="S70" s="30">
        <v>3.984</v>
      </c>
      <c r="T70" s="30">
        <v>4.9119999999999999</v>
      </c>
      <c r="U70" s="30">
        <v>5.867</v>
      </c>
      <c r="V70" s="26"/>
      <c r="W70" s="29" t="s">
        <v>1122</v>
      </c>
      <c r="X70" s="26" t="s">
        <v>1107</v>
      </c>
    </row>
    <row r="71" spans="1:24" ht="15.6" customHeight="1" x14ac:dyDescent="0.25">
      <c r="A71" s="26" t="s">
        <v>1184</v>
      </c>
      <c r="B71" s="26" t="s">
        <v>1102</v>
      </c>
      <c r="C71" s="26" t="s">
        <v>1103</v>
      </c>
      <c r="D71" s="27">
        <v>45935</v>
      </c>
      <c r="E71" s="27">
        <v>45936</v>
      </c>
      <c r="F71" s="26">
        <v>36</v>
      </c>
      <c r="G71" s="26" t="s">
        <v>3</v>
      </c>
      <c r="H71" s="26" t="s">
        <v>1166</v>
      </c>
      <c r="I71" s="28">
        <v>341</v>
      </c>
      <c r="J71" s="26" t="s">
        <v>1105</v>
      </c>
      <c r="K71" s="30">
        <v>33.299999999999997</v>
      </c>
      <c r="L71" s="30">
        <v>4.6050000000000004</v>
      </c>
      <c r="M71" s="30">
        <v>5.3860000000000001</v>
      </c>
      <c r="N71" s="30">
        <v>5.2969999999999997</v>
      </c>
      <c r="O71" s="30">
        <v>5.2450000000000001</v>
      </c>
      <c r="P71" s="30">
        <v>4.758</v>
      </c>
      <c r="Q71" s="30">
        <v>3.4409999999999998</v>
      </c>
      <c r="R71" s="30">
        <v>3.6960000000000002</v>
      </c>
      <c r="S71" s="30">
        <v>3.3639999999999999</v>
      </c>
      <c r="T71" s="30">
        <v>5.3639999999999999</v>
      </c>
      <c r="U71" s="30">
        <v>6.0259999999999998</v>
      </c>
      <c r="V71" s="26">
        <v>347.60019999999997</v>
      </c>
      <c r="W71" s="29" t="s">
        <v>1106</v>
      </c>
      <c r="X71" s="26" t="s">
        <v>1107</v>
      </c>
    </row>
    <row r="72" spans="1:24" ht="15.6" customHeight="1" x14ac:dyDescent="0.25">
      <c r="A72" s="26" t="s">
        <v>1185</v>
      </c>
      <c r="B72" s="26" t="s">
        <v>1102</v>
      </c>
      <c r="C72" s="26" t="s">
        <v>1103</v>
      </c>
      <c r="D72" s="27">
        <v>45935</v>
      </c>
      <c r="E72" s="27">
        <v>45936</v>
      </c>
      <c r="F72" s="26">
        <v>27</v>
      </c>
      <c r="G72" s="26" t="s">
        <v>2</v>
      </c>
      <c r="H72" s="26" t="s">
        <v>1166</v>
      </c>
      <c r="I72" s="28">
        <v>383</v>
      </c>
      <c r="J72" s="26" t="s">
        <v>1105</v>
      </c>
      <c r="K72" s="30">
        <v>33.966000000000001</v>
      </c>
      <c r="L72" s="30">
        <v>6.2709999999999999</v>
      </c>
      <c r="M72" s="30">
        <v>7.14</v>
      </c>
      <c r="N72" s="30">
        <v>5.5940000000000003</v>
      </c>
      <c r="O72" s="30">
        <v>6.234</v>
      </c>
      <c r="P72" s="30">
        <v>6.4370000000000003</v>
      </c>
      <c r="Q72" s="30">
        <v>3.6259999999999999</v>
      </c>
      <c r="R72" s="30">
        <v>3.117</v>
      </c>
      <c r="S72" s="30">
        <v>3.56</v>
      </c>
      <c r="T72" s="30">
        <v>4.819</v>
      </c>
      <c r="U72" s="30">
        <v>5.8940000000000001</v>
      </c>
      <c r="V72" s="26">
        <v>387.2072</v>
      </c>
      <c r="W72" s="29" t="s">
        <v>1110</v>
      </c>
      <c r="X72" s="26" t="s">
        <v>1107</v>
      </c>
    </row>
    <row r="73" spans="1:24" ht="15.6" customHeight="1" x14ac:dyDescent="0.25">
      <c r="A73" s="26" t="s">
        <v>1186</v>
      </c>
      <c r="B73" s="26" t="s">
        <v>1102</v>
      </c>
      <c r="C73" s="26" t="s">
        <v>1103</v>
      </c>
      <c r="D73" s="27">
        <v>45936</v>
      </c>
      <c r="E73" s="27">
        <v>45937</v>
      </c>
      <c r="F73" s="26">
        <v>54</v>
      </c>
      <c r="G73" s="26" t="s">
        <v>2</v>
      </c>
      <c r="H73" s="26" t="s">
        <v>1166</v>
      </c>
      <c r="I73" s="28">
        <v>369</v>
      </c>
      <c r="J73" s="26" t="s">
        <v>1105</v>
      </c>
      <c r="K73" s="30">
        <v>33.694000000000003</v>
      </c>
      <c r="L73" s="30">
        <v>4.9989999999999997</v>
      </c>
      <c r="M73" s="30">
        <v>6.8869999999999996</v>
      </c>
      <c r="N73" s="30">
        <v>5.9530000000000003</v>
      </c>
      <c r="O73" s="30">
        <v>5.9939999999999998</v>
      </c>
      <c r="P73" s="30">
        <v>4.1269999999999998</v>
      </c>
      <c r="Q73" s="30">
        <v>3.3660000000000001</v>
      </c>
      <c r="R73" s="30">
        <v>3.714</v>
      </c>
      <c r="S73" s="30">
        <v>3.4079999999999999</v>
      </c>
      <c r="T73" s="30">
        <v>5.2119999999999997</v>
      </c>
      <c r="U73" s="30">
        <v>5.9870000000000001</v>
      </c>
      <c r="V73" s="26">
        <v>371.03140000000002</v>
      </c>
      <c r="W73" s="29" t="s">
        <v>1112</v>
      </c>
      <c r="X73" s="26" t="s">
        <v>1107</v>
      </c>
    </row>
    <row r="74" spans="1:24" ht="15.6" customHeight="1" x14ac:dyDescent="0.25">
      <c r="A74" s="26" t="s">
        <v>1187</v>
      </c>
      <c r="B74" s="26" t="s">
        <v>1102</v>
      </c>
      <c r="C74" s="26" t="s">
        <v>1103</v>
      </c>
      <c r="D74" s="27">
        <v>45936</v>
      </c>
      <c r="E74" s="27">
        <v>45937</v>
      </c>
      <c r="F74" s="26">
        <v>22</v>
      </c>
      <c r="G74" s="26" t="s">
        <v>2</v>
      </c>
      <c r="H74" s="26" t="s">
        <v>1166</v>
      </c>
      <c r="I74" s="28">
        <v>286</v>
      </c>
      <c r="J74" s="26" t="s">
        <v>1105</v>
      </c>
      <c r="K74" s="30">
        <v>32.298000000000002</v>
      </c>
      <c r="L74" s="30">
        <v>4.6029999999999998</v>
      </c>
      <c r="M74" s="30">
        <v>6.4980000000000002</v>
      </c>
      <c r="N74" s="30">
        <v>5.5259999999999998</v>
      </c>
      <c r="O74" s="30">
        <v>6.694</v>
      </c>
      <c r="P74" s="30">
        <v>6.2009999999999996</v>
      </c>
      <c r="Q74" s="30">
        <v>3.9430000000000001</v>
      </c>
      <c r="R74" s="30">
        <v>3.827</v>
      </c>
      <c r="S74" s="30">
        <v>3.2690000000000001</v>
      </c>
      <c r="T74" s="30">
        <v>4.8159999999999998</v>
      </c>
      <c r="U74" s="30">
        <v>5.5650000000000004</v>
      </c>
      <c r="V74" s="26">
        <v>288.01130000000001</v>
      </c>
      <c r="W74" s="29" t="s">
        <v>1114</v>
      </c>
      <c r="X74" s="26" t="s">
        <v>1107</v>
      </c>
    </row>
    <row r="75" spans="1:24" ht="15.6" customHeight="1" x14ac:dyDescent="0.25">
      <c r="A75" s="26" t="s">
        <v>1188</v>
      </c>
      <c r="B75" s="26" t="s">
        <v>1102</v>
      </c>
      <c r="C75" s="26" t="s">
        <v>1103</v>
      </c>
      <c r="D75" s="27">
        <v>45936</v>
      </c>
      <c r="E75" s="27">
        <v>45937</v>
      </c>
      <c r="F75" s="26">
        <v>39</v>
      </c>
      <c r="G75" s="26" t="s">
        <v>2</v>
      </c>
      <c r="H75" s="26" t="s">
        <v>1166</v>
      </c>
      <c r="I75" s="28">
        <v>233</v>
      </c>
      <c r="J75" s="26" t="s">
        <v>1105</v>
      </c>
      <c r="K75" s="30">
        <v>31.405000000000001</v>
      </c>
      <c r="L75" s="30">
        <v>2.71</v>
      </c>
      <c r="M75" s="30">
        <v>6.1420000000000003</v>
      </c>
      <c r="N75" s="30">
        <v>6.726</v>
      </c>
      <c r="O75" s="30">
        <v>4.8819999999999997</v>
      </c>
      <c r="P75" s="30">
        <v>5.0069999999999997</v>
      </c>
      <c r="Q75" s="30">
        <v>3.3530000000000002</v>
      </c>
      <c r="R75" s="30">
        <v>4.5819999999999999</v>
      </c>
      <c r="S75" s="30">
        <v>2.5950000000000002</v>
      </c>
      <c r="T75" s="30">
        <v>5.4160000000000004</v>
      </c>
      <c r="U75" s="30">
        <v>5.0650000000000004</v>
      </c>
      <c r="V75" s="26">
        <v>234.90450000000001</v>
      </c>
      <c r="W75" s="29" t="s">
        <v>1116</v>
      </c>
      <c r="X75" s="26" t="s">
        <v>1107</v>
      </c>
    </row>
    <row r="76" spans="1:24" ht="15.6" customHeight="1" x14ac:dyDescent="0.25">
      <c r="A76" s="26" t="s">
        <v>1189</v>
      </c>
      <c r="B76" s="26" t="s">
        <v>1102</v>
      </c>
      <c r="C76" s="26" t="s">
        <v>1103</v>
      </c>
      <c r="D76" s="27">
        <v>45936</v>
      </c>
      <c r="E76" s="27">
        <v>45937</v>
      </c>
      <c r="F76" s="26">
        <v>63</v>
      </c>
      <c r="G76" s="26" t="s">
        <v>3</v>
      </c>
      <c r="H76" s="26" t="s">
        <v>1166</v>
      </c>
      <c r="I76" s="28">
        <v>296</v>
      </c>
      <c r="J76" s="26" t="s">
        <v>1105</v>
      </c>
      <c r="K76" s="30">
        <v>32.427999999999997</v>
      </c>
      <c r="L76" s="30">
        <v>4.7329999999999997</v>
      </c>
      <c r="M76" s="30">
        <v>7</v>
      </c>
      <c r="N76" s="30">
        <v>5.5739999999999998</v>
      </c>
      <c r="O76" s="30">
        <v>4.9800000000000004</v>
      </c>
      <c r="P76" s="30">
        <v>5.5460000000000003</v>
      </c>
      <c r="Q76" s="30">
        <v>3.7879999999999998</v>
      </c>
      <c r="R76" s="30">
        <v>3.6280000000000001</v>
      </c>
      <c r="S76" s="30">
        <v>3.6890000000000001</v>
      </c>
      <c r="T76" s="30">
        <v>4.5430000000000001</v>
      </c>
      <c r="U76" s="30">
        <v>6.3449999999999998</v>
      </c>
      <c r="V76" s="26">
        <v>295.74239999999998</v>
      </c>
      <c r="W76" s="29" t="s">
        <v>1118</v>
      </c>
      <c r="X76" s="26" t="s">
        <v>1107</v>
      </c>
    </row>
    <row r="77" spans="1:24" ht="15.6" customHeight="1" x14ac:dyDescent="0.25">
      <c r="A77" s="26" t="s">
        <v>1190</v>
      </c>
      <c r="B77" s="26" t="s">
        <v>1102</v>
      </c>
      <c r="C77" s="26" t="s">
        <v>1103</v>
      </c>
      <c r="D77" s="27">
        <v>45936</v>
      </c>
      <c r="E77" s="27">
        <v>45937</v>
      </c>
      <c r="F77" s="26">
        <v>62</v>
      </c>
      <c r="G77" s="26" t="s">
        <v>2</v>
      </c>
      <c r="H77" s="26" t="s">
        <v>1166</v>
      </c>
      <c r="I77" s="28">
        <v>320</v>
      </c>
      <c r="J77" s="26" t="s">
        <v>1105</v>
      </c>
      <c r="K77" s="30">
        <v>32.872999999999998</v>
      </c>
      <c r="L77" s="30">
        <v>5.1779999999999999</v>
      </c>
      <c r="M77" s="30">
        <v>5.6289999999999996</v>
      </c>
      <c r="N77" s="30">
        <v>4.0439999999999996</v>
      </c>
      <c r="O77" s="30">
        <v>5.2830000000000004</v>
      </c>
      <c r="P77" s="30">
        <v>4.8959999999999999</v>
      </c>
      <c r="Q77" s="30">
        <v>4.1900000000000004</v>
      </c>
      <c r="R77" s="30">
        <v>3.8839999999999999</v>
      </c>
      <c r="S77" s="30">
        <v>3.34</v>
      </c>
      <c r="T77" s="30">
        <v>4.8449999999999998</v>
      </c>
      <c r="U77" s="30">
        <v>5.8730000000000002</v>
      </c>
      <c r="V77" s="26">
        <v>322.20650000000001</v>
      </c>
      <c r="W77" s="29" t="s">
        <v>1120</v>
      </c>
      <c r="X77" s="26" t="s">
        <v>1107</v>
      </c>
    </row>
    <row r="78" spans="1:24" ht="15.6" customHeight="1" x14ac:dyDescent="0.25">
      <c r="A78" s="26" t="s">
        <v>1191</v>
      </c>
      <c r="B78" s="26" t="s">
        <v>1102</v>
      </c>
      <c r="C78" s="26" t="s">
        <v>1103</v>
      </c>
      <c r="D78" s="27">
        <v>45936</v>
      </c>
      <c r="E78" s="27">
        <v>45937</v>
      </c>
      <c r="F78" s="26">
        <v>28</v>
      </c>
      <c r="G78" s="26" t="s">
        <v>2</v>
      </c>
      <c r="H78" s="26" t="s">
        <v>1166</v>
      </c>
      <c r="I78" s="28">
        <v>285</v>
      </c>
      <c r="J78" s="26" t="s">
        <v>1105</v>
      </c>
      <c r="K78" s="30">
        <v>32.261000000000003</v>
      </c>
      <c r="L78" s="30">
        <v>4.5659999999999998</v>
      </c>
      <c r="M78" s="30">
        <v>6.42</v>
      </c>
      <c r="N78" s="30">
        <v>5.1459999999999999</v>
      </c>
      <c r="O78" s="30">
        <v>6.673</v>
      </c>
      <c r="P78" s="30">
        <v>4.2060000000000004</v>
      </c>
      <c r="Q78" s="30">
        <v>4.2210000000000001</v>
      </c>
      <c r="R78" s="30">
        <v>4.4619999999999997</v>
      </c>
      <c r="S78" s="30">
        <v>3.6389999999999998</v>
      </c>
      <c r="T78" s="30">
        <v>5.0590000000000002</v>
      </c>
      <c r="U78" s="30">
        <v>6.125</v>
      </c>
      <c r="V78" s="26">
        <v>285.8109</v>
      </c>
      <c r="W78" s="29" t="s">
        <v>1122</v>
      </c>
      <c r="X78" s="26" t="s">
        <v>1107</v>
      </c>
    </row>
    <row r="79" spans="1:24" ht="15.6" customHeight="1" x14ac:dyDescent="0.25">
      <c r="A79" s="26" t="s">
        <v>1192</v>
      </c>
      <c r="B79" s="26" t="s">
        <v>1102</v>
      </c>
      <c r="C79" s="26" t="s">
        <v>1103</v>
      </c>
      <c r="D79" s="27">
        <v>45936</v>
      </c>
      <c r="E79" s="27">
        <v>45937</v>
      </c>
      <c r="F79" s="26">
        <v>29</v>
      </c>
      <c r="G79" s="26" t="s">
        <v>3</v>
      </c>
      <c r="H79" s="26" t="s">
        <v>1166</v>
      </c>
      <c r="I79" s="28">
        <v>338</v>
      </c>
      <c r="J79" s="26" t="s">
        <v>1105</v>
      </c>
      <c r="K79" s="30">
        <v>33.159999999999997</v>
      </c>
      <c r="L79" s="30">
        <v>5.4649999999999999</v>
      </c>
      <c r="M79" s="30">
        <v>7.327</v>
      </c>
      <c r="N79" s="30">
        <v>4.6219999999999999</v>
      </c>
      <c r="O79" s="30">
        <v>5.407</v>
      </c>
      <c r="P79" s="30">
        <v>5.0129999999999999</v>
      </c>
      <c r="Q79" s="30">
        <v>3.8940000000000001</v>
      </c>
      <c r="R79" s="30">
        <v>4.1379999999999999</v>
      </c>
      <c r="S79" s="30">
        <v>3.9209999999999998</v>
      </c>
      <c r="T79" s="30">
        <v>4.9880000000000004</v>
      </c>
      <c r="U79" s="30">
        <v>6.07</v>
      </c>
      <c r="V79" s="26">
        <v>339.27440000000001</v>
      </c>
      <c r="W79" s="29" t="s">
        <v>1106</v>
      </c>
      <c r="X79" s="26" t="s">
        <v>1107</v>
      </c>
    </row>
    <row r="80" spans="1:24" ht="15.6" customHeight="1" x14ac:dyDescent="0.25">
      <c r="A80" s="26" t="s">
        <v>1193</v>
      </c>
      <c r="B80" s="26" t="s">
        <v>1102</v>
      </c>
      <c r="C80" s="26" t="s">
        <v>1103</v>
      </c>
      <c r="D80" s="27">
        <v>45936</v>
      </c>
      <c r="E80" s="27">
        <v>45937</v>
      </c>
      <c r="F80" s="26">
        <v>78</v>
      </c>
      <c r="G80" s="26" t="s">
        <v>2</v>
      </c>
      <c r="H80" s="26" t="s">
        <v>1166</v>
      </c>
      <c r="I80" s="28">
        <v>275</v>
      </c>
      <c r="J80" s="26" t="s">
        <v>1105</v>
      </c>
      <c r="K80" s="30">
        <v>32.073999999999998</v>
      </c>
      <c r="L80" s="30">
        <v>3.379</v>
      </c>
      <c r="M80" s="30">
        <v>6.3029999999999999</v>
      </c>
      <c r="N80" s="30">
        <v>6.4939999999999998</v>
      </c>
      <c r="O80" s="30">
        <v>6.4029999999999996</v>
      </c>
      <c r="P80" s="30">
        <v>4.2</v>
      </c>
      <c r="Q80" s="30">
        <v>3.3650000000000002</v>
      </c>
      <c r="R80" s="30">
        <v>3.661</v>
      </c>
      <c r="S80" s="30">
        <v>3.2810000000000001</v>
      </c>
      <c r="T80" s="30">
        <v>5.54</v>
      </c>
      <c r="U80" s="30">
        <v>6.78</v>
      </c>
      <c r="V80" s="26">
        <v>274.69</v>
      </c>
      <c r="W80" s="29" t="s">
        <v>1110</v>
      </c>
      <c r="X80" s="26" t="s">
        <v>1107</v>
      </c>
    </row>
    <row r="81" spans="1:24" ht="15.6" customHeight="1" x14ac:dyDescent="0.25">
      <c r="A81" s="26" t="s">
        <v>1194</v>
      </c>
      <c r="B81" s="26" t="s">
        <v>1102</v>
      </c>
      <c r="C81" s="26" t="s">
        <v>1103</v>
      </c>
      <c r="D81" s="27">
        <v>45936</v>
      </c>
      <c r="E81" s="27">
        <v>45937</v>
      </c>
      <c r="F81" s="26">
        <v>76</v>
      </c>
      <c r="G81" s="26" t="s">
        <v>3</v>
      </c>
      <c r="H81" s="26" t="s">
        <v>1166</v>
      </c>
      <c r="I81" s="28">
        <v>291</v>
      </c>
      <c r="J81" s="26" t="s">
        <v>1105</v>
      </c>
      <c r="K81" s="30">
        <v>32.335999999999999</v>
      </c>
      <c r="L81" s="30">
        <v>4.641</v>
      </c>
      <c r="M81" s="30">
        <v>6.2450000000000001</v>
      </c>
      <c r="N81" s="30">
        <v>4.907</v>
      </c>
      <c r="O81" s="30">
        <v>5.4119999999999999</v>
      </c>
      <c r="P81" s="30">
        <v>5.6079999999999997</v>
      </c>
      <c r="Q81" s="30">
        <v>3.9689999999999999</v>
      </c>
      <c r="R81" s="30">
        <v>3.2090000000000001</v>
      </c>
      <c r="S81" s="30">
        <v>3.6859999999999999</v>
      </c>
      <c r="T81" s="30">
        <v>4.9660000000000002</v>
      </c>
      <c r="U81" s="30">
        <v>6.3929999999999998</v>
      </c>
      <c r="V81" s="26">
        <v>290.27109999999999</v>
      </c>
      <c r="W81" s="29" t="s">
        <v>1112</v>
      </c>
      <c r="X81" s="26" t="s">
        <v>1107</v>
      </c>
    </row>
    <row r="82" spans="1:24" ht="15.6" customHeight="1" x14ac:dyDescent="0.25">
      <c r="A82" s="26" t="s">
        <v>1195</v>
      </c>
      <c r="B82" s="26" t="s">
        <v>1102</v>
      </c>
      <c r="C82" s="26" t="s">
        <v>1103</v>
      </c>
      <c r="D82" s="27">
        <v>45936</v>
      </c>
      <c r="E82" s="27">
        <v>45937</v>
      </c>
      <c r="F82" s="26">
        <v>59</v>
      </c>
      <c r="G82" s="26" t="s">
        <v>2</v>
      </c>
      <c r="H82" s="26" t="s">
        <v>1166</v>
      </c>
      <c r="I82" s="28">
        <v>371</v>
      </c>
      <c r="J82" s="26" t="s">
        <v>1105</v>
      </c>
      <c r="K82" s="30">
        <v>33.726999999999997</v>
      </c>
      <c r="L82" s="30">
        <v>5.032</v>
      </c>
      <c r="M82" s="30">
        <v>6.1769999999999996</v>
      </c>
      <c r="N82" s="30">
        <v>6.6120000000000001</v>
      </c>
      <c r="O82" s="30">
        <v>6.1829999999999998</v>
      </c>
      <c r="P82" s="30">
        <v>5.742</v>
      </c>
      <c r="Q82" s="30">
        <v>3.7909999999999999</v>
      </c>
      <c r="R82" s="30">
        <v>4.6070000000000002</v>
      </c>
      <c r="S82" s="30">
        <v>3.1269999999999998</v>
      </c>
      <c r="T82" s="30">
        <v>4.9459999999999997</v>
      </c>
      <c r="U82" s="30">
        <v>5.907</v>
      </c>
      <c r="V82" s="26">
        <v>372.9939</v>
      </c>
      <c r="W82" s="29" t="s">
        <v>1114</v>
      </c>
      <c r="X82" s="26" t="s">
        <v>1107</v>
      </c>
    </row>
    <row r="83" spans="1:24" ht="15.6" customHeight="1" x14ac:dyDescent="0.25">
      <c r="A83" s="26" t="s">
        <v>1196</v>
      </c>
      <c r="B83" s="26" t="s">
        <v>1102</v>
      </c>
      <c r="C83" s="26" t="s">
        <v>1103</v>
      </c>
      <c r="D83" s="27">
        <v>45937</v>
      </c>
      <c r="E83" s="27">
        <v>45938</v>
      </c>
      <c r="F83" s="26">
        <v>81</v>
      </c>
      <c r="G83" s="26" t="s">
        <v>3</v>
      </c>
      <c r="H83" s="26" t="s">
        <v>1166</v>
      </c>
      <c r="I83" s="28">
        <v>211</v>
      </c>
      <c r="J83" s="26" t="s">
        <v>1105</v>
      </c>
      <c r="K83" s="30">
        <v>31.050999999999998</v>
      </c>
      <c r="L83" s="30">
        <v>3.3559999999999999</v>
      </c>
      <c r="M83" s="30">
        <v>4.7040000000000006</v>
      </c>
      <c r="N83" s="30">
        <v>5.3179999999999996</v>
      </c>
      <c r="O83" s="30">
        <v>6.5970000000000004</v>
      </c>
      <c r="P83" s="30">
        <v>5.4740000000000002</v>
      </c>
      <c r="Q83" s="30">
        <v>4.0119999999999996</v>
      </c>
      <c r="R83" s="30">
        <v>4.6150000000000002</v>
      </c>
      <c r="S83" s="30">
        <v>3.4790000000000001</v>
      </c>
      <c r="T83" s="30">
        <v>4.5149999999999997</v>
      </c>
      <c r="U83" s="30">
        <v>5.734</v>
      </c>
      <c r="V83" s="26">
        <v>213.85220000000001</v>
      </c>
      <c r="W83" s="29" t="s">
        <v>1116</v>
      </c>
      <c r="X83" s="26" t="s">
        <v>1107</v>
      </c>
    </row>
    <row r="84" spans="1:24" ht="15.6" customHeight="1" x14ac:dyDescent="0.25">
      <c r="A84" s="26" t="s">
        <v>1197</v>
      </c>
      <c r="B84" s="26" t="s">
        <v>1102</v>
      </c>
      <c r="C84" s="26" t="s">
        <v>1103</v>
      </c>
      <c r="D84" s="27">
        <v>45937</v>
      </c>
      <c r="E84" s="27">
        <v>45938</v>
      </c>
      <c r="F84" s="26">
        <v>21</v>
      </c>
      <c r="G84" s="26" t="s">
        <v>3</v>
      </c>
      <c r="H84" s="26" t="s">
        <v>1166</v>
      </c>
      <c r="I84" s="28">
        <v>367</v>
      </c>
      <c r="J84" s="26" t="s">
        <v>1105</v>
      </c>
      <c r="K84" s="30">
        <v>33.662000000000013</v>
      </c>
      <c r="L84" s="30">
        <v>4.9669999999999996</v>
      </c>
      <c r="M84" s="30">
        <v>6.5979999999999999</v>
      </c>
      <c r="N84" s="30">
        <v>4.3220000000000001</v>
      </c>
      <c r="O84" s="30">
        <v>6.4470000000000001</v>
      </c>
      <c r="P84" s="30">
        <v>4.9249999999999998</v>
      </c>
      <c r="Q84" s="30">
        <v>3.2970000000000002</v>
      </c>
      <c r="R84" s="30">
        <v>4.6260000000000003</v>
      </c>
      <c r="S84" s="30">
        <v>3.3140000000000001</v>
      </c>
      <c r="T84" s="30">
        <v>5.117</v>
      </c>
      <c r="U84" s="30">
        <v>6.1210000000000004</v>
      </c>
      <c r="V84" s="26">
        <v>369.12830000000002</v>
      </c>
      <c r="W84" s="29" t="s">
        <v>1118</v>
      </c>
      <c r="X84" s="26" t="s">
        <v>1107</v>
      </c>
    </row>
    <row r="85" spans="1:24" ht="15.6" customHeight="1" x14ac:dyDescent="0.25">
      <c r="A85" s="26" t="s">
        <v>1198</v>
      </c>
      <c r="B85" s="26" t="s">
        <v>1102</v>
      </c>
      <c r="C85" s="26" t="s">
        <v>1103</v>
      </c>
      <c r="D85" s="27">
        <v>45937</v>
      </c>
      <c r="E85" s="27">
        <v>45938</v>
      </c>
      <c r="F85" s="26">
        <v>53</v>
      </c>
      <c r="G85" s="26" t="s">
        <v>3</v>
      </c>
      <c r="H85" s="26" t="s">
        <v>1166</v>
      </c>
      <c r="I85" s="28">
        <v>317</v>
      </c>
      <c r="J85" s="26" t="s">
        <v>1105</v>
      </c>
      <c r="K85" s="30">
        <v>32.807000000000002</v>
      </c>
      <c r="L85" s="30">
        <v>5.1120000000000001</v>
      </c>
      <c r="M85" s="30">
        <v>7.3739999999999997</v>
      </c>
      <c r="N85" s="30">
        <v>4.2789999999999999</v>
      </c>
      <c r="O85" s="30">
        <v>4.8529999999999998</v>
      </c>
      <c r="P85" s="30">
        <v>5.5019999999999998</v>
      </c>
      <c r="Q85" s="30">
        <v>4.133</v>
      </c>
      <c r="R85" s="30">
        <v>4.5720000000000001</v>
      </c>
      <c r="S85" s="30">
        <v>3.5760000000000001</v>
      </c>
      <c r="T85" s="30">
        <v>4.93</v>
      </c>
      <c r="U85" s="30">
        <v>6.2309999999999999</v>
      </c>
      <c r="V85" s="26">
        <v>318.28149999999999</v>
      </c>
      <c r="W85" s="29" t="s">
        <v>1120</v>
      </c>
      <c r="X85" s="26" t="s">
        <v>1107</v>
      </c>
    </row>
    <row r="86" spans="1:24" ht="15.6" customHeight="1" x14ac:dyDescent="0.25">
      <c r="A86" s="26" t="s">
        <v>1199</v>
      </c>
      <c r="B86" s="26" t="s">
        <v>1102</v>
      </c>
      <c r="C86" s="26" t="s">
        <v>1103</v>
      </c>
      <c r="D86" s="27">
        <v>45937</v>
      </c>
      <c r="E86" s="27">
        <v>45938</v>
      </c>
      <c r="F86" s="26">
        <v>47</v>
      </c>
      <c r="G86" s="26" t="s">
        <v>3</v>
      </c>
      <c r="H86" s="26" t="s">
        <v>1109</v>
      </c>
      <c r="I86" s="28">
        <v>399</v>
      </c>
      <c r="J86" s="26" t="s">
        <v>1105</v>
      </c>
      <c r="K86" s="30">
        <v>34.192000000000007</v>
      </c>
      <c r="L86" s="30">
        <v>6.4969999999999999</v>
      </c>
      <c r="M86" s="30">
        <v>5.1980000000000004</v>
      </c>
      <c r="N86" s="30">
        <v>4.7290000000000001</v>
      </c>
      <c r="O86" s="30">
        <v>5.9139999999999997</v>
      </c>
      <c r="P86" s="30">
        <v>4.9889999999999999</v>
      </c>
      <c r="Q86" s="30">
        <v>3.782</v>
      </c>
      <c r="R86" s="30">
        <v>4.5529999999999999</v>
      </c>
      <c r="S86" s="30">
        <v>3.5369999999999999</v>
      </c>
      <c r="T86" s="30">
        <v>4.7389999999999999</v>
      </c>
      <c r="U86" s="30">
        <v>6.1319999999999997</v>
      </c>
      <c r="V86" s="26"/>
      <c r="W86" s="29" t="s">
        <v>1122</v>
      </c>
      <c r="X86" s="26" t="s">
        <v>1107</v>
      </c>
    </row>
    <row r="87" spans="1:24" ht="15.6" customHeight="1" x14ac:dyDescent="0.25">
      <c r="A87" s="26" t="s">
        <v>1200</v>
      </c>
      <c r="B87" s="26" t="s">
        <v>1102</v>
      </c>
      <c r="C87" s="26" t="s">
        <v>1103</v>
      </c>
      <c r="D87" s="27">
        <v>45937</v>
      </c>
      <c r="E87" s="27">
        <v>45938</v>
      </c>
      <c r="F87" s="26">
        <v>25</v>
      </c>
      <c r="G87" s="26" t="s">
        <v>2</v>
      </c>
      <c r="H87" s="26" t="s">
        <v>1166</v>
      </c>
      <c r="I87" s="28">
        <v>277</v>
      </c>
      <c r="J87" s="26" t="s">
        <v>1105</v>
      </c>
      <c r="K87" s="30">
        <v>32.107999999999997</v>
      </c>
      <c r="L87" s="30">
        <v>4.4130000000000003</v>
      </c>
      <c r="M87" s="30">
        <v>5.4320000000000004</v>
      </c>
      <c r="N87" s="30">
        <v>3.4809999999999999</v>
      </c>
      <c r="O87" s="30">
        <v>4.9779999999999998</v>
      </c>
      <c r="P87" s="30">
        <v>5.125</v>
      </c>
      <c r="Q87" s="30">
        <v>3.8740000000000001</v>
      </c>
      <c r="R87" s="30">
        <v>4.4649999999999999</v>
      </c>
      <c r="S87" s="30">
        <v>4.6639999999999997</v>
      </c>
      <c r="T87" s="30">
        <v>5.1539999999999999</v>
      </c>
      <c r="U87" s="30">
        <v>6.5590000000000002</v>
      </c>
      <c r="V87" s="26">
        <v>276.71199999999999</v>
      </c>
      <c r="W87" s="29" t="s">
        <v>1106</v>
      </c>
      <c r="X87" s="26" t="s">
        <v>1107</v>
      </c>
    </row>
    <row r="88" spans="1:24" ht="15.6" customHeight="1" x14ac:dyDescent="0.25">
      <c r="A88" s="26" t="s">
        <v>1201</v>
      </c>
      <c r="B88" s="26" t="s">
        <v>1102</v>
      </c>
      <c r="C88" s="26" t="s">
        <v>1103</v>
      </c>
      <c r="D88" s="27">
        <v>45937</v>
      </c>
      <c r="E88" s="27">
        <v>45938</v>
      </c>
      <c r="F88" s="26">
        <v>67</v>
      </c>
      <c r="G88" s="26" t="s">
        <v>3</v>
      </c>
      <c r="H88" s="26" t="s">
        <v>1166</v>
      </c>
      <c r="I88" s="28">
        <v>210</v>
      </c>
      <c r="J88" s="26" t="s">
        <v>1105</v>
      </c>
      <c r="K88" s="30">
        <v>30.975999999999999</v>
      </c>
      <c r="L88" s="30">
        <v>3.2810000000000001</v>
      </c>
      <c r="M88" s="30">
        <v>5.7910000000000004</v>
      </c>
      <c r="N88" s="30">
        <v>5.5810000000000004</v>
      </c>
      <c r="O88" s="30">
        <v>5.7670000000000003</v>
      </c>
      <c r="P88" s="30">
        <v>5.609</v>
      </c>
      <c r="Q88" s="30">
        <v>3.706</v>
      </c>
      <c r="R88" s="30">
        <v>3.4369999999999998</v>
      </c>
      <c r="S88" s="30">
        <v>3.173</v>
      </c>
      <c r="T88" s="30">
        <v>4.6479999999999997</v>
      </c>
      <c r="U88" s="30">
        <v>6.5890000000000004</v>
      </c>
      <c r="V88" s="26">
        <v>209.39189999999999</v>
      </c>
      <c r="W88" s="29" t="s">
        <v>1110</v>
      </c>
      <c r="X88" s="26" t="s">
        <v>1107</v>
      </c>
    </row>
    <row r="89" spans="1:24" ht="15.6" customHeight="1" x14ac:dyDescent="0.25">
      <c r="A89" s="26" t="s">
        <v>1202</v>
      </c>
      <c r="B89" s="26" t="s">
        <v>1102</v>
      </c>
      <c r="C89" s="26" t="s">
        <v>1103</v>
      </c>
      <c r="D89" s="27">
        <v>45937</v>
      </c>
      <c r="E89" s="27">
        <v>45938</v>
      </c>
      <c r="F89" s="26">
        <v>45</v>
      </c>
      <c r="G89" s="26" t="s">
        <v>2</v>
      </c>
      <c r="H89" s="26" t="s">
        <v>1166</v>
      </c>
      <c r="I89" s="28">
        <v>384</v>
      </c>
      <c r="J89" s="26" t="s">
        <v>1105</v>
      </c>
      <c r="K89" s="30">
        <v>33.936000000000007</v>
      </c>
      <c r="L89" s="30">
        <v>5.2409999999999997</v>
      </c>
      <c r="M89" s="30">
        <v>5.0309999999999997</v>
      </c>
      <c r="N89" s="30">
        <v>4.59</v>
      </c>
      <c r="O89" s="30">
        <v>8.3979999999999997</v>
      </c>
      <c r="P89" s="30">
        <v>5.3440000000000003</v>
      </c>
      <c r="Q89" s="30">
        <v>3.1960000000000002</v>
      </c>
      <c r="R89" s="30">
        <v>3.7309999999999999</v>
      </c>
      <c r="S89" s="30">
        <v>2.9279999999999999</v>
      </c>
      <c r="T89" s="30">
        <v>5.4210000000000003</v>
      </c>
      <c r="U89" s="30">
        <v>6.2169999999999996</v>
      </c>
      <c r="V89" s="26">
        <v>385.42309999999998</v>
      </c>
      <c r="W89" s="29" t="s">
        <v>1112</v>
      </c>
      <c r="X89" s="26" t="s">
        <v>1107</v>
      </c>
    </row>
    <row r="90" spans="1:24" ht="15.6" customHeight="1" x14ac:dyDescent="0.25">
      <c r="A90" s="26" t="s">
        <v>1203</v>
      </c>
      <c r="B90" s="26" t="s">
        <v>1102</v>
      </c>
      <c r="C90" s="26" t="s">
        <v>1103</v>
      </c>
      <c r="D90" s="27">
        <v>45937</v>
      </c>
      <c r="E90" s="27">
        <v>45938</v>
      </c>
      <c r="F90" s="26">
        <v>56</v>
      </c>
      <c r="G90" s="26" t="s">
        <v>3</v>
      </c>
      <c r="H90" s="26" t="s">
        <v>1166</v>
      </c>
      <c r="I90" s="28">
        <v>377</v>
      </c>
      <c r="J90" s="26" t="s">
        <v>1105</v>
      </c>
      <c r="K90" s="30">
        <v>33.783000000000001</v>
      </c>
      <c r="L90" s="30">
        <v>6.0880000000000001</v>
      </c>
      <c r="M90" s="30">
        <v>7.1159999999999997</v>
      </c>
      <c r="N90" s="30">
        <v>7.0839999999999996</v>
      </c>
      <c r="O90" s="30">
        <v>5.7210000000000001</v>
      </c>
      <c r="P90" s="30">
        <v>4.931</v>
      </c>
      <c r="Q90" s="30">
        <v>3.5790000000000002</v>
      </c>
      <c r="R90" s="30">
        <v>4.2919999999999998</v>
      </c>
      <c r="S90" s="30">
        <v>3.5219999999999998</v>
      </c>
      <c r="T90" s="30">
        <v>4.2720000000000002</v>
      </c>
      <c r="U90" s="30">
        <v>6.19</v>
      </c>
      <c r="V90" s="26">
        <v>376.32420000000002</v>
      </c>
      <c r="W90" s="29" t="s">
        <v>1114</v>
      </c>
      <c r="X90" s="26" t="s">
        <v>1107</v>
      </c>
    </row>
    <row r="91" spans="1:24" ht="15.6" customHeight="1" x14ac:dyDescent="0.25">
      <c r="A91" s="26" t="s">
        <v>1204</v>
      </c>
      <c r="B91" s="26" t="s">
        <v>1102</v>
      </c>
      <c r="C91" s="26" t="s">
        <v>1103</v>
      </c>
      <c r="D91" s="27">
        <v>45937</v>
      </c>
      <c r="E91" s="27">
        <v>45938</v>
      </c>
      <c r="F91" s="26">
        <v>57</v>
      </c>
      <c r="G91" s="26" t="s">
        <v>3</v>
      </c>
      <c r="H91" s="26" t="s">
        <v>1166</v>
      </c>
      <c r="I91" s="28">
        <v>387</v>
      </c>
      <c r="J91" s="26" t="s">
        <v>1105</v>
      </c>
      <c r="K91" s="30">
        <v>33.951999999999998</v>
      </c>
      <c r="L91" s="30">
        <v>5.2569999999999997</v>
      </c>
      <c r="M91" s="30">
        <v>6.0279999999999996</v>
      </c>
      <c r="N91" s="30">
        <v>6.7229999999999999</v>
      </c>
      <c r="O91" s="30">
        <v>7.5229999999999997</v>
      </c>
      <c r="P91" s="30">
        <v>4.45</v>
      </c>
      <c r="Q91" s="30">
        <v>3.6709999999999998</v>
      </c>
      <c r="R91" s="30">
        <v>4.9039999999999999</v>
      </c>
      <c r="S91" s="30">
        <v>3.6429999999999998</v>
      </c>
      <c r="T91" s="30">
        <v>5.0259999999999998</v>
      </c>
      <c r="U91" s="30">
        <v>5.5990000000000002</v>
      </c>
      <c r="V91" s="26">
        <v>386.37459999999999</v>
      </c>
      <c r="W91" s="29" t="s">
        <v>1116</v>
      </c>
      <c r="X91" s="26" t="s">
        <v>1107</v>
      </c>
    </row>
    <row r="92" spans="1:24" ht="15.6" customHeight="1" x14ac:dyDescent="0.25">
      <c r="A92" s="26" t="s">
        <v>1205</v>
      </c>
      <c r="B92" s="26" t="s">
        <v>1102</v>
      </c>
      <c r="C92" s="26" t="s">
        <v>1103</v>
      </c>
      <c r="D92" s="27">
        <v>45937</v>
      </c>
      <c r="E92" s="27">
        <v>45938</v>
      </c>
      <c r="F92" s="26">
        <v>27</v>
      </c>
      <c r="G92" s="26" t="s">
        <v>3</v>
      </c>
      <c r="H92" s="26" t="s">
        <v>1109</v>
      </c>
      <c r="I92" s="28">
        <v>409</v>
      </c>
      <c r="J92" s="26" t="s">
        <v>1105</v>
      </c>
      <c r="K92" s="30">
        <v>34.325000000000003</v>
      </c>
      <c r="L92" s="30">
        <v>6.63</v>
      </c>
      <c r="M92" s="30">
        <v>6.06</v>
      </c>
      <c r="N92" s="30">
        <v>4.681</v>
      </c>
      <c r="O92" s="30">
        <v>7.1619999999999999</v>
      </c>
      <c r="P92" s="30">
        <v>5.7290000000000001</v>
      </c>
      <c r="Q92" s="30">
        <v>3.63</v>
      </c>
      <c r="R92" s="30">
        <v>4.3630000000000004</v>
      </c>
      <c r="S92" s="30">
        <v>3.7810000000000001</v>
      </c>
      <c r="T92" s="30">
        <v>4.649</v>
      </c>
      <c r="U92" s="30">
        <v>6.4489999999999998</v>
      </c>
      <c r="V92" s="26"/>
      <c r="W92" s="29" t="s">
        <v>1118</v>
      </c>
      <c r="X92" s="26" t="s">
        <v>1107</v>
      </c>
    </row>
    <row r="93" spans="1:24" ht="15.6" customHeight="1" x14ac:dyDescent="0.25">
      <c r="A93" s="26" t="s">
        <v>1206</v>
      </c>
      <c r="B93" s="26" t="s">
        <v>1102</v>
      </c>
      <c r="C93" s="26" t="s">
        <v>1103</v>
      </c>
      <c r="D93" s="27">
        <v>45938</v>
      </c>
      <c r="E93" s="27">
        <v>45939</v>
      </c>
      <c r="F93" s="26">
        <v>39</v>
      </c>
      <c r="G93" s="26" t="s">
        <v>2</v>
      </c>
      <c r="H93" s="26" t="s">
        <v>1166</v>
      </c>
      <c r="I93" s="28">
        <v>258</v>
      </c>
      <c r="J93" s="26" t="s">
        <v>1105</v>
      </c>
      <c r="K93" s="30">
        <v>31.82</v>
      </c>
      <c r="L93" s="30">
        <v>3.125</v>
      </c>
      <c r="M93" s="30">
        <v>5.407</v>
      </c>
      <c r="N93" s="30">
        <v>4.617</v>
      </c>
      <c r="O93" s="30">
        <v>7.25</v>
      </c>
      <c r="P93" s="30">
        <v>4.6180000000000003</v>
      </c>
      <c r="Q93" s="30">
        <v>3.5190000000000001</v>
      </c>
      <c r="R93" s="30">
        <v>3.528</v>
      </c>
      <c r="S93" s="30">
        <v>3.5289999999999999</v>
      </c>
      <c r="T93" s="30">
        <v>5.2039999999999997</v>
      </c>
      <c r="U93" s="30">
        <v>6.37</v>
      </c>
      <c r="V93" s="26">
        <v>259.58460000000002</v>
      </c>
      <c r="W93" s="29" t="s">
        <v>1106</v>
      </c>
      <c r="X93" s="26" t="s">
        <v>1107</v>
      </c>
    </row>
    <row r="94" spans="1:24" ht="15.6" customHeight="1" x14ac:dyDescent="0.25">
      <c r="A94" s="26" t="s">
        <v>1207</v>
      </c>
      <c r="B94" s="26" t="s">
        <v>1102</v>
      </c>
      <c r="C94" s="26" t="s">
        <v>1103</v>
      </c>
      <c r="D94" s="27">
        <v>45938</v>
      </c>
      <c r="E94" s="27">
        <v>45939</v>
      </c>
      <c r="F94" s="26">
        <v>23</v>
      </c>
      <c r="G94" s="26" t="s">
        <v>3</v>
      </c>
      <c r="H94" s="26" t="s">
        <v>1166</v>
      </c>
      <c r="I94" s="28">
        <v>247</v>
      </c>
      <c r="J94" s="26" t="s">
        <v>1105</v>
      </c>
      <c r="K94" s="30">
        <v>31.643000000000001</v>
      </c>
      <c r="L94" s="30">
        <v>3.948</v>
      </c>
      <c r="M94" s="30">
        <v>5.2709999999999999</v>
      </c>
      <c r="N94" s="30">
        <v>5.2030000000000003</v>
      </c>
      <c r="O94" s="30">
        <v>6.4269999999999996</v>
      </c>
      <c r="P94" s="30">
        <v>4.26</v>
      </c>
      <c r="Q94" s="30">
        <v>3.6829999999999998</v>
      </c>
      <c r="R94" s="30">
        <v>4.5060000000000002</v>
      </c>
      <c r="S94" s="30">
        <v>3.55</v>
      </c>
      <c r="T94" s="30">
        <v>5.0720000000000001</v>
      </c>
      <c r="U94" s="30">
        <v>6.9130000000000003</v>
      </c>
      <c r="V94" s="26">
        <v>249.05840000000001</v>
      </c>
      <c r="W94" s="29" t="s">
        <v>1110</v>
      </c>
      <c r="X94" s="26" t="s">
        <v>1107</v>
      </c>
    </row>
    <row r="95" spans="1:24" ht="15.6" customHeight="1" x14ac:dyDescent="0.25">
      <c r="A95" s="26" t="s">
        <v>1208</v>
      </c>
      <c r="B95" s="26" t="s">
        <v>1102</v>
      </c>
      <c r="C95" s="26" t="s">
        <v>1103</v>
      </c>
      <c r="D95" s="27">
        <v>45938</v>
      </c>
      <c r="E95" s="27">
        <v>45939</v>
      </c>
      <c r="F95" s="26">
        <v>62</v>
      </c>
      <c r="G95" s="26" t="s">
        <v>2</v>
      </c>
      <c r="H95" s="26" t="s">
        <v>1166</v>
      </c>
      <c r="I95" s="28">
        <v>338</v>
      </c>
      <c r="J95" s="26" t="s">
        <v>1105</v>
      </c>
      <c r="K95" s="30">
        <v>33.173000000000002</v>
      </c>
      <c r="L95" s="30">
        <v>5.4779999999999998</v>
      </c>
      <c r="M95" s="30">
        <v>6.5359999999999996</v>
      </c>
      <c r="N95" s="30">
        <v>5.3929999999999998</v>
      </c>
      <c r="O95" s="30">
        <v>8.0139999999999993</v>
      </c>
      <c r="P95" s="30">
        <v>4.4770000000000003</v>
      </c>
      <c r="Q95" s="30">
        <v>3.86</v>
      </c>
      <c r="R95" s="30">
        <v>4.8369999999999997</v>
      </c>
      <c r="S95" s="30">
        <v>4.1109999999999998</v>
      </c>
      <c r="T95" s="30">
        <v>4.5609999999999999</v>
      </c>
      <c r="U95" s="30">
        <v>6.5220000000000002</v>
      </c>
      <c r="V95" s="26">
        <v>340.04750000000001</v>
      </c>
      <c r="W95" s="29" t="s">
        <v>1112</v>
      </c>
      <c r="X95" s="26" t="s">
        <v>1107</v>
      </c>
    </row>
    <row r="96" spans="1:24" ht="15.6" customHeight="1" x14ac:dyDescent="0.25">
      <c r="A96" s="26" t="s">
        <v>1209</v>
      </c>
      <c r="B96" s="26" t="s">
        <v>1102</v>
      </c>
      <c r="C96" s="26" t="s">
        <v>1103</v>
      </c>
      <c r="D96" s="27">
        <v>45938</v>
      </c>
      <c r="E96" s="27">
        <v>45939</v>
      </c>
      <c r="F96" s="26">
        <v>37</v>
      </c>
      <c r="G96" s="26" t="s">
        <v>2</v>
      </c>
      <c r="H96" s="26" t="s">
        <v>1166</v>
      </c>
      <c r="I96" s="28">
        <v>383</v>
      </c>
      <c r="J96" s="26" t="s">
        <v>1105</v>
      </c>
      <c r="K96" s="30">
        <v>33.917000000000002</v>
      </c>
      <c r="L96" s="30">
        <v>6.2220000000000004</v>
      </c>
      <c r="M96" s="30">
        <v>5.774</v>
      </c>
      <c r="N96" s="30">
        <v>5.6159999999999997</v>
      </c>
      <c r="O96" s="30">
        <v>5.9429999999999996</v>
      </c>
      <c r="P96" s="30">
        <v>5.2649999999999997</v>
      </c>
      <c r="Q96" s="30">
        <v>3.7480000000000002</v>
      </c>
      <c r="R96" s="30">
        <v>3.7370000000000001</v>
      </c>
      <c r="S96" s="30">
        <v>3.7909999999999999</v>
      </c>
      <c r="T96" s="30">
        <v>4.5350000000000001</v>
      </c>
      <c r="U96" s="30">
        <v>6.125</v>
      </c>
      <c r="V96" s="26">
        <v>384.29320000000001</v>
      </c>
      <c r="W96" s="29" t="s">
        <v>1114</v>
      </c>
      <c r="X96" s="26" t="s">
        <v>1107</v>
      </c>
    </row>
    <row r="97" spans="1:24" ht="15.6" customHeight="1" x14ac:dyDescent="0.25">
      <c r="A97" s="26" t="s">
        <v>1210</v>
      </c>
      <c r="B97" s="26" t="s">
        <v>1102</v>
      </c>
      <c r="C97" s="26" t="s">
        <v>1103</v>
      </c>
      <c r="D97" s="27">
        <v>45938</v>
      </c>
      <c r="E97" s="27">
        <v>45939</v>
      </c>
      <c r="F97" s="26">
        <v>52</v>
      </c>
      <c r="G97" s="26" t="s">
        <v>2</v>
      </c>
      <c r="H97" s="26" t="s">
        <v>1166</v>
      </c>
      <c r="I97" s="28">
        <v>451</v>
      </c>
      <c r="J97" s="26" t="s">
        <v>1105</v>
      </c>
      <c r="K97" s="30">
        <v>35.066000000000003</v>
      </c>
      <c r="L97" s="30">
        <v>7.3710000000000004</v>
      </c>
      <c r="M97" s="30">
        <v>6.335</v>
      </c>
      <c r="N97" s="30">
        <v>5.2149999999999999</v>
      </c>
      <c r="O97" s="30">
        <v>8.7279999999999998</v>
      </c>
      <c r="P97" s="30">
        <v>5.55</v>
      </c>
      <c r="Q97" s="30">
        <v>3.734</v>
      </c>
      <c r="R97" s="30">
        <v>3.4660000000000002</v>
      </c>
      <c r="S97" s="30">
        <v>4.0780000000000003</v>
      </c>
      <c r="T97" s="30">
        <v>4.7699999999999996</v>
      </c>
      <c r="U97" s="30">
        <v>5.4359999999999999</v>
      </c>
      <c r="V97" s="26">
        <v>452.62419999999997</v>
      </c>
      <c r="W97" s="29" t="s">
        <v>1116</v>
      </c>
      <c r="X97" s="26" t="s">
        <v>1107</v>
      </c>
    </row>
    <row r="98" spans="1:24" ht="15.6" customHeight="1" x14ac:dyDescent="0.25">
      <c r="A98" s="26" t="s">
        <v>1211</v>
      </c>
      <c r="B98" s="26" t="s">
        <v>1102</v>
      </c>
      <c r="C98" s="26" t="s">
        <v>1103</v>
      </c>
      <c r="D98" s="27">
        <v>45938</v>
      </c>
      <c r="E98" s="27">
        <v>45939</v>
      </c>
      <c r="F98" s="26">
        <v>70</v>
      </c>
      <c r="G98" s="26" t="s">
        <v>2</v>
      </c>
      <c r="H98" s="26" t="s">
        <v>1166</v>
      </c>
      <c r="I98" s="28">
        <v>348</v>
      </c>
      <c r="J98" s="26" t="s">
        <v>1105</v>
      </c>
      <c r="K98" s="30">
        <v>33.31</v>
      </c>
      <c r="L98" s="30">
        <v>4.6150000000000002</v>
      </c>
      <c r="M98" s="30">
        <v>5.883</v>
      </c>
      <c r="N98" s="30">
        <v>4.5869999999999997</v>
      </c>
      <c r="O98" s="30">
        <v>6.73</v>
      </c>
      <c r="P98" s="30">
        <v>5.5890000000000004</v>
      </c>
      <c r="Q98" s="30">
        <v>3.2930000000000001</v>
      </c>
      <c r="R98" s="30">
        <v>3.7090000000000001</v>
      </c>
      <c r="S98" s="30">
        <v>3.4329999999999998</v>
      </c>
      <c r="T98" s="30">
        <v>5.7649999999999997</v>
      </c>
      <c r="U98" s="30">
        <v>5.8040000000000003</v>
      </c>
      <c r="V98" s="26">
        <v>348.19490000000002</v>
      </c>
      <c r="W98" s="29" t="s">
        <v>1118</v>
      </c>
      <c r="X98" s="26" t="s">
        <v>1107</v>
      </c>
    </row>
    <row r="99" spans="1:24" ht="15.6" customHeight="1" x14ac:dyDescent="0.25">
      <c r="A99" s="26" t="s">
        <v>1212</v>
      </c>
      <c r="B99" s="26" t="s">
        <v>1102</v>
      </c>
      <c r="C99" s="26" t="s">
        <v>1103</v>
      </c>
      <c r="D99" s="27">
        <v>45938</v>
      </c>
      <c r="E99" s="27">
        <v>45939</v>
      </c>
      <c r="F99" s="26">
        <v>73</v>
      </c>
      <c r="G99" s="26" t="s">
        <v>2</v>
      </c>
      <c r="H99" s="26" t="s">
        <v>1166</v>
      </c>
      <c r="I99" s="28">
        <v>276</v>
      </c>
      <c r="J99" s="26" t="s">
        <v>1105</v>
      </c>
      <c r="K99" s="30">
        <v>32.128</v>
      </c>
      <c r="L99" s="30">
        <v>5.2789999999999999</v>
      </c>
      <c r="M99" s="30">
        <v>7.4720000000000004</v>
      </c>
      <c r="N99" s="30">
        <v>4.9480000000000004</v>
      </c>
      <c r="O99" s="30">
        <v>8.1120000000000001</v>
      </c>
      <c r="P99" s="30">
        <v>5.6349999999999998</v>
      </c>
      <c r="Q99" s="30">
        <v>3.9769999999999999</v>
      </c>
      <c r="R99" s="30">
        <v>4.4749999999999996</v>
      </c>
      <c r="S99" s="30">
        <v>3.7469999999999999</v>
      </c>
      <c r="T99" s="30">
        <v>4.66</v>
      </c>
      <c r="U99" s="30">
        <v>6.9720000000000004</v>
      </c>
      <c r="V99" s="26">
        <v>277.90140000000002</v>
      </c>
      <c r="W99" s="29" t="s">
        <v>1120</v>
      </c>
      <c r="X99" s="26" t="s">
        <v>1107</v>
      </c>
    </row>
    <row r="100" spans="1:24" ht="15.6" customHeight="1" x14ac:dyDescent="0.25">
      <c r="A100" s="26" t="s">
        <v>1213</v>
      </c>
      <c r="B100" s="26" t="s">
        <v>1102</v>
      </c>
      <c r="C100" s="26" t="s">
        <v>1103</v>
      </c>
      <c r="D100" s="27">
        <v>45938</v>
      </c>
      <c r="E100" s="27">
        <v>45939</v>
      </c>
      <c r="F100" s="26">
        <v>25</v>
      </c>
      <c r="G100" s="26" t="s">
        <v>2</v>
      </c>
      <c r="H100" s="26" t="s">
        <v>1166</v>
      </c>
      <c r="I100" s="28">
        <v>384</v>
      </c>
      <c r="J100" s="26" t="s">
        <v>1105</v>
      </c>
      <c r="K100" s="30">
        <v>33.947000000000003</v>
      </c>
      <c r="L100" s="30">
        <v>5.2519999999999998</v>
      </c>
      <c r="M100" s="30">
        <v>5.72</v>
      </c>
      <c r="N100" s="30">
        <v>5.9550000000000001</v>
      </c>
      <c r="O100" s="30">
        <v>5.37</v>
      </c>
      <c r="P100" s="30">
        <v>4.4770000000000003</v>
      </c>
      <c r="Q100" s="30">
        <v>3.5939999999999999</v>
      </c>
      <c r="R100" s="30">
        <v>4.726</v>
      </c>
      <c r="S100" s="30">
        <v>3.0870000000000002</v>
      </c>
      <c r="T100" s="30">
        <v>4.9909999999999997</v>
      </c>
      <c r="U100" s="30">
        <v>6.7050000000000001</v>
      </c>
      <c r="V100" s="26">
        <v>386.07729999999998</v>
      </c>
      <c r="W100" s="29" t="s">
        <v>1122</v>
      </c>
      <c r="X100" s="26" t="s">
        <v>1107</v>
      </c>
    </row>
    <row r="101" spans="1:24" ht="15.6" customHeight="1" x14ac:dyDescent="0.25">
      <c r="A101" s="26" t="s">
        <v>1214</v>
      </c>
      <c r="B101" s="26" t="s">
        <v>1102</v>
      </c>
      <c r="C101" s="26" t="s">
        <v>1103</v>
      </c>
      <c r="D101" s="27">
        <v>45938</v>
      </c>
      <c r="E101" s="27">
        <v>45939</v>
      </c>
      <c r="F101" s="26">
        <v>79</v>
      </c>
      <c r="G101" s="26" t="s">
        <v>2</v>
      </c>
      <c r="H101" s="26" t="s">
        <v>1109</v>
      </c>
      <c r="I101" s="28">
        <v>294</v>
      </c>
      <c r="J101" s="26" t="s">
        <v>1105</v>
      </c>
      <c r="K101" s="30">
        <v>32.435000000000002</v>
      </c>
      <c r="L101" s="30">
        <v>4.74</v>
      </c>
      <c r="M101" s="30">
        <v>6.09</v>
      </c>
      <c r="N101" s="30">
        <v>3.7810000000000001</v>
      </c>
      <c r="O101" s="30">
        <v>7.3840000000000003</v>
      </c>
      <c r="P101" s="30">
        <v>6.0030000000000001</v>
      </c>
      <c r="Q101" s="30">
        <v>3.774</v>
      </c>
      <c r="R101" s="30">
        <v>4.2370000000000001</v>
      </c>
      <c r="S101" s="30">
        <v>3.13</v>
      </c>
      <c r="T101" s="30">
        <v>4.88</v>
      </c>
      <c r="U101" s="30">
        <v>6.0880000000000001</v>
      </c>
      <c r="V101" s="26"/>
      <c r="W101" s="29" t="s">
        <v>1106</v>
      </c>
      <c r="X101" s="26" t="s">
        <v>1107</v>
      </c>
    </row>
    <row r="102" spans="1:24" ht="15.6" customHeight="1" x14ac:dyDescent="0.25">
      <c r="A102" s="26" t="s">
        <v>1215</v>
      </c>
      <c r="B102" s="26" t="s">
        <v>1102</v>
      </c>
      <c r="C102" s="26" t="s">
        <v>1103</v>
      </c>
      <c r="D102" s="27">
        <v>45938</v>
      </c>
      <c r="E102" s="27">
        <v>45939</v>
      </c>
      <c r="F102" s="26">
        <v>70</v>
      </c>
      <c r="G102" s="26" t="s">
        <v>2</v>
      </c>
      <c r="H102" s="26" t="s">
        <v>1166</v>
      </c>
      <c r="I102" s="28">
        <v>451</v>
      </c>
      <c r="J102" s="26" t="s">
        <v>1105</v>
      </c>
      <c r="K102" s="30">
        <v>35.051000000000002</v>
      </c>
      <c r="L102" s="30">
        <v>6.3559999999999999</v>
      </c>
      <c r="M102" s="30">
        <v>6.3090000000000002</v>
      </c>
      <c r="N102" s="30">
        <v>4.5110000000000001</v>
      </c>
      <c r="O102" s="30">
        <v>6.6040000000000001</v>
      </c>
      <c r="P102" s="30">
        <v>4.6349999999999998</v>
      </c>
      <c r="Q102" s="30">
        <v>3.3330000000000002</v>
      </c>
      <c r="R102" s="30">
        <v>5.1379999999999999</v>
      </c>
      <c r="S102" s="30">
        <v>3.0760000000000001</v>
      </c>
      <c r="T102" s="30">
        <v>5.2389999999999999</v>
      </c>
      <c r="U102" s="30">
        <v>6.1130000000000004</v>
      </c>
      <c r="V102" s="26">
        <v>451.73219999999998</v>
      </c>
      <c r="W102" s="29" t="s">
        <v>1110</v>
      </c>
      <c r="X102" s="26" t="s">
        <v>1107</v>
      </c>
    </row>
    <row r="103" spans="1:24" x14ac:dyDescent="0.25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>
        <v>5.3319999999999999</v>
      </c>
      <c r="N103" s="31"/>
      <c r="O103" s="31">
        <v>6.4240000000000004</v>
      </c>
      <c r="P103" s="31"/>
      <c r="Q103" s="31"/>
      <c r="R103" s="31"/>
      <c r="S103" s="31"/>
      <c r="T103" s="31"/>
      <c r="U103" s="31"/>
      <c r="V103" s="31"/>
      <c r="W103" s="31"/>
      <c r="X103" s="31"/>
    </row>
    <row r="104" spans="1:24" x14ac:dyDescent="0.25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>
        <v>5.7990000000000004</v>
      </c>
      <c r="N104" s="31"/>
      <c r="O104" s="31">
        <v>5.593</v>
      </c>
      <c r="P104" s="31"/>
      <c r="Q104" s="31"/>
      <c r="R104" s="31"/>
      <c r="S104" s="31"/>
      <c r="T104" s="31"/>
      <c r="U104" s="31"/>
      <c r="V104" s="31"/>
      <c r="W104" s="31"/>
      <c r="X104" s="31"/>
    </row>
    <row r="105" spans="1:24" x14ac:dyDescent="0.2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>
        <v>5.4859999999999998</v>
      </c>
      <c r="N105" s="31"/>
      <c r="O105" s="31">
        <v>5.7050000000000001</v>
      </c>
      <c r="P105" s="31"/>
      <c r="Q105" s="31"/>
      <c r="R105" s="31"/>
      <c r="S105" s="31"/>
      <c r="T105" s="31"/>
      <c r="U105" s="31"/>
      <c r="V105" s="31"/>
      <c r="W105" s="31"/>
      <c r="X105" s="31"/>
    </row>
    <row r="106" spans="1:24" x14ac:dyDescent="0.25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>
        <v>6.8959999999999999</v>
      </c>
      <c r="N106" s="31"/>
      <c r="O106" s="31">
        <v>6.3159999999999998</v>
      </c>
      <c r="P106" s="31"/>
      <c r="Q106" s="31"/>
      <c r="R106" s="31"/>
      <c r="S106" s="31"/>
      <c r="T106" s="31"/>
      <c r="U106" s="31"/>
      <c r="V106" s="31"/>
      <c r="W106" s="31"/>
      <c r="X106" s="31"/>
    </row>
    <row r="107" spans="1:24" x14ac:dyDescent="0.25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>
        <v>7.0670000000000002</v>
      </c>
      <c r="N107" s="31"/>
      <c r="O107" s="31">
        <v>5.6159999999999997</v>
      </c>
      <c r="P107" s="31"/>
      <c r="Q107" s="31"/>
      <c r="R107" s="31"/>
      <c r="S107" s="31"/>
      <c r="T107" s="31"/>
      <c r="U107" s="31"/>
      <c r="V107" s="31"/>
      <c r="W107" s="31"/>
      <c r="X107" s="31"/>
    </row>
    <row r="108" spans="1:24" x14ac:dyDescent="0.25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>
        <v>6.3109999999999999</v>
      </c>
      <c r="N108" s="31"/>
      <c r="O108" s="31">
        <v>7.8789999999999996</v>
      </c>
      <c r="P108" s="31"/>
      <c r="Q108" s="31"/>
      <c r="R108" s="31"/>
      <c r="S108" s="31"/>
      <c r="T108" s="31"/>
      <c r="U108" s="31"/>
      <c r="V108" s="31"/>
      <c r="W108" s="31"/>
      <c r="X108" s="31"/>
    </row>
    <row r="109" spans="1:24" x14ac:dyDescent="0.25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>
        <v>6.7140000000000004</v>
      </c>
      <c r="N109" s="31"/>
      <c r="O109" s="31">
        <v>6.4539999999999997</v>
      </c>
      <c r="P109" s="31"/>
      <c r="Q109" s="31"/>
      <c r="R109" s="31"/>
      <c r="S109" s="31"/>
      <c r="T109" s="31"/>
      <c r="U109" s="31"/>
      <c r="V109" s="31"/>
      <c r="W109" s="31"/>
      <c r="X109" s="31"/>
    </row>
    <row r="110" spans="1:24" x14ac:dyDescent="0.25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>
        <v>6.3470000000000004</v>
      </c>
      <c r="N110" s="31"/>
      <c r="O110" s="31">
        <v>5.5289999999999999</v>
      </c>
      <c r="P110" s="31"/>
      <c r="Q110" s="31"/>
      <c r="R110" s="31"/>
      <c r="S110" s="31"/>
      <c r="T110" s="31"/>
      <c r="U110" s="31"/>
      <c r="V110" s="31"/>
      <c r="W110" s="31"/>
      <c r="X110" s="31"/>
    </row>
    <row r="111" spans="1:24" x14ac:dyDescent="0.25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>
        <v>7.5839999999999996</v>
      </c>
      <c r="P111" s="31"/>
      <c r="Q111" s="31"/>
      <c r="R111" s="31"/>
      <c r="S111" s="31"/>
      <c r="T111" s="31"/>
      <c r="U111" s="31"/>
      <c r="V111" s="31"/>
      <c r="W111" s="31"/>
      <c r="X111" s="31"/>
    </row>
    <row r="112" spans="1:24" x14ac:dyDescent="0.25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>
        <v>6.5289999999999999</v>
      </c>
      <c r="P112" s="31"/>
      <c r="Q112" s="31"/>
      <c r="R112" s="31"/>
      <c r="S112" s="31"/>
      <c r="T112" s="31"/>
      <c r="U112" s="31"/>
      <c r="V112" s="31"/>
      <c r="W112" s="31"/>
      <c r="X112" s="31"/>
    </row>
    <row r="113" spans="1:24" x14ac:dyDescent="0.25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>
        <v>7.383</v>
      </c>
      <c r="P113" s="31"/>
      <c r="Q113" s="31"/>
      <c r="R113" s="31"/>
      <c r="S113" s="31"/>
      <c r="T113" s="31"/>
      <c r="U113" s="31"/>
      <c r="V113" s="31"/>
      <c r="W113" s="31"/>
      <c r="X113" s="31"/>
    </row>
    <row r="114" spans="1:24" x14ac:dyDescent="0.25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>
        <v>6.4850000000000003</v>
      </c>
      <c r="P114" s="31"/>
      <c r="Q114" s="31"/>
      <c r="R114" s="31"/>
      <c r="S114" s="31"/>
      <c r="T114" s="31"/>
      <c r="U114" s="31"/>
      <c r="V114" s="31"/>
      <c r="W114" s="31"/>
      <c r="X114" s="31"/>
    </row>
    <row r="115" spans="1:24" x14ac:dyDescent="0.2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>
        <v>6.7910000000000004</v>
      </c>
      <c r="P115" s="31"/>
      <c r="Q115" s="31"/>
      <c r="R115" s="31"/>
      <c r="S115" s="31"/>
      <c r="T115" s="31"/>
      <c r="U115" s="31"/>
      <c r="V115" s="31"/>
      <c r="W115" s="31"/>
      <c r="X115" s="31"/>
    </row>
    <row r="116" spans="1:24" x14ac:dyDescent="0.25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>
        <v>7.4059999999999997</v>
      </c>
      <c r="P116" s="31"/>
      <c r="Q116" s="31"/>
      <c r="R116" s="31"/>
      <c r="S116" s="31"/>
      <c r="T116" s="31"/>
      <c r="U116" s="31"/>
      <c r="V116" s="31"/>
      <c r="W116" s="31"/>
      <c r="X116" s="31"/>
    </row>
    <row r="117" spans="1:24" x14ac:dyDescent="0.25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>
        <v>6.1120000000000001</v>
      </c>
      <c r="P117" s="31"/>
      <c r="Q117" s="31"/>
      <c r="R117" s="31"/>
      <c r="S117" s="31"/>
      <c r="T117" s="31"/>
      <c r="U117" s="31"/>
      <c r="V117" s="31"/>
      <c r="W117" s="31"/>
      <c r="X117" s="31"/>
    </row>
    <row r="118" spans="1:24" x14ac:dyDescent="0.25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>
        <v>7.4119999999999999</v>
      </c>
      <c r="P118" s="31"/>
      <c r="Q118" s="31"/>
      <c r="R118" s="31"/>
      <c r="S118" s="31"/>
      <c r="T118" s="31"/>
      <c r="U118" s="31"/>
      <c r="V118" s="31"/>
      <c r="W118" s="31"/>
      <c r="X118" s="31"/>
    </row>
    <row r="119" spans="1:24" x14ac:dyDescent="0.25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>
        <v>8.4540000000000006</v>
      </c>
      <c r="P119" s="31"/>
      <c r="Q119" s="31"/>
      <c r="R119" s="31"/>
      <c r="S119" s="31"/>
      <c r="T119" s="31"/>
      <c r="U119" s="31"/>
      <c r="V119" s="31"/>
      <c r="W119" s="31"/>
      <c r="X119" s="31"/>
    </row>
    <row r="120" spans="1:24" x14ac:dyDescent="0.25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>
        <v>6.2619999999999996</v>
      </c>
      <c r="P120" s="31"/>
      <c r="Q120" s="31"/>
      <c r="R120" s="31"/>
      <c r="S120" s="31"/>
      <c r="T120" s="31"/>
      <c r="U120" s="31"/>
      <c r="V120" s="31"/>
      <c r="W120" s="31"/>
      <c r="X120" s="31"/>
    </row>
    <row r="121" spans="1:24" x14ac:dyDescent="0.25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>
        <v>5.609</v>
      </c>
      <c r="P121" s="31"/>
      <c r="Q121" s="31"/>
      <c r="R121" s="31"/>
      <c r="S121" s="31"/>
      <c r="T121" s="31"/>
      <c r="U121" s="31"/>
      <c r="V121" s="31"/>
      <c r="W121" s="31"/>
      <c r="X121" s="31"/>
    </row>
    <row r="122" spans="1:24" x14ac:dyDescent="0.25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>
        <v>7.0890000000000004</v>
      </c>
      <c r="P122" s="31"/>
      <c r="Q122" s="31"/>
      <c r="R122" s="31"/>
      <c r="S122" s="31"/>
      <c r="T122" s="31"/>
      <c r="U122" s="31"/>
      <c r="V122" s="31"/>
      <c r="W122" s="31"/>
      <c r="X122" s="31"/>
    </row>
    <row r="123" spans="1:24" x14ac:dyDescent="0.25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>
        <v>5.7119999999999997</v>
      </c>
      <c r="P123" s="31"/>
      <c r="Q123" s="31"/>
      <c r="R123" s="31"/>
      <c r="S123" s="31"/>
      <c r="T123" s="31"/>
      <c r="U123" s="31"/>
      <c r="V123" s="31"/>
      <c r="W123" s="31"/>
      <c r="X123" s="31"/>
    </row>
    <row r="124" spans="1:24" x14ac:dyDescent="0.25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>
        <v>8.2210000000000001</v>
      </c>
      <c r="P124" s="31"/>
      <c r="Q124" s="31"/>
      <c r="R124" s="31"/>
      <c r="S124" s="31"/>
      <c r="T124" s="31"/>
      <c r="U124" s="31"/>
      <c r="V124" s="31"/>
      <c r="W124" s="31"/>
      <c r="X124" s="31"/>
    </row>
    <row r="125" spans="1:24" x14ac:dyDescent="0.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>
        <v>6.0910000000000002</v>
      </c>
      <c r="P125" s="31"/>
      <c r="Q125" s="31"/>
      <c r="R125" s="31"/>
      <c r="S125" s="31"/>
      <c r="T125" s="31"/>
      <c r="U125" s="31"/>
      <c r="V125" s="31"/>
      <c r="W125" s="31"/>
      <c r="X125" s="31"/>
    </row>
    <row r="126" spans="1:24" x14ac:dyDescent="0.25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>
        <v>6.5220000000000002</v>
      </c>
      <c r="P126" s="31"/>
      <c r="Q126" s="31"/>
      <c r="R126" s="31"/>
      <c r="S126" s="31"/>
      <c r="T126" s="31"/>
      <c r="U126" s="31"/>
      <c r="V126" s="31"/>
      <c r="W126" s="31"/>
      <c r="X126" s="31"/>
    </row>
    <row r="127" spans="1:24" x14ac:dyDescent="0.25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>
        <v>7.2560000000000002</v>
      </c>
      <c r="P127" s="31"/>
      <c r="Q127" s="31"/>
      <c r="R127" s="31"/>
      <c r="S127" s="31"/>
      <c r="T127" s="31"/>
      <c r="U127" s="31"/>
      <c r="V127" s="31"/>
      <c r="W127" s="31"/>
      <c r="X127" s="31"/>
    </row>
    <row r="128" spans="1:24" x14ac:dyDescent="0.25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>
        <v>8.6840000000000011</v>
      </c>
      <c r="P128" s="31"/>
      <c r="Q128" s="31"/>
      <c r="R128" s="31"/>
      <c r="S128" s="31"/>
      <c r="T128" s="31"/>
      <c r="U128" s="31"/>
      <c r="V128" s="31"/>
      <c r="W128" s="31"/>
      <c r="X128" s="31"/>
    </row>
    <row r="129" spans="1:24" x14ac:dyDescent="0.25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>
        <v>6.5810000000000004</v>
      </c>
      <c r="P129" s="31"/>
      <c r="Q129" s="31"/>
      <c r="R129" s="31"/>
      <c r="S129" s="31"/>
      <c r="T129" s="31"/>
      <c r="U129" s="31"/>
      <c r="V129" s="31"/>
      <c r="W129" s="31"/>
      <c r="X129" s="31"/>
    </row>
    <row r="130" spans="1:24" x14ac:dyDescent="0.25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>
        <v>7.3680000000000003</v>
      </c>
      <c r="P130" s="31"/>
      <c r="Q130" s="31"/>
      <c r="R130" s="31"/>
      <c r="S130" s="31"/>
      <c r="T130" s="31"/>
      <c r="U130" s="31"/>
      <c r="V130" s="31"/>
      <c r="W130" s="31"/>
      <c r="X130" s="31"/>
    </row>
    <row r="131" spans="1:24" x14ac:dyDescent="0.25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>
        <v>6.1429999999999998</v>
      </c>
      <c r="P131" s="31"/>
      <c r="Q131" s="31"/>
      <c r="R131" s="31"/>
      <c r="S131" s="31"/>
      <c r="T131" s="31"/>
      <c r="U131" s="31"/>
      <c r="V131" s="31"/>
      <c r="W131" s="31"/>
      <c r="X131" s="31"/>
    </row>
    <row r="132" spans="1:24" x14ac:dyDescent="0.25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>
        <v>7.7469999999999999</v>
      </c>
      <c r="P132" s="31"/>
      <c r="Q132" s="31"/>
      <c r="R132" s="31"/>
      <c r="S132" s="31"/>
      <c r="T132" s="31"/>
      <c r="U132" s="31"/>
      <c r="V132" s="31"/>
      <c r="W132" s="31"/>
      <c r="X132" s="31"/>
    </row>
    <row r="133" spans="1:24" x14ac:dyDescent="0.25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>
        <v>6.532</v>
      </c>
      <c r="P133" s="31"/>
      <c r="Q133" s="31"/>
      <c r="R133" s="31"/>
      <c r="S133" s="31"/>
      <c r="T133" s="31"/>
      <c r="U133" s="31"/>
      <c r="V133" s="31"/>
      <c r="W133" s="31"/>
      <c r="X133" s="31"/>
    </row>
    <row r="134" spans="1:24" x14ac:dyDescent="0.25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>
        <v>5.7439999999999998</v>
      </c>
      <c r="P134" s="31"/>
      <c r="Q134" s="31"/>
      <c r="R134" s="31"/>
      <c r="S134" s="31"/>
      <c r="T134" s="31"/>
      <c r="U134" s="31"/>
      <c r="V134" s="31"/>
      <c r="W134" s="31"/>
      <c r="X134" s="31"/>
    </row>
    <row r="135" spans="1:24" x14ac:dyDescent="0.2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>
        <v>8.3659999999999997</v>
      </c>
      <c r="P135" s="31"/>
      <c r="Q135" s="31"/>
      <c r="R135" s="31"/>
      <c r="S135" s="31"/>
      <c r="T135" s="31"/>
      <c r="U135" s="31"/>
      <c r="V135" s="31"/>
      <c r="W135" s="31"/>
      <c r="X135" s="31"/>
    </row>
    <row r="136" spans="1:24" x14ac:dyDescent="0.25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>
        <v>6.3620000000000001</v>
      </c>
      <c r="P136" s="31"/>
      <c r="Q136" s="31"/>
      <c r="R136" s="31"/>
      <c r="S136" s="31"/>
      <c r="T136" s="31"/>
      <c r="U136" s="31"/>
      <c r="V136" s="31"/>
      <c r="W136" s="31"/>
      <c r="X136" s="31"/>
    </row>
    <row r="137" spans="1:24" x14ac:dyDescent="0.25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>
        <v>6.0629999999999997</v>
      </c>
      <c r="P137" s="31"/>
      <c r="Q137" s="31"/>
      <c r="R137" s="31"/>
      <c r="S137" s="31"/>
      <c r="T137" s="31"/>
      <c r="U137" s="31"/>
      <c r="V137" s="31"/>
      <c r="W137" s="31"/>
      <c r="X137" s="31"/>
    </row>
  </sheetData>
  <sheetProtection algorithmName="SHA-512" hashValue="22kJSomaiMpWYyx3z4UU/JgBw/qQL+jbilmmBGVJYCGg4jCP8d+stFaH2NONrG75jcr8+LCobq39aEK2cKjsXA==" saltValue="YcpldXXOI/faAUsoxNfRoA==" spinCount="100000" sheet="1" objects="1" scenarios="1"/>
  <mergeCells count="1">
    <mergeCell ref="A1:M1"/>
  </mergeCells>
  <dataValidations count="4">
    <dataValidation type="list" allowBlank="1" sqref="G3:G102" xr:uid="{F210E9FB-C79E-4B5C-A435-75A5D054D3D7}">
      <formula1>"Male,Female,Other,Prefer not to say"</formula1>
    </dataValidation>
    <dataValidation type="list" allowBlank="1" sqref="H3:H102" xr:uid="{64D9FBB4-1C3C-4E2B-96A6-BAC77E72497B}">
      <formula1>"Fasting,Before_meal,After_meal,Random,Other"</formula1>
    </dataValidation>
    <dataValidation type="list" allowBlank="1" sqref="C3:C102" xr:uid="{376AF670-C914-47B2-B0CB-5FC694F48E6B}">
      <formula1>"Yes,No"</formula1>
    </dataValidation>
    <dataValidation type="list" allowBlank="1" sqref="B3:B102" xr:uid="{C0D48EFE-BAD5-4EFF-8041-460D1F5947AA}">
      <formula1>"Yes,No,Unknown"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2B175-D30C-4A8D-8BE9-B965E5187CEC}">
  <dimension ref="A1:M1002"/>
  <sheetViews>
    <sheetView workbookViewId="0">
      <selection activeCell="F10" sqref="F10"/>
    </sheetView>
  </sheetViews>
  <sheetFormatPr defaultRowHeight="13.8" x14ac:dyDescent="0.25"/>
  <cols>
    <col min="1" max="2" width="12" style="1" customWidth="1"/>
    <col min="3" max="3" width="18" style="1" customWidth="1"/>
    <col min="4" max="4" width="23" style="1" customWidth="1"/>
    <col min="5" max="5" width="20" style="1" customWidth="1"/>
    <col min="6" max="7" width="27" style="1" customWidth="1"/>
    <col min="8" max="8" width="23" style="1" customWidth="1"/>
    <col min="9" max="9" width="15.109375" style="1" customWidth="1"/>
    <col min="10" max="10" width="21" style="1" customWidth="1"/>
    <col min="11" max="11" width="20" style="1" customWidth="1"/>
    <col min="12" max="12" width="12" style="1" customWidth="1"/>
    <col min="13" max="16384" width="8.88671875" style="1"/>
  </cols>
  <sheetData>
    <row r="1" spans="1:13" ht="17.399999999999999" x14ac:dyDescent="0.25">
      <c r="A1" s="22" t="s">
        <v>517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4"/>
    </row>
    <row r="2" spans="1:13" ht="33.6" x14ac:dyDescent="0.25">
      <c r="A2" s="32" t="s">
        <v>515</v>
      </c>
      <c r="B2" s="32" t="s">
        <v>518</v>
      </c>
      <c r="C2" s="32" t="s">
        <v>1221</v>
      </c>
      <c r="D2" s="32" t="s">
        <v>1077</v>
      </c>
      <c r="E2" s="32" t="s">
        <v>1222</v>
      </c>
      <c r="F2" s="32" t="s">
        <v>1223</v>
      </c>
      <c r="G2" s="32" t="s">
        <v>1224</v>
      </c>
      <c r="H2" s="32" t="s">
        <v>1225</v>
      </c>
      <c r="I2" s="32" t="s">
        <v>1226</v>
      </c>
      <c r="J2" s="32" t="s">
        <v>1227</v>
      </c>
      <c r="K2" s="32" t="s">
        <v>1228</v>
      </c>
      <c r="L2" s="32" t="s">
        <v>524</v>
      </c>
    </row>
    <row r="3" spans="1:13" x14ac:dyDescent="0.25">
      <c r="A3" s="26" t="s">
        <v>525</v>
      </c>
      <c r="B3" s="26" t="s">
        <v>526</v>
      </c>
      <c r="C3" s="26" t="s">
        <v>1229</v>
      </c>
      <c r="D3" s="26" t="s">
        <v>527</v>
      </c>
      <c r="E3" s="26">
        <v>100</v>
      </c>
      <c r="F3" s="26">
        <v>101.457697</v>
      </c>
      <c r="G3" s="26">
        <v>1.45769700000001</v>
      </c>
      <c r="H3" s="26">
        <v>1.45769700000001</v>
      </c>
      <c r="I3" s="26" t="s">
        <v>1230</v>
      </c>
      <c r="J3" s="26" t="s">
        <v>1231</v>
      </c>
      <c r="K3" s="26" t="b">
        <v>0</v>
      </c>
      <c r="L3" s="26">
        <v>1</v>
      </c>
    </row>
    <row r="4" spans="1:13" x14ac:dyDescent="0.25">
      <c r="A4" s="26" t="s">
        <v>528</v>
      </c>
      <c r="B4" s="26" t="s">
        <v>526</v>
      </c>
      <c r="C4" s="26" t="s">
        <v>1232</v>
      </c>
      <c r="D4" s="26" t="s">
        <v>527</v>
      </c>
      <c r="E4" s="26">
        <v>114</v>
      </c>
      <c r="F4" s="26">
        <v>115.67979800000001</v>
      </c>
      <c r="G4" s="26">
        <v>1.679798000000005</v>
      </c>
      <c r="H4" s="26">
        <v>1.679798000000005</v>
      </c>
      <c r="I4" s="26" t="s">
        <v>1230</v>
      </c>
      <c r="J4" s="26" t="s">
        <v>1231</v>
      </c>
      <c r="K4" s="26" t="b">
        <v>0</v>
      </c>
      <c r="L4" s="26">
        <v>2</v>
      </c>
    </row>
    <row r="5" spans="1:13" x14ac:dyDescent="0.25">
      <c r="A5" s="26" t="s">
        <v>529</v>
      </c>
      <c r="B5" s="26" t="s">
        <v>526</v>
      </c>
      <c r="C5" s="26" t="s">
        <v>1233</v>
      </c>
      <c r="D5" s="26" t="s">
        <v>527</v>
      </c>
      <c r="E5" s="26">
        <v>96</v>
      </c>
      <c r="F5" s="26">
        <v>92.828612000000007</v>
      </c>
      <c r="G5" s="26">
        <v>-3.1713879999999932</v>
      </c>
      <c r="H5" s="26">
        <v>3.1713879999999932</v>
      </c>
      <c r="I5" s="26" t="s">
        <v>1230</v>
      </c>
      <c r="J5" s="26" t="s">
        <v>1231</v>
      </c>
      <c r="K5" s="26" t="b">
        <v>0</v>
      </c>
      <c r="L5" s="26">
        <v>3</v>
      </c>
    </row>
    <row r="6" spans="1:13" x14ac:dyDescent="0.25">
      <c r="A6" s="26" t="s">
        <v>530</v>
      </c>
      <c r="B6" s="26" t="s">
        <v>526</v>
      </c>
      <c r="C6" s="26" t="s">
        <v>1234</v>
      </c>
      <c r="D6" s="26" t="s">
        <v>527</v>
      </c>
      <c r="E6" s="26">
        <v>118</v>
      </c>
      <c r="F6" s="26">
        <v>115.919359</v>
      </c>
      <c r="G6" s="26">
        <v>-2.0806409999999862</v>
      </c>
      <c r="H6" s="26">
        <v>2.0806409999999862</v>
      </c>
      <c r="I6" s="26" t="s">
        <v>1230</v>
      </c>
      <c r="J6" s="26" t="s">
        <v>1231</v>
      </c>
      <c r="K6" s="26" t="b">
        <v>0</v>
      </c>
      <c r="L6" s="26">
        <v>4</v>
      </c>
    </row>
    <row r="7" spans="1:13" x14ac:dyDescent="0.25">
      <c r="A7" s="26" t="s">
        <v>531</v>
      </c>
      <c r="B7" s="26" t="s">
        <v>526</v>
      </c>
      <c r="C7" s="26" t="s">
        <v>1235</v>
      </c>
      <c r="D7" s="26" t="s">
        <v>527</v>
      </c>
      <c r="E7" s="26">
        <v>127</v>
      </c>
      <c r="F7" s="26">
        <v>126.18625900000001</v>
      </c>
      <c r="G7" s="26">
        <v>-0.81374099999999316</v>
      </c>
      <c r="H7" s="26">
        <v>0.81374099999999316</v>
      </c>
      <c r="I7" s="26" t="s">
        <v>1230</v>
      </c>
      <c r="J7" s="26" t="s">
        <v>1231</v>
      </c>
      <c r="K7" s="26" t="b">
        <v>0</v>
      </c>
      <c r="L7" s="26">
        <v>5</v>
      </c>
    </row>
    <row r="8" spans="1:13" x14ac:dyDescent="0.25">
      <c r="A8" s="26" t="s">
        <v>532</v>
      </c>
      <c r="B8" s="26" t="s">
        <v>526</v>
      </c>
      <c r="C8" s="26" t="s">
        <v>1236</v>
      </c>
      <c r="D8" s="26" t="s">
        <v>527</v>
      </c>
      <c r="E8" s="26">
        <v>135</v>
      </c>
      <c r="F8" s="26">
        <v>135.881146</v>
      </c>
      <c r="G8" s="26">
        <v>0.8811460000000011</v>
      </c>
      <c r="H8" s="26">
        <v>0.8811460000000011</v>
      </c>
      <c r="I8" s="26" t="s">
        <v>1230</v>
      </c>
      <c r="J8" s="26" t="s">
        <v>1231</v>
      </c>
      <c r="K8" s="26" t="b">
        <v>0</v>
      </c>
      <c r="L8" s="26">
        <v>1</v>
      </c>
    </row>
    <row r="9" spans="1:13" x14ac:dyDescent="0.25">
      <c r="A9" s="26" t="s">
        <v>533</v>
      </c>
      <c r="B9" s="26" t="s">
        <v>526</v>
      </c>
      <c r="C9" s="26" t="s">
        <v>1237</v>
      </c>
      <c r="D9" s="26" t="s">
        <v>527</v>
      </c>
      <c r="E9" s="26">
        <v>144</v>
      </c>
      <c r="F9" s="26">
        <v>144.50045299999999</v>
      </c>
      <c r="G9" s="26">
        <v>0.50045299999999315</v>
      </c>
      <c r="H9" s="26">
        <v>0.50045299999999315</v>
      </c>
      <c r="I9" s="26" t="s">
        <v>1230</v>
      </c>
      <c r="J9" s="26" t="s">
        <v>1231</v>
      </c>
      <c r="K9" s="26" t="b">
        <v>0</v>
      </c>
      <c r="L9" s="26">
        <v>2</v>
      </c>
    </row>
    <row r="10" spans="1:13" x14ac:dyDescent="0.25">
      <c r="A10" s="26" t="s">
        <v>534</v>
      </c>
      <c r="B10" s="26" t="s">
        <v>526</v>
      </c>
      <c r="C10" s="26" t="s">
        <v>1238</v>
      </c>
      <c r="D10" s="26" t="s">
        <v>527</v>
      </c>
      <c r="E10" s="26">
        <v>119</v>
      </c>
      <c r="F10" s="26">
        <v>119.43455</v>
      </c>
      <c r="G10" s="26">
        <v>0.43455000000000149</v>
      </c>
      <c r="H10" s="26">
        <v>0.43455000000000149</v>
      </c>
      <c r="I10" s="26" t="s">
        <v>1230</v>
      </c>
      <c r="J10" s="26" t="s">
        <v>1231</v>
      </c>
      <c r="K10" s="26" t="b">
        <v>0</v>
      </c>
      <c r="L10" s="26">
        <v>3</v>
      </c>
    </row>
    <row r="11" spans="1:13" x14ac:dyDescent="0.25">
      <c r="A11" s="26" t="s">
        <v>535</v>
      </c>
      <c r="B11" s="26" t="s">
        <v>526</v>
      </c>
      <c r="C11" s="26" t="s">
        <v>1239</v>
      </c>
      <c r="D11" s="26" t="s">
        <v>527</v>
      </c>
      <c r="E11" s="26">
        <v>122</v>
      </c>
      <c r="F11" s="26">
        <v>121.615044</v>
      </c>
      <c r="G11" s="26">
        <v>-0.38495599999998831</v>
      </c>
      <c r="H11" s="26">
        <v>0.38495599999998831</v>
      </c>
      <c r="I11" s="26" t="s">
        <v>1230</v>
      </c>
      <c r="J11" s="26" t="s">
        <v>1231</v>
      </c>
      <c r="K11" s="26" t="b">
        <v>0</v>
      </c>
      <c r="L11" s="26">
        <v>4</v>
      </c>
    </row>
    <row r="12" spans="1:13" x14ac:dyDescent="0.25">
      <c r="A12" s="26" t="s">
        <v>536</v>
      </c>
      <c r="B12" s="26" t="s">
        <v>526</v>
      </c>
      <c r="C12" s="26" t="s">
        <v>1240</v>
      </c>
      <c r="D12" s="26" t="s">
        <v>527</v>
      </c>
      <c r="E12" s="26">
        <v>98</v>
      </c>
      <c r="F12" s="26">
        <v>99.096310000000003</v>
      </c>
      <c r="G12" s="26">
        <v>1.096310000000003</v>
      </c>
      <c r="H12" s="26">
        <v>1.096310000000003</v>
      </c>
      <c r="I12" s="26" t="s">
        <v>1230</v>
      </c>
      <c r="J12" s="26" t="s">
        <v>1231</v>
      </c>
      <c r="K12" s="26" t="b">
        <v>0</v>
      </c>
      <c r="L12" s="26">
        <v>5</v>
      </c>
    </row>
    <row r="13" spans="1:13" x14ac:dyDescent="0.25">
      <c r="A13" s="26" t="s">
        <v>537</v>
      </c>
      <c r="B13" s="26" t="s">
        <v>538</v>
      </c>
      <c r="C13" s="26" t="s">
        <v>1229</v>
      </c>
      <c r="D13" s="26" t="s">
        <v>527</v>
      </c>
      <c r="E13" s="26">
        <v>100</v>
      </c>
      <c r="F13" s="26">
        <v>100.993242</v>
      </c>
      <c r="G13" s="26">
        <v>0.99324200000000928</v>
      </c>
      <c r="H13" s="26">
        <v>0.99324200000000928</v>
      </c>
      <c r="I13" s="26" t="s">
        <v>1230</v>
      </c>
      <c r="J13" s="26" t="s">
        <v>1231</v>
      </c>
      <c r="K13" s="26" t="b">
        <v>0</v>
      </c>
      <c r="L13" s="26">
        <v>1</v>
      </c>
    </row>
    <row r="14" spans="1:13" x14ac:dyDescent="0.25">
      <c r="A14" s="26" t="s">
        <v>539</v>
      </c>
      <c r="B14" s="26" t="s">
        <v>538</v>
      </c>
      <c r="C14" s="26" t="s">
        <v>1232</v>
      </c>
      <c r="D14" s="26" t="s">
        <v>527</v>
      </c>
      <c r="E14" s="26">
        <v>103</v>
      </c>
      <c r="F14" s="26">
        <v>102.787505</v>
      </c>
      <c r="G14" s="26">
        <v>-0.21249499999998989</v>
      </c>
      <c r="H14" s="26">
        <v>0.21249499999998989</v>
      </c>
      <c r="I14" s="26" t="s">
        <v>1230</v>
      </c>
      <c r="J14" s="26" t="s">
        <v>1231</v>
      </c>
      <c r="K14" s="26" t="b">
        <v>0</v>
      </c>
      <c r="L14" s="26">
        <v>2</v>
      </c>
    </row>
    <row r="15" spans="1:13" x14ac:dyDescent="0.25">
      <c r="A15" s="26" t="s">
        <v>540</v>
      </c>
      <c r="B15" s="26" t="s">
        <v>538</v>
      </c>
      <c r="C15" s="26" t="s">
        <v>1233</v>
      </c>
      <c r="D15" s="26" t="s">
        <v>527</v>
      </c>
      <c r="E15" s="26">
        <v>102</v>
      </c>
      <c r="F15" s="26">
        <v>100.06433199999999</v>
      </c>
      <c r="G15" s="26">
        <v>-1.9356679999999931</v>
      </c>
      <c r="H15" s="26">
        <v>1.9356679999999931</v>
      </c>
      <c r="I15" s="26" t="s">
        <v>1230</v>
      </c>
      <c r="J15" s="26" t="s">
        <v>1231</v>
      </c>
      <c r="K15" s="26" t="b">
        <v>0</v>
      </c>
      <c r="L15" s="26">
        <v>3</v>
      </c>
    </row>
    <row r="16" spans="1:13" x14ac:dyDescent="0.25">
      <c r="A16" s="26" t="s">
        <v>541</v>
      </c>
      <c r="B16" s="26" t="s">
        <v>538</v>
      </c>
      <c r="C16" s="26" t="s">
        <v>1234</v>
      </c>
      <c r="D16" s="26" t="s">
        <v>527</v>
      </c>
      <c r="E16" s="26">
        <v>101</v>
      </c>
      <c r="F16" s="26">
        <v>100.74879199999999</v>
      </c>
      <c r="G16" s="26">
        <v>-0.25120799999999122</v>
      </c>
      <c r="H16" s="26">
        <v>0.25120799999999122</v>
      </c>
      <c r="I16" s="26" t="s">
        <v>1230</v>
      </c>
      <c r="J16" s="26" t="s">
        <v>1231</v>
      </c>
      <c r="K16" s="26" t="b">
        <v>0</v>
      </c>
      <c r="L16" s="26">
        <v>4</v>
      </c>
    </row>
    <row r="17" spans="1:12" x14ac:dyDescent="0.25">
      <c r="A17" s="26" t="s">
        <v>542</v>
      </c>
      <c r="B17" s="26" t="s">
        <v>538</v>
      </c>
      <c r="C17" s="26" t="s">
        <v>1235</v>
      </c>
      <c r="D17" s="26" t="s">
        <v>527</v>
      </c>
      <c r="E17" s="26">
        <v>105</v>
      </c>
      <c r="F17" s="26">
        <v>106.718261</v>
      </c>
      <c r="G17" s="26">
        <v>1.718261000000012</v>
      </c>
      <c r="H17" s="26">
        <v>1.718261000000012</v>
      </c>
      <c r="I17" s="26" t="s">
        <v>1230</v>
      </c>
      <c r="J17" s="26" t="s">
        <v>1231</v>
      </c>
      <c r="K17" s="26" t="b">
        <v>0</v>
      </c>
      <c r="L17" s="26">
        <v>5</v>
      </c>
    </row>
    <row r="18" spans="1:12" x14ac:dyDescent="0.25">
      <c r="A18" s="26" t="s">
        <v>543</v>
      </c>
      <c r="B18" s="26" t="s">
        <v>538</v>
      </c>
      <c r="C18" s="26" t="s">
        <v>1236</v>
      </c>
      <c r="D18" s="26" t="s">
        <v>527</v>
      </c>
      <c r="E18" s="26">
        <v>97</v>
      </c>
      <c r="F18" s="26">
        <v>97.722501000000008</v>
      </c>
      <c r="G18" s="26">
        <v>0.72250100000000828</v>
      </c>
      <c r="H18" s="26">
        <v>0.72250100000000828</v>
      </c>
      <c r="I18" s="26" t="s">
        <v>1230</v>
      </c>
      <c r="J18" s="26" t="s">
        <v>1231</v>
      </c>
      <c r="K18" s="26" t="b">
        <v>0</v>
      </c>
      <c r="L18" s="26">
        <v>1</v>
      </c>
    </row>
    <row r="19" spans="1:12" x14ac:dyDescent="0.25">
      <c r="A19" s="26" t="s">
        <v>544</v>
      </c>
      <c r="B19" s="26" t="s">
        <v>538</v>
      </c>
      <c r="C19" s="26" t="s">
        <v>1237</v>
      </c>
      <c r="D19" s="26" t="s">
        <v>527</v>
      </c>
      <c r="E19" s="26">
        <v>110</v>
      </c>
      <c r="F19" s="26">
        <v>111.90060099999999</v>
      </c>
      <c r="G19" s="26">
        <v>1.9006010000000091</v>
      </c>
      <c r="H19" s="26">
        <v>1.9006010000000091</v>
      </c>
      <c r="I19" s="26" t="s">
        <v>1230</v>
      </c>
      <c r="J19" s="26" t="s">
        <v>1231</v>
      </c>
      <c r="K19" s="26" t="b">
        <v>0</v>
      </c>
      <c r="L19" s="26">
        <v>2</v>
      </c>
    </row>
    <row r="20" spans="1:12" x14ac:dyDescent="0.25">
      <c r="A20" s="26" t="s">
        <v>545</v>
      </c>
      <c r="B20" s="26" t="s">
        <v>538</v>
      </c>
      <c r="C20" s="26" t="s">
        <v>1238</v>
      </c>
      <c r="D20" s="26" t="s">
        <v>527</v>
      </c>
      <c r="E20" s="26">
        <v>107</v>
      </c>
      <c r="F20" s="26">
        <v>107.564058</v>
      </c>
      <c r="G20" s="26">
        <v>0.56405800000000283</v>
      </c>
      <c r="H20" s="26">
        <v>0.56405800000000283</v>
      </c>
      <c r="I20" s="26" t="s">
        <v>1230</v>
      </c>
      <c r="J20" s="26" t="s">
        <v>1231</v>
      </c>
      <c r="K20" s="26" t="b">
        <v>0</v>
      </c>
      <c r="L20" s="26">
        <v>3</v>
      </c>
    </row>
    <row r="21" spans="1:12" x14ac:dyDescent="0.25">
      <c r="A21" s="26" t="s">
        <v>546</v>
      </c>
      <c r="B21" s="26" t="s">
        <v>538</v>
      </c>
      <c r="C21" s="26" t="s">
        <v>1239</v>
      </c>
      <c r="D21" s="26" t="s">
        <v>527</v>
      </c>
      <c r="E21" s="26">
        <v>116</v>
      </c>
      <c r="F21" s="26">
        <v>113.50908200000001</v>
      </c>
      <c r="G21" s="26">
        <v>-2.490917999999994</v>
      </c>
      <c r="H21" s="26">
        <v>2.490917999999994</v>
      </c>
      <c r="I21" s="26" t="s">
        <v>1230</v>
      </c>
      <c r="J21" s="26" t="s">
        <v>1231</v>
      </c>
      <c r="K21" s="26" t="b">
        <v>0</v>
      </c>
      <c r="L21" s="26">
        <v>4</v>
      </c>
    </row>
    <row r="22" spans="1:12" x14ac:dyDescent="0.25">
      <c r="A22" s="26" t="s">
        <v>547</v>
      </c>
      <c r="B22" s="26" t="s">
        <v>538</v>
      </c>
      <c r="C22" s="26" t="s">
        <v>1240</v>
      </c>
      <c r="D22" s="26" t="s">
        <v>527</v>
      </c>
      <c r="E22" s="26">
        <v>87</v>
      </c>
      <c r="F22" s="26">
        <v>83.021277999999995</v>
      </c>
      <c r="G22" s="26">
        <v>-3.9787220000000052</v>
      </c>
      <c r="H22" s="26">
        <v>3.9787220000000052</v>
      </c>
      <c r="I22" s="26" t="s">
        <v>1230</v>
      </c>
      <c r="J22" s="26" t="s">
        <v>1231</v>
      </c>
      <c r="K22" s="26" t="b">
        <v>0</v>
      </c>
      <c r="L22" s="26">
        <v>5</v>
      </c>
    </row>
    <row r="23" spans="1:12" x14ac:dyDescent="0.25">
      <c r="A23" s="26" t="s">
        <v>548</v>
      </c>
      <c r="B23" s="26" t="s">
        <v>549</v>
      </c>
      <c r="C23" s="26" t="s">
        <v>1229</v>
      </c>
      <c r="D23" s="26" t="s">
        <v>527</v>
      </c>
      <c r="E23" s="26">
        <v>119</v>
      </c>
      <c r="F23" s="26">
        <v>118.960317</v>
      </c>
      <c r="G23" s="26">
        <v>-3.9682999999982371E-2</v>
      </c>
      <c r="H23" s="26">
        <v>3.9682999999982371E-2</v>
      </c>
      <c r="I23" s="26" t="s">
        <v>1230</v>
      </c>
      <c r="J23" s="26" t="s">
        <v>1231</v>
      </c>
      <c r="K23" s="26" t="b">
        <v>0</v>
      </c>
      <c r="L23" s="26">
        <v>1</v>
      </c>
    </row>
    <row r="24" spans="1:12" x14ac:dyDescent="0.25">
      <c r="A24" s="26" t="s">
        <v>550</v>
      </c>
      <c r="B24" s="26" t="s">
        <v>549</v>
      </c>
      <c r="C24" s="26" t="s">
        <v>1232</v>
      </c>
      <c r="D24" s="26" t="s">
        <v>527</v>
      </c>
      <c r="E24" s="26">
        <v>107</v>
      </c>
      <c r="F24" s="26">
        <v>106.596036</v>
      </c>
      <c r="G24" s="26">
        <v>-0.40396399999998778</v>
      </c>
      <c r="H24" s="26">
        <v>0.40396399999998778</v>
      </c>
      <c r="I24" s="26" t="s">
        <v>1230</v>
      </c>
      <c r="J24" s="26" t="s">
        <v>1231</v>
      </c>
      <c r="K24" s="26" t="b">
        <v>0</v>
      </c>
      <c r="L24" s="26">
        <v>2</v>
      </c>
    </row>
    <row r="25" spans="1:12" x14ac:dyDescent="0.25">
      <c r="A25" s="26" t="s">
        <v>551</v>
      </c>
      <c r="B25" s="26" t="s">
        <v>549</v>
      </c>
      <c r="C25" s="26" t="s">
        <v>1233</v>
      </c>
      <c r="D25" s="26" t="s">
        <v>527</v>
      </c>
      <c r="E25" s="26">
        <v>97</v>
      </c>
      <c r="F25" s="26">
        <v>95.488228000000007</v>
      </c>
      <c r="G25" s="26">
        <v>-1.511771999999993</v>
      </c>
      <c r="H25" s="26">
        <v>1.511771999999993</v>
      </c>
      <c r="I25" s="26" t="s">
        <v>1230</v>
      </c>
      <c r="J25" s="26" t="s">
        <v>1231</v>
      </c>
      <c r="K25" s="26" t="b">
        <v>0</v>
      </c>
      <c r="L25" s="26">
        <v>3</v>
      </c>
    </row>
    <row r="26" spans="1:12" x14ac:dyDescent="0.25">
      <c r="A26" s="26" t="s">
        <v>552</v>
      </c>
      <c r="B26" s="26" t="s">
        <v>549</v>
      </c>
      <c r="C26" s="26" t="s">
        <v>1234</v>
      </c>
      <c r="D26" s="26" t="s">
        <v>527</v>
      </c>
      <c r="E26" s="26">
        <v>91</v>
      </c>
      <c r="F26" s="26">
        <v>88.360066000000018</v>
      </c>
      <c r="G26" s="26">
        <v>-2.639933999999982</v>
      </c>
      <c r="H26" s="26">
        <v>2.639933999999982</v>
      </c>
      <c r="I26" s="26" t="s">
        <v>1230</v>
      </c>
      <c r="J26" s="26" t="s">
        <v>1231</v>
      </c>
      <c r="K26" s="26" t="b">
        <v>0</v>
      </c>
      <c r="L26" s="26">
        <v>4</v>
      </c>
    </row>
    <row r="27" spans="1:12" x14ac:dyDescent="0.25">
      <c r="A27" s="26" t="s">
        <v>553</v>
      </c>
      <c r="B27" s="26" t="s">
        <v>549</v>
      </c>
      <c r="C27" s="26" t="s">
        <v>1235</v>
      </c>
      <c r="D27" s="26" t="s">
        <v>527</v>
      </c>
      <c r="E27" s="26">
        <v>87</v>
      </c>
      <c r="F27" s="26">
        <v>86.130682000000022</v>
      </c>
      <c r="G27" s="26">
        <v>-0.8693179999999785</v>
      </c>
      <c r="H27" s="26">
        <v>0.8693179999999785</v>
      </c>
      <c r="I27" s="26" t="s">
        <v>1230</v>
      </c>
      <c r="J27" s="26" t="s">
        <v>1231</v>
      </c>
      <c r="K27" s="26" t="b">
        <v>0</v>
      </c>
      <c r="L27" s="26">
        <v>5</v>
      </c>
    </row>
    <row r="28" spans="1:12" x14ac:dyDescent="0.25">
      <c r="A28" s="26" t="s">
        <v>554</v>
      </c>
      <c r="B28" s="26" t="s">
        <v>549</v>
      </c>
      <c r="C28" s="26" t="s">
        <v>1236</v>
      </c>
      <c r="D28" s="26" t="s">
        <v>527</v>
      </c>
      <c r="E28" s="26">
        <v>115</v>
      </c>
      <c r="F28" s="26">
        <v>114.452659</v>
      </c>
      <c r="G28" s="26">
        <v>-0.54734099999998875</v>
      </c>
      <c r="H28" s="26">
        <v>0.54734099999998875</v>
      </c>
      <c r="I28" s="26" t="s">
        <v>1230</v>
      </c>
      <c r="J28" s="26" t="s">
        <v>1231</v>
      </c>
      <c r="K28" s="26" t="b">
        <v>0</v>
      </c>
      <c r="L28" s="26">
        <v>1</v>
      </c>
    </row>
    <row r="29" spans="1:12" x14ac:dyDescent="0.25">
      <c r="A29" s="26" t="s">
        <v>555</v>
      </c>
      <c r="B29" s="26" t="s">
        <v>549</v>
      </c>
      <c r="C29" s="26" t="s">
        <v>1237</v>
      </c>
      <c r="D29" s="26" t="s">
        <v>527</v>
      </c>
      <c r="E29" s="26">
        <v>121</v>
      </c>
      <c r="F29" s="26">
        <v>121.815493</v>
      </c>
      <c r="G29" s="26">
        <v>0.81549300000001779</v>
      </c>
      <c r="H29" s="26">
        <v>0.81549300000001779</v>
      </c>
      <c r="I29" s="26" t="s">
        <v>1230</v>
      </c>
      <c r="J29" s="26" t="s">
        <v>1231</v>
      </c>
      <c r="K29" s="26" t="b">
        <v>0</v>
      </c>
      <c r="L29" s="26">
        <v>2</v>
      </c>
    </row>
    <row r="30" spans="1:12" x14ac:dyDescent="0.25">
      <c r="A30" s="26" t="s">
        <v>556</v>
      </c>
      <c r="B30" s="26" t="s">
        <v>549</v>
      </c>
      <c r="C30" s="26" t="s">
        <v>1238</v>
      </c>
      <c r="D30" s="26" t="s">
        <v>527</v>
      </c>
      <c r="E30" s="26">
        <v>95</v>
      </c>
      <c r="F30" s="26">
        <v>95.561563000000007</v>
      </c>
      <c r="G30" s="26">
        <v>0.5615630000000067</v>
      </c>
      <c r="H30" s="26">
        <v>0.5615630000000067</v>
      </c>
      <c r="I30" s="26" t="s">
        <v>1230</v>
      </c>
      <c r="J30" s="26" t="s">
        <v>1231</v>
      </c>
      <c r="K30" s="26" t="b">
        <v>0</v>
      </c>
      <c r="L30" s="26">
        <v>3</v>
      </c>
    </row>
    <row r="31" spans="1:12" x14ac:dyDescent="0.25">
      <c r="A31" s="26" t="s">
        <v>557</v>
      </c>
      <c r="B31" s="26" t="s">
        <v>549</v>
      </c>
      <c r="C31" s="26" t="s">
        <v>1239</v>
      </c>
      <c r="D31" s="26" t="s">
        <v>527</v>
      </c>
      <c r="E31" s="26">
        <v>112</v>
      </c>
      <c r="F31" s="26">
        <v>114.65799699999999</v>
      </c>
      <c r="G31" s="26">
        <v>2.6579970000000088</v>
      </c>
      <c r="H31" s="26">
        <v>2.6579970000000088</v>
      </c>
      <c r="I31" s="26" t="s">
        <v>1230</v>
      </c>
      <c r="J31" s="26" t="s">
        <v>1231</v>
      </c>
      <c r="K31" s="26" t="b">
        <v>0</v>
      </c>
      <c r="L31" s="26">
        <v>4</v>
      </c>
    </row>
    <row r="32" spans="1:12" x14ac:dyDescent="0.25">
      <c r="A32" s="26" t="s">
        <v>558</v>
      </c>
      <c r="B32" s="26" t="s">
        <v>549</v>
      </c>
      <c r="C32" s="26" t="s">
        <v>1240</v>
      </c>
      <c r="D32" s="26" t="s">
        <v>527</v>
      </c>
      <c r="E32" s="26">
        <v>89</v>
      </c>
      <c r="F32" s="26">
        <v>89.450313000000008</v>
      </c>
      <c r="G32" s="26">
        <v>0.4503130000000084</v>
      </c>
      <c r="H32" s="26">
        <v>0.4503130000000084</v>
      </c>
      <c r="I32" s="26" t="s">
        <v>1230</v>
      </c>
      <c r="J32" s="26" t="s">
        <v>1231</v>
      </c>
      <c r="K32" s="26" t="b">
        <v>0</v>
      </c>
      <c r="L32" s="26">
        <v>5</v>
      </c>
    </row>
    <row r="33" spans="1:12" x14ac:dyDescent="0.25">
      <c r="A33" s="26" t="s">
        <v>559</v>
      </c>
      <c r="B33" s="26" t="s">
        <v>560</v>
      </c>
      <c r="C33" s="26" t="s">
        <v>1229</v>
      </c>
      <c r="D33" s="26" t="s">
        <v>527</v>
      </c>
      <c r="E33" s="26">
        <v>88</v>
      </c>
      <c r="F33" s="26">
        <v>89.596983000000009</v>
      </c>
      <c r="G33" s="26">
        <v>1.5969830000000089</v>
      </c>
      <c r="H33" s="26">
        <v>1.5969830000000089</v>
      </c>
      <c r="I33" s="26" t="s">
        <v>1230</v>
      </c>
      <c r="J33" s="26" t="s">
        <v>1231</v>
      </c>
      <c r="K33" s="26" t="b">
        <v>0</v>
      </c>
      <c r="L33" s="26">
        <v>1</v>
      </c>
    </row>
    <row r="34" spans="1:12" x14ac:dyDescent="0.25">
      <c r="A34" s="26" t="s">
        <v>561</v>
      </c>
      <c r="B34" s="26" t="s">
        <v>560</v>
      </c>
      <c r="C34" s="26" t="s">
        <v>1232</v>
      </c>
      <c r="D34" s="26" t="s">
        <v>527</v>
      </c>
      <c r="E34" s="26">
        <v>97</v>
      </c>
      <c r="F34" s="26">
        <v>96.431805000000011</v>
      </c>
      <c r="G34" s="26">
        <v>-0.56819499999998868</v>
      </c>
      <c r="H34" s="26">
        <v>0.56819499999998868</v>
      </c>
      <c r="I34" s="26" t="s">
        <v>1230</v>
      </c>
      <c r="J34" s="26" t="s">
        <v>1231</v>
      </c>
      <c r="K34" s="26" t="b">
        <v>0</v>
      </c>
      <c r="L34" s="26">
        <v>2</v>
      </c>
    </row>
    <row r="35" spans="1:12" x14ac:dyDescent="0.25">
      <c r="A35" s="26" t="s">
        <v>562</v>
      </c>
      <c r="B35" s="26" t="s">
        <v>560</v>
      </c>
      <c r="C35" s="26" t="s">
        <v>1233</v>
      </c>
      <c r="D35" s="26" t="s">
        <v>527</v>
      </c>
      <c r="E35" s="26">
        <v>114</v>
      </c>
      <c r="F35" s="26">
        <v>115.67979800000001</v>
      </c>
      <c r="G35" s="26">
        <v>1.679798000000005</v>
      </c>
      <c r="H35" s="26">
        <v>1.679798000000005</v>
      </c>
      <c r="I35" s="26" t="s">
        <v>1230</v>
      </c>
      <c r="J35" s="26" t="s">
        <v>1231</v>
      </c>
      <c r="K35" s="26" t="b">
        <v>0</v>
      </c>
      <c r="L35" s="26">
        <v>3</v>
      </c>
    </row>
    <row r="36" spans="1:12" x14ac:dyDescent="0.25">
      <c r="A36" s="26" t="s">
        <v>563</v>
      </c>
      <c r="B36" s="26" t="s">
        <v>560</v>
      </c>
      <c r="C36" s="26" t="s">
        <v>1234</v>
      </c>
      <c r="D36" s="26" t="s">
        <v>527</v>
      </c>
      <c r="E36" s="26">
        <v>88</v>
      </c>
      <c r="F36" s="26">
        <v>88.902744999999996</v>
      </c>
      <c r="G36" s="26">
        <v>0.90274499999999591</v>
      </c>
      <c r="H36" s="26">
        <v>0.90274499999999591</v>
      </c>
      <c r="I36" s="26" t="s">
        <v>1230</v>
      </c>
      <c r="J36" s="26" t="s">
        <v>1231</v>
      </c>
      <c r="K36" s="26" t="b">
        <v>0</v>
      </c>
      <c r="L36" s="26">
        <v>4</v>
      </c>
    </row>
    <row r="37" spans="1:12" x14ac:dyDescent="0.25">
      <c r="A37" s="26" t="s">
        <v>564</v>
      </c>
      <c r="B37" s="26" t="s">
        <v>560</v>
      </c>
      <c r="C37" s="26" t="s">
        <v>1235</v>
      </c>
      <c r="D37" s="26" t="s">
        <v>527</v>
      </c>
      <c r="E37" s="26">
        <v>112</v>
      </c>
      <c r="F37" s="26">
        <v>110.673462</v>
      </c>
      <c r="G37" s="26">
        <v>-1.3265379999999849</v>
      </c>
      <c r="H37" s="26">
        <v>1.3265379999999849</v>
      </c>
      <c r="I37" s="26" t="s">
        <v>1230</v>
      </c>
      <c r="J37" s="26" t="s">
        <v>1231</v>
      </c>
      <c r="K37" s="26" t="b">
        <v>0</v>
      </c>
      <c r="L37" s="26">
        <v>5</v>
      </c>
    </row>
    <row r="38" spans="1:12" x14ac:dyDescent="0.25">
      <c r="A38" s="26" t="s">
        <v>565</v>
      </c>
      <c r="B38" s="26" t="s">
        <v>560</v>
      </c>
      <c r="C38" s="26" t="s">
        <v>1236</v>
      </c>
      <c r="D38" s="26" t="s">
        <v>527</v>
      </c>
      <c r="E38" s="26">
        <v>104</v>
      </c>
      <c r="F38" s="26">
        <v>103.618635</v>
      </c>
      <c r="G38" s="26">
        <v>-0.38136499999998819</v>
      </c>
      <c r="H38" s="26">
        <v>0.38136499999998819</v>
      </c>
      <c r="I38" s="26" t="s">
        <v>1230</v>
      </c>
      <c r="J38" s="26" t="s">
        <v>1231</v>
      </c>
      <c r="K38" s="26" t="b">
        <v>0</v>
      </c>
      <c r="L38" s="26">
        <v>1</v>
      </c>
    </row>
    <row r="39" spans="1:12" x14ac:dyDescent="0.25">
      <c r="A39" s="26" t="s">
        <v>566</v>
      </c>
      <c r="B39" s="26" t="s">
        <v>560</v>
      </c>
      <c r="C39" s="26" t="s">
        <v>1237</v>
      </c>
      <c r="D39" s="26" t="s">
        <v>527</v>
      </c>
      <c r="E39" s="26">
        <v>115</v>
      </c>
      <c r="F39" s="26">
        <v>115.640686</v>
      </c>
      <c r="G39" s="26">
        <v>0.64068600000000231</v>
      </c>
      <c r="H39" s="26">
        <v>0.64068600000000231</v>
      </c>
      <c r="I39" s="26" t="s">
        <v>1230</v>
      </c>
      <c r="J39" s="26" t="s">
        <v>1231</v>
      </c>
      <c r="K39" s="26" t="b">
        <v>0</v>
      </c>
      <c r="L39" s="26">
        <v>2</v>
      </c>
    </row>
    <row r="40" spans="1:12" x14ac:dyDescent="0.25">
      <c r="A40" s="26" t="s">
        <v>567</v>
      </c>
      <c r="B40" s="26" t="s">
        <v>560</v>
      </c>
      <c r="C40" s="26" t="s">
        <v>1238</v>
      </c>
      <c r="D40" s="26" t="s">
        <v>527</v>
      </c>
      <c r="E40" s="26">
        <v>102</v>
      </c>
      <c r="F40" s="26">
        <v>100.02522</v>
      </c>
      <c r="G40" s="26">
        <v>-1.974779999999996</v>
      </c>
      <c r="H40" s="26">
        <v>1.974779999999996</v>
      </c>
      <c r="I40" s="26" t="s">
        <v>1230</v>
      </c>
      <c r="J40" s="26" t="s">
        <v>1231</v>
      </c>
      <c r="K40" s="26" t="b">
        <v>0</v>
      </c>
      <c r="L40" s="26">
        <v>3</v>
      </c>
    </row>
    <row r="41" spans="1:12" x14ac:dyDescent="0.25">
      <c r="A41" s="26" t="s">
        <v>568</v>
      </c>
      <c r="B41" s="26" t="s">
        <v>560</v>
      </c>
      <c r="C41" s="26" t="s">
        <v>1239</v>
      </c>
      <c r="D41" s="26" t="s">
        <v>527</v>
      </c>
      <c r="E41" s="26">
        <v>121</v>
      </c>
      <c r="F41" s="26">
        <v>120.60791</v>
      </c>
      <c r="G41" s="26">
        <v>-0.39208999999998179</v>
      </c>
      <c r="H41" s="26">
        <v>0.39208999999998179</v>
      </c>
      <c r="I41" s="26" t="s">
        <v>1230</v>
      </c>
      <c r="J41" s="26" t="s">
        <v>1231</v>
      </c>
      <c r="K41" s="26" t="b">
        <v>0</v>
      </c>
      <c r="L41" s="26">
        <v>4</v>
      </c>
    </row>
    <row r="42" spans="1:12" x14ac:dyDescent="0.25">
      <c r="A42" s="26" t="s">
        <v>569</v>
      </c>
      <c r="B42" s="26" t="s">
        <v>560</v>
      </c>
      <c r="C42" s="26" t="s">
        <v>1240</v>
      </c>
      <c r="D42" s="26" t="s">
        <v>527</v>
      </c>
      <c r="E42" s="26">
        <v>119</v>
      </c>
      <c r="F42" s="26">
        <v>119.39054899999999</v>
      </c>
      <c r="G42" s="26">
        <v>0.39054900000000708</v>
      </c>
      <c r="H42" s="26">
        <v>0.39054900000000708</v>
      </c>
      <c r="I42" s="26" t="s">
        <v>1230</v>
      </c>
      <c r="J42" s="26" t="s">
        <v>1231</v>
      </c>
      <c r="K42" s="26" t="b">
        <v>0</v>
      </c>
      <c r="L42" s="26">
        <v>5</v>
      </c>
    </row>
    <row r="43" spans="1:12" x14ac:dyDescent="0.25">
      <c r="A43" s="26" t="s">
        <v>570</v>
      </c>
      <c r="B43" s="26" t="s">
        <v>571</v>
      </c>
      <c r="C43" s="26" t="s">
        <v>1229</v>
      </c>
      <c r="D43" s="26" t="s">
        <v>527</v>
      </c>
      <c r="E43" s="26">
        <v>100</v>
      </c>
      <c r="F43" s="26">
        <v>100.181668</v>
      </c>
      <c r="G43" s="26">
        <v>0.18166800000001609</v>
      </c>
      <c r="H43" s="26">
        <v>0.18166800000001609</v>
      </c>
      <c r="I43" s="26" t="s">
        <v>1230</v>
      </c>
      <c r="J43" s="26" t="s">
        <v>1231</v>
      </c>
      <c r="K43" s="26" t="b">
        <v>0</v>
      </c>
      <c r="L43" s="26">
        <v>1</v>
      </c>
    </row>
    <row r="44" spans="1:12" x14ac:dyDescent="0.25">
      <c r="A44" s="26" t="s">
        <v>572</v>
      </c>
      <c r="B44" s="26" t="s">
        <v>571</v>
      </c>
      <c r="C44" s="26" t="s">
        <v>1232</v>
      </c>
      <c r="D44" s="26" t="s">
        <v>527</v>
      </c>
      <c r="E44" s="26">
        <v>123</v>
      </c>
      <c r="F44" s="26">
        <v>124.95912</v>
      </c>
      <c r="G44" s="26">
        <v>1.9591199999999991</v>
      </c>
      <c r="H44" s="26">
        <v>1.9591199999999991</v>
      </c>
      <c r="I44" s="26" t="s">
        <v>1230</v>
      </c>
      <c r="J44" s="26" t="s">
        <v>1231</v>
      </c>
      <c r="K44" s="26" t="b">
        <v>0</v>
      </c>
      <c r="L44" s="26">
        <v>2</v>
      </c>
    </row>
    <row r="45" spans="1:12" x14ac:dyDescent="0.25">
      <c r="A45" s="26" t="s">
        <v>573</v>
      </c>
      <c r="B45" s="26" t="s">
        <v>571</v>
      </c>
      <c r="C45" s="26" t="s">
        <v>1233</v>
      </c>
      <c r="D45" s="26" t="s">
        <v>527</v>
      </c>
      <c r="E45" s="26">
        <v>113</v>
      </c>
      <c r="F45" s="26">
        <v>114.183764</v>
      </c>
      <c r="G45" s="26">
        <v>1.1837640000000109</v>
      </c>
      <c r="H45" s="26">
        <v>1.1837640000000109</v>
      </c>
      <c r="I45" s="26" t="s">
        <v>1230</v>
      </c>
      <c r="J45" s="26" t="s">
        <v>1231</v>
      </c>
      <c r="K45" s="26" t="b">
        <v>0</v>
      </c>
      <c r="L45" s="26">
        <v>3</v>
      </c>
    </row>
    <row r="46" spans="1:12" x14ac:dyDescent="0.25">
      <c r="A46" s="26" t="s">
        <v>574</v>
      </c>
      <c r="B46" s="26" t="s">
        <v>571</v>
      </c>
      <c r="C46" s="26" t="s">
        <v>1234</v>
      </c>
      <c r="D46" s="26" t="s">
        <v>527</v>
      </c>
      <c r="E46" s="26">
        <v>105</v>
      </c>
      <c r="F46" s="26">
        <v>104.997333</v>
      </c>
      <c r="G46" s="26">
        <v>-2.666999999988207E-3</v>
      </c>
      <c r="H46" s="26">
        <v>2.666999999988207E-3</v>
      </c>
      <c r="I46" s="26" t="s">
        <v>1230</v>
      </c>
      <c r="J46" s="26" t="s">
        <v>1231</v>
      </c>
      <c r="K46" s="26" t="b">
        <v>0</v>
      </c>
      <c r="L46" s="26">
        <v>4</v>
      </c>
    </row>
    <row r="47" spans="1:12" x14ac:dyDescent="0.25">
      <c r="A47" s="26" t="s">
        <v>575</v>
      </c>
      <c r="B47" s="26" t="s">
        <v>571</v>
      </c>
      <c r="C47" s="26" t="s">
        <v>1235</v>
      </c>
      <c r="D47" s="26" t="s">
        <v>527</v>
      </c>
      <c r="E47" s="26">
        <v>108</v>
      </c>
      <c r="F47" s="26">
        <v>108.321853</v>
      </c>
      <c r="G47" s="26">
        <v>0.32185300000000439</v>
      </c>
      <c r="H47" s="26">
        <v>0.32185300000000439</v>
      </c>
      <c r="I47" s="26" t="s">
        <v>1230</v>
      </c>
      <c r="J47" s="26" t="s">
        <v>1231</v>
      </c>
      <c r="K47" s="26" t="b">
        <v>0</v>
      </c>
      <c r="L47" s="26">
        <v>5</v>
      </c>
    </row>
    <row r="48" spans="1:12" x14ac:dyDescent="0.25">
      <c r="A48" s="26" t="s">
        <v>576</v>
      </c>
      <c r="B48" s="26" t="s">
        <v>571</v>
      </c>
      <c r="C48" s="26" t="s">
        <v>1236</v>
      </c>
      <c r="D48" s="26" t="s">
        <v>527</v>
      </c>
      <c r="E48" s="26">
        <v>100</v>
      </c>
      <c r="F48" s="26">
        <v>100.63634500000001</v>
      </c>
      <c r="G48" s="26">
        <v>0.63634500000000571</v>
      </c>
      <c r="H48" s="26">
        <v>0.63634500000000571</v>
      </c>
      <c r="I48" s="26" t="s">
        <v>1230</v>
      </c>
      <c r="J48" s="26" t="s">
        <v>1231</v>
      </c>
      <c r="K48" s="26" t="b">
        <v>0</v>
      </c>
      <c r="L48" s="26">
        <v>1</v>
      </c>
    </row>
    <row r="49" spans="1:12" x14ac:dyDescent="0.25">
      <c r="A49" s="26" t="s">
        <v>577</v>
      </c>
      <c r="B49" s="26" t="s">
        <v>571</v>
      </c>
      <c r="C49" s="26" t="s">
        <v>1237</v>
      </c>
      <c r="D49" s="26" t="s">
        <v>527</v>
      </c>
      <c r="E49" s="26">
        <v>95</v>
      </c>
      <c r="F49" s="26">
        <v>95.938016000000005</v>
      </c>
      <c r="G49" s="26">
        <v>0.93801600000000462</v>
      </c>
      <c r="H49" s="26">
        <v>0.93801600000000462</v>
      </c>
      <c r="I49" s="26" t="s">
        <v>1230</v>
      </c>
      <c r="J49" s="26" t="s">
        <v>1231</v>
      </c>
      <c r="K49" s="26" t="b">
        <v>0</v>
      </c>
      <c r="L49" s="26">
        <v>2</v>
      </c>
    </row>
    <row r="50" spans="1:12" x14ac:dyDescent="0.25">
      <c r="A50" s="26" t="s">
        <v>578</v>
      </c>
      <c r="B50" s="26" t="s">
        <v>571</v>
      </c>
      <c r="C50" s="26" t="s">
        <v>1238</v>
      </c>
      <c r="D50" s="26" t="s">
        <v>527</v>
      </c>
      <c r="E50" s="26">
        <v>110</v>
      </c>
      <c r="F50" s="26">
        <v>106.72315</v>
      </c>
      <c r="G50" s="26">
        <v>-3.2768499999999818</v>
      </c>
      <c r="H50" s="26">
        <v>3.2768499999999818</v>
      </c>
      <c r="I50" s="26" t="s">
        <v>1230</v>
      </c>
      <c r="J50" s="26" t="s">
        <v>1231</v>
      </c>
      <c r="K50" s="26" t="b">
        <v>0</v>
      </c>
      <c r="L50" s="26">
        <v>3</v>
      </c>
    </row>
    <row r="51" spans="1:12" x14ac:dyDescent="0.25">
      <c r="A51" s="26" t="s">
        <v>579</v>
      </c>
      <c r="B51" s="26" t="s">
        <v>571</v>
      </c>
      <c r="C51" s="26" t="s">
        <v>1239</v>
      </c>
      <c r="D51" s="26" t="s">
        <v>527</v>
      </c>
      <c r="E51" s="26">
        <v>103</v>
      </c>
      <c r="F51" s="26">
        <v>102.533277</v>
      </c>
      <c r="G51" s="26">
        <v>-0.46672300000000178</v>
      </c>
      <c r="H51" s="26">
        <v>0.46672300000000178</v>
      </c>
      <c r="I51" s="26" t="s">
        <v>1230</v>
      </c>
      <c r="J51" s="26" t="s">
        <v>1231</v>
      </c>
      <c r="K51" s="26" t="b">
        <v>0</v>
      </c>
      <c r="L51" s="26">
        <v>4</v>
      </c>
    </row>
    <row r="52" spans="1:12" x14ac:dyDescent="0.25">
      <c r="A52" s="26" t="s">
        <v>580</v>
      </c>
      <c r="B52" s="26" t="s">
        <v>571</v>
      </c>
      <c r="C52" s="26" t="s">
        <v>1240</v>
      </c>
      <c r="D52" s="26" t="s">
        <v>527</v>
      </c>
      <c r="E52" s="26">
        <v>112</v>
      </c>
      <c r="F52" s="26">
        <v>109.270319</v>
      </c>
      <c r="G52" s="26">
        <v>-2.7296809999999989</v>
      </c>
      <c r="H52" s="26">
        <v>2.7296809999999989</v>
      </c>
      <c r="I52" s="26" t="s">
        <v>1230</v>
      </c>
      <c r="J52" s="26" t="s">
        <v>1231</v>
      </c>
      <c r="K52" s="26" t="b">
        <v>0</v>
      </c>
      <c r="L52" s="26">
        <v>5</v>
      </c>
    </row>
    <row r="53" spans="1:12" x14ac:dyDescent="0.25">
      <c r="A53" s="26" t="s">
        <v>581</v>
      </c>
      <c r="B53" s="26" t="s">
        <v>582</v>
      </c>
      <c r="C53" s="26" t="s">
        <v>1229</v>
      </c>
      <c r="D53" s="26" t="s">
        <v>527</v>
      </c>
      <c r="E53" s="26">
        <v>93</v>
      </c>
      <c r="F53" s="26">
        <v>95.502895000000009</v>
      </c>
      <c r="G53" s="26">
        <v>2.502895000000009</v>
      </c>
      <c r="H53" s="26">
        <v>2.502895000000009</v>
      </c>
      <c r="I53" s="26" t="s">
        <v>1230</v>
      </c>
      <c r="J53" s="26" t="s">
        <v>1231</v>
      </c>
      <c r="K53" s="26" t="b">
        <v>0</v>
      </c>
      <c r="L53" s="26">
        <v>1</v>
      </c>
    </row>
    <row r="54" spans="1:12" x14ac:dyDescent="0.25">
      <c r="A54" s="26" t="s">
        <v>583</v>
      </c>
      <c r="B54" s="26" t="s">
        <v>582</v>
      </c>
      <c r="C54" s="26" t="s">
        <v>1232</v>
      </c>
      <c r="D54" s="26" t="s">
        <v>527</v>
      </c>
      <c r="E54" s="26">
        <v>97</v>
      </c>
      <c r="F54" s="26">
        <v>97.082042000000015</v>
      </c>
      <c r="G54" s="26">
        <v>8.2042000000015491E-2</v>
      </c>
      <c r="H54" s="26">
        <v>8.2042000000015491E-2</v>
      </c>
      <c r="I54" s="26" t="s">
        <v>1230</v>
      </c>
      <c r="J54" s="26" t="s">
        <v>1231</v>
      </c>
      <c r="K54" s="26" t="b">
        <v>0</v>
      </c>
      <c r="L54" s="26">
        <v>2</v>
      </c>
    </row>
    <row r="55" spans="1:12" x14ac:dyDescent="0.25">
      <c r="A55" s="26" t="s">
        <v>584</v>
      </c>
      <c r="B55" s="26" t="s">
        <v>582</v>
      </c>
      <c r="C55" s="26" t="s">
        <v>1233</v>
      </c>
      <c r="D55" s="26" t="s">
        <v>527</v>
      </c>
      <c r="E55" s="26">
        <v>86</v>
      </c>
      <c r="F55" s="26">
        <v>87.993391000000003</v>
      </c>
      <c r="G55" s="26">
        <v>1.993391000000003</v>
      </c>
      <c r="H55" s="26">
        <v>1.993391000000003</v>
      </c>
      <c r="I55" s="26" t="s">
        <v>1230</v>
      </c>
      <c r="J55" s="26" t="s">
        <v>1231</v>
      </c>
      <c r="K55" s="26" t="b">
        <v>0</v>
      </c>
      <c r="L55" s="26">
        <v>3</v>
      </c>
    </row>
    <row r="56" spans="1:12" x14ac:dyDescent="0.25">
      <c r="A56" s="26" t="s">
        <v>585</v>
      </c>
      <c r="B56" s="26" t="s">
        <v>582</v>
      </c>
      <c r="C56" s="26" t="s">
        <v>1234</v>
      </c>
      <c r="D56" s="26" t="s">
        <v>527</v>
      </c>
      <c r="E56" s="26">
        <v>94</v>
      </c>
      <c r="F56" s="26">
        <v>94.989550000000008</v>
      </c>
      <c r="G56" s="26">
        <v>0.98955000000000837</v>
      </c>
      <c r="H56" s="26">
        <v>0.98955000000000837</v>
      </c>
      <c r="I56" s="26" t="s">
        <v>1230</v>
      </c>
      <c r="J56" s="26" t="s">
        <v>1231</v>
      </c>
      <c r="K56" s="26" t="b">
        <v>0</v>
      </c>
      <c r="L56" s="26">
        <v>4</v>
      </c>
    </row>
    <row r="57" spans="1:12" x14ac:dyDescent="0.25">
      <c r="A57" s="26" t="s">
        <v>586</v>
      </c>
      <c r="B57" s="26" t="s">
        <v>582</v>
      </c>
      <c r="C57" s="26" t="s">
        <v>1235</v>
      </c>
      <c r="D57" s="26" t="s">
        <v>527</v>
      </c>
      <c r="E57" s="26">
        <v>106</v>
      </c>
      <c r="F57" s="26">
        <v>104.024422</v>
      </c>
      <c r="G57" s="26">
        <v>-1.9755779999999989</v>
      </c>
      <c r="H57" s="26">
        <v>1.9755779999999989</v>
      </c>
      <c r="I57" s="26" t="s">
        <v>1230</v>
      </c>
      <c r="J57" s="26" t="s">
        <v>1231</v>
      </c>
      <c r="K57" s="26" t="b">
        <v>0</v>
      </c>
      <c r="L57" s="26">
        <v>5</v>
      </c>
    </row>
    <row r="58" spans="1:12" x14ac:dyDescent="0.25">
      <c r="A58" s="26" t="s">
        <v>587</v>
      </c>
      <c r="B58" s="26" t="s">
        <v>582</v>
      </c>
      <c r="C58" s="26" t="s">
        <v>1236</v>
      </c>
      <c r="D58" s="26" t="s">
        <v>527</v>
      </c>
      <c r="E58" s="26">
        <v>93</v>
      </c>
      <c r="F58" s="26">
        <v>93.156175000000005</v>
      </c>
      <c r="G58" s="26">
        <v>0.15617500000000459</v>
      </c>
      <c r="H58" s="26">
        <v>0.15617500000000459</v>
      </c>
      <c r="I58" s="26" t="s">
        <v>1230</v>
      </c>
      <c r="J58" s="26" t="s">
        <v>1231</v>
      </c>
      <c r="K58" s="26" t="b">
        <v>0</v>
      </c>
      <c r="L58" s="26">
        <v>1</v>
      </c>
    </row>
    <row r="59" spans="1:12" x14ac:dyDescent="0.25">
      <c r="A59" s="26" t="s">
        <v>588</v>
      </c>
      <c r="B59" s="26" t="s">
        <v>582</v>
      </c>
      <c r="C59" s="26" t="s">
        <v>1237</v>
      </c>
      <c r="D59" s="26" t="s">
        <v>527</v>
      </c>
      <c r="E59" s="26">
        <v>104</v>
      </c>
      <c r="F59" s="26">
        <v>103.452409</v>
      </c>
      <c r="G59" s="26">
        <v>-0.54759099999998284</v>
      </c>
      <c r="H59" s="26">
        <v>0.54759099999998284</v>
      </c>
      <c r="I59" s="26" t="s">
        <v>1230</v>
      </c>
      <c r="J59" s="26" t="s">
        <v>1231</v>
      </c>
      <c r="K59" s="26" t="b">
        <v>0</v>
      </c>
      <c r="L59" s="26">
        <v>2</v>
      </c>
    </row>
    <row r="60" spans="1:12" x14ac:dyDescent="0.25">
      <c r="A60" s="26" t="s">
        <v>589</v>
      </c>
      <c r="B60" s="26" t="s">
        <v>582</v>
      </c>
      <c r="C60" s="26" t="s">
        <v>1238</v>
      </c>
      <c r="D60" s="26" t="s">
        <v>527</v>
      </c>
      <c r="E60" s="26">
        <v>84</v>
      </c>
      <c r="F60" s="26">
        <v>81.442131000000003</v>
      </c>
      <c r="G60" s="26">
        <v>-2.5578689999999971</v>
      </c>
      <c r="H60" s="26">
        <v>2.5578689999999971</v>
      </c>
      <c r="I60" s="26" t="s">
        <v>1230</v>
      </c>
      <c r="J60" s="26" t="s">
        <v>1231</v>
      </c>
      <c r="K60" s="26" t="b">
        <v>0</v>
      </c>
      <c r="L60" s="26">
        <v>3</v>
      </c>
    </row>
    <row r="61" spans="1:12" x14ac:dyDescent="0.25">
      <c r="A61" s="26" t="s">
        <v>590</v>
      </c>
      <c r="B61" s="26" t="s">
        <v>582</v>
      </c>
      <c r="C61" s="26" t="s">
        <v>1239</v>
      </c>
      <c r="D61" s="26" t="s">
        <v>527</v>
      </c>
      <c r="E61" s="26">
        <v>103</v>
      </c>
      <c r="F61" s="26">
        <v>101.853706</v>
      </c>
      <c r="G61" s="26">
        <v>-1.146293999999997</v>
      </c>
      <c r="H61" s="26">
        <v>1.146293999999997</v>
      </c>
      <c r="I61" s="26" t="s">
        <v>1230</v>
      </c>
      <c r="J61" s="26" t="s">
        <v>1231</v>
      </c>
      <c r="K61" s="26" t="b">
        <v>0</v>
      </c>
      <c r="L61" s="26">
        <v>4</v>
      </c>
    </row>
    <row r="62" spans="1:12" x14ac:dyDescent="0.25">
      <c r="A62" s="26" t="s">
        <v>591</v>
      </c>
      <c r="B62" s="26" t="s">
        <v>582</v>
      </c>
      <c r="C62" s="26" t="s">
        <v>1240</v>
      </c>
      <c r="D62" s="26" t="s">
        <v>527</v>
      </c>
      <c r="E62" s="26">
        <v>104</v>
      </c>
      <c r="F62" s="26">
        <v>103.716415</v>
      </c>
      <c r="G62" s="26">
        <v>-0.28358499999998799</v>
      </c>
      <c r="H62" s="26">
        <v>0.28358499999998799</v>
      </c>
      <c r="I62" s="26" t="s">
        <v>1230</v>
      </c>
      <c r="J62" s="26" t="s">
        <v>1231</v>
      </c>
      <c r="K62" s="26" t="b">
        <v>0</v>
      </c>
      <c r="L62" s="26">
        <v>5</v>
      </c>
    </row>
    <row r="63" spans="1:12" x14ac:dyDescent="0.25">
      <c r="A63" s="26" t="s">
        <v>592</v>
      </c>
      <c r="B63" s="26" t="s">
        <v>593</v>
      </c>
      <c r="C63" s="26" t="s">
        <v>1229</v>
      </c>
      <c r="D63" s="26" t="s">
        <v>527</v>
      </c>
      <c r="E63" s="26">
        <v>89</v>
      </c>
      <c r="F63" s="26">
        <v>89.166751000000005</v>
      </c>
      <c r="G63" s="26">
        <v>0.16675100000000501</v>
      </c>
      <c r="H63" s="26">
        <v>0.16675100000000501</v>
      </c>
      <c r="I63" s="26" t="s">
        <v>1230</v>
      </c>
      <c r="J63" s="26" t="s">
        <v>1231</v>
      </c>
      <c r="K63" s="26" t="b">
        <v>0</v>
      </c>
      <c r="L63" s="26">
        <v>1</v>
      </c>
    </row>
    <row r="64" spans="1:12" x14ac:dyDescent="0.25">
      <c r="A64" s="26" t="s">
        <v>594</v>
      </c>
      <c r="B64" s="26" t="s">
        <v>593</v>
      </c>
      <c r="C64" s="26" t="s">
        <v>1232</v>
      </c>
      <c r="D64" s="26" t="s">
        <v>527</v>
      </c>
      <c r="E64" s="26">
        <v>95</v>
      </c>
      <c r="F64" s="26">
        <v>92.652608000000015</v>
      </c>
      <c r="G64" s="26">
        <v>-2.347391999999985</v>
      </c>
      <c r="H64" s="26">
        <v>2.347391999999985</v>
      </c>
      <c r="I64" s="26" t="s">
        <v>1230</v>
      </c>
      <c r="J64" s="26" t="s">
        <v>1231</v>
      </c>
      <c r="K64" s="26" t="b">
        <v>0</v>
      </c>
      <c r="L64" s="26">
        <v>2</v>
      </c>
    </row>
    <row r="65" spans="1:12" x14ac:dyDescent="0.25">
      <c r="A65" s="26" t="s">
        <v>595</v>
      </c>
      <c r="B65" s="26" t="s">
        <v>593</v>
      </c>
      <c r="C65" s="26" t="s">
        <v>1233</v>
      </c>
      <c r="D65" s="26" t="s">
        <v>527</v>
      </c>
      <c r="E65" s="26">
        <v>113</v>
      </c>
      <c r="F65" s="26">
        <v>114.83889000000001</v>
      </c>
      <c r="G65" s="26">
        <v>1.838890000000021</v>
      </c>
      <c r="H65" s="26">
        <v>1.838890000000021</v>
      </c>
      <c r="I65" s="26" t="s">
        <v>1230</v>
      </c>
      <c r="J65" s="26" t="s">
        <v>1231</v>
      </c>
      <c r="K65" s="26" t="b">
        <v>0</v>
      </c>
      <c r="L65" s="26">
        <v>3</v>
      </c>
    </row>
    <row r="66" spans="1:12" x14ac:dyDescent="0.25">
      <c r="A66" s="26" t="s">
        <v>596</v>
      </c>
      <c r="B66" s="26" t="s">
        <v>593</v>
      </c>
      <c r="C66" s="26" t="s">
        <v>1234</v>
      </c>
      <c r="D66" s="26" t="s">
        <v>527</v>
      </c>
      <c r="E66" s="26">
        <v>107</v>
      </c>
      <c r="F66" s="26">
        <v>106.791596</v>
      </c>
      <c r="G66" s="26">
        <v>-0.2084039999999874</v>
      </c>
      <c r="H66" s="26">
        <v>0.2084039999999874</v>
      </c>
      <c r="I66" s="26" t="s">
        <v>1230</v>
      </c>
      <c r="J66" s="26" t="s">
        <v>1231</v>
      </c>
      <c r="K66" s="26" t="b">
        <v>0</v>
      </c>
      <c r="L66" s="26">
        <v>4</v>
      </c>
    </row>
    <row r="67" spans="1:12" x14ac:dyDescent="0.25">
      <c r="A67" s="26" t="s">
        <v>597</v>
      </c>
      <c r="B67" s="26" t="s">
        <v>593</v>
      </c>
      <c r="C67" s="26" t="s">
        <v>1235</v>
      </c>
      <c r="D67" s="26" t="s">
        <v>527</v>
      </c>
      <c r="E67" s="26">
        <v>82</v>
      </c>
      <c r="F67" s="26">
        <v>82.586157000000014</v>
      </c>
      <c r="G67" s="26">
        <v>0.58615700000001425</v>
      </c>
      <c r="H67" s="26">
        <v>0.58615700000001425</v>
      </c>
      <c r="I67" s="26" t="s">
        <v>1230</v>
      </c>
      <c r="J67" s="26" t="s">
        <v>1231</v>
      </c>
      <c r="K67" s="26" t="b">
        <v>0</v>
      </c>
      <c r="L67" s="26">
        <v>5</v>
      </c>
    </row>
    <row r="68" spans="1:12" x14ac:dyDescent="0.25">
      <c r="A68" s="26" t="s">
        <v>598</v>
      </c>
      <c r="B68" s="26" t="s">
        <v>593</v>
      </c>
      <c r="C68" s="26" t="s">
        <v>1236</v>
      </c>
      <c r="D68" s="26" t="s">
        <v>527</v>
      </c>
      <c r="E68" s="26">
        <v>106</v>
      </c>
      <c r="F68" s="26">
        <v>106.68892700000001</v>
      </c>
      <c r="G68" s="26">
        <v>0.68892700000000673</v>
      </c>
      <c r="H68" s="26">
        <v>0.68892700000000673</v>
      </c>
      <c r="I68" s="26" t="s">
        <v>1230</v>
      </c>
      <c r="J68" s="26" t="s">
        <v>1231</v>
      </c>
      <c r="K68" s="26" t="b">
        <v>0</v>
      </c>
      <c r="L68" s="26">
        <v>1</v>
      </c>
    </row>
    <row r="69" spans="1:12" x14ac:dyDescent="0.25">
      <c r="A69" s="26" t="s">
        <v>599</v>
      </c>
      <c r="B69" s="26" t="s">
        <v>593</v>
      </c>
      <c r="C69" s="26" t="s">
        <v>1237</v>
      </c>
      <c r="D69" s="26" t="s">
        <v>527</v>
      </c>
      <c r="E69" s="26">
        <v>115</v>
      </c>
      <c r="F69" s="26">
        <v>113.416191</v>
      </c>
      <c r="G69" s="26">
        <v>-1.583808999999988</v>
      </c>
      <c r="H69" s="26">
        <v>1.583808999999988</v>
      </c>
      <c r="I69" s="26" t="s">
        <v>1230</v>
      </c>
      <c r="J69" s="26" t="s">
        <v>1231</v>
      </c>
      <c r="K69" s="26" t="b">
        <v>0</v>
      </c>
      <c r="L69" s="26">
        <v>2</v>
      </c>
    </row>
    <row r="70" spans="1:12" x14ac:dyDescent="0.25">
      <c r="A70" s="26" t="s">
        <v>600</v>
      </c>
      <c r="B70" s="26" t="s">
        <v>593</v>
      </c>
      <c r="C70" s="26" t="s">
        <v>1238</v>
      </c>
      <c r="D70" s="26" t="s">
        <v>527</v>
      </c>
      <c r="E70" s="26">
        <v>109</v>
      </c>
      <c r="F70" s="26">
        <v>109.720107</v>
      </c>
      <c r="G70" s="26">
        <v>0.72010700000001293</v>
      </c>
      <c r="H70" s="26">
        <v>0.72010700000001293</v>
      </c>
      <c r="I70" s="26" t="s">
        <v>1230</v>
      </c>
      <c r="J70" s="26" t="s">
        <v>1231</v>
      </c>
      <c r="K70" s="26" t="b">
        <v>0</v>
      </c>
      <c r="L70" s="26">
        <v>3</v>
      </c>
    </row>
    <row r="71" spans="1:12" x14ac:dyDescent="0.25">
      <c r="A71" s="26" t="s">
        <v>601</v>
      </c>
      <c r="B71" s="26" t="s">
        <v>593</v>
      </c>
      <c r="C71" s="26" t="s">
        <v>1239</v>
      </c>
      <c r="D71" s="26" t="s">
        <v>527</v>
      </c>
      <c r="E71" s="26">
        <v>115</v>
      </c>
      <c r="F71" s="26">
        <v>114.149541</v>
      </c>
      <c r="G71" s="26">
        <v>-0.85045899999998653</v>
      </c>
      <c r="H71" s="26">
        <v>0.85045899999998653</v>
      </c>
      <c r="I71" s="26" t="s">
        <v>1230</v>
      </c>
      <c r="J71" s="26" t="s">
        <v>1231</v>
      </c>
      <c r="K71" s="26" t="b">
        <v>0</v>
      </c>
      <c r="L71" s="26">
        <v>4</v>
      </c>
    </row>
    <row r="72" spans="1:12" x14ac:dyDescent="0.25">
      <c r="A72" s="26" t="s">
        <v>602</v>
      </c>
      <c r="B72" s="26" t="s">
        <v>593</v>
      </c>
      <c r="C72" s="26" t="s">
        <v>1240</v>
      </c>
      <c r="D72" s="26" t="s">
        <v>527</v>
      </c>
      <c r="E72" s="26">
        <v>106</v>
      </c>
      <c r="F72" s="26">
        <v>104.430209</v>
      </c>
      <c r="G72" s="26">
        <v>-1.5697909999999951</v>
      </c>
      <c r="H72" s="26">
        <v>1.5697909999999951</v>
      </c>
      <c r="I72" s="26" t="s">
        <v>1230</v>
      </c>
      <c r="J72" s="26" t="s">
        <v>1231</v>
      </c>
      <c r="K72" s="26" t="b">
        <v>0</v>
      </c>
      <c r="L72" s="26">
        <v>5</v>
      </c>
    </row>
    <row r="73" spans="1:12" x14ac:dyDescent="0.25">
      <c r="A73" s="26" t="s">
        <v>603</v>
      </c>
      <c r="B73" s="26" t="s">
        <v>604</v>
      </c>
      <c r="C73" s="26" t="s">
        <v>1229</v>
      </c>
      <c r="D73" s="26" t="s">
        <v>527</v>
      </c>
      <c r="E73" s="26">
        <v>119</v>
      </c>
      <c r="F73" s="26">
        <v>119.698556</v>
      </c>
      <c r="G73" s="26">
        <v>0.69855600000001061</v>
      </c>
      <c r="H73" s="26">
        <v>0.69855600000001061</v>
      </c>
      <c r="I73" s="26" t="s">
        <v>1230</v>
      </c>
      <c r="J73" s="26" t="s">
        <v>1231</v>
      </c>
      <c r="K73" s="26" t="b">
        <v>0</v>
      </c>
      <c r="L73" s="26">
        <v>1</v>
      </c>
    </row>
    <row r="74" spans="1:12" x14ac:dyDescent="0.25">
      <c r="A74" s="26" t="s">
        <v>605</v>
      </c>
      <c r="B74" s="26" t="s">
        <v>604</v>
      </c>
      <c r="C74" s="26" t="s">
        <v>1232</v>
      </c>
      <c r="D74" s="26" t="s">
        <v>527</v>
      </c>
      <c r="E74" s="26">
        <v>96</v>
      </c>
      <c r="F74" s="26">
        <v>98.807859000000022</v>
      </c>
      <c r="G74" s="26">
        <v>2.8078590000000219</v>
      </c>
      <c r="H74" s="26">
        <v>2.8078590000000219</v>
      </c>
      <c r="I74" s="26" t="s">
        <v>1230</v>
      </c>
      <c r="J74" s="26" t="s">
        <v>1231</v>
      </c>
      <c r="K74" s="26" t="b">
        <v>0</v>
      </c>
      <c r="L74" s="26">
        <v>2</v>
      </c>
    </row>
    <row r="75" spans="1:12" x14ac:dyDescent="0.25">
      <c r="A75" s="26" t="s">
        <v>606</v>
      </c>
      <c r="B75" s="26" t="s">
        <v>604</v>
      </c>
      <c r="C75" s="26" t="s">
        <v>1233</v>
      </c>
      <c r="D75" s="26" t="s">
        <v>527</v>
      </c>
      <c r="E75" s="26">
        <v>89</v>
      </c>
      <c r="F75" s="26">
        <v>90.628562000000002</v>
      </c>
      <c r="G75" s="26">
        <v>1.6285620000000021</v>
      </c>
      <c r="H75" s="26">
        <v>1.6285620000000021</v>
      </c>
      <c r="I75" s="26" t="s">
        <v>1230</v>
      </c>
      <c r="J75" s="26" t="s">
        <v>1231</v>
      </c>
      <c r="K75" s="26" t="b">
        <v>0</v>
      </c>
      <c r="L75" s="26">
        <v>3</v>
      </c>
    </row>
    <row r="76" spans="1:12" x14ac:dyDescent="0.25">
      <c r="A76" s="26" t="s">
        <v>607</v>
      </c>
      <c r="B76" s="26" t="s">
        <v>604</v>
      </c>
      <c r="C76" s="26" t="s">
        <v>1234</v>
      </c>
      <c r="D76" s="26" t="s">
        <v>527</v>
      </c>
      <c r="E76" s="26">
        <v>109</v>
      </c>
      <c r="F76" s="26">
        <v>110.53168100000001</v>
      </c>
      <c r="G76" s="26">
        <v>1.5316810000000201</v>
      </c>
      <c r="H76" s="26">
        <v>1.5316810000000201</v>
      </c>
      <c r="I76" s="26" t="s">
        <v>1230</v>
      </c>
      <c r="J76" s="26" t="s">
        <v>1231</v>
      </c>
      <c r="K76" s="26" t="b">
        <v>0</v>
      </c>
      <c r="L76" s="26">
        <v>4</v>
      </c>
    </row>
    <row r="77" spans="1:12" x14ac:dyDescent="0.25">
      <c r="A77" s="26" t="s">
        <v>608</v>
      </c>
      <c r="B77" s="26" t="s">
        <v>604</v>
      </c>
      <c r="C77" s="26" t="s">
        <v>1235</v>
      </c>
      <c r="D77" s="26" t="s">
        <v>527</v>
      </c>
      <c r="E77" s="26">
        <v>105</v>
      </c>
      <c r="F77" s="26">
        <v>104.107535</v>
      </c>
      <c r="G77" s="26">
        <v>-0.89246499999998719</v>
      </c>
      <c r="H77" s="26">
        <v>0.89246499999998719</v>
      </c>
      <c r="I77" s="26" t="s">
        <v>1230</v>
      </c>
      <c r="J77" s="26" t="s">
        <v>1231</v>
      </c>
      <c r="K77" s="26" t="b">
        <v>0</v>
      </c>
      <c r="L77" s="26">
        <v>5</v>
      </c>
    </row>
    <row r="78" spans="1:12" x14ac:dyDescent="0.25">
      <c r="A78" s="26" t="s">
        <v>609</v>
      </c>
      <c r="B78" s="26" t="s">
        <v>604</v>
      </c>
      <c r="C78" s="26" t="s">
        <v>1236</v>
      </c>
      <c r="D78" s="26" t="s">
        <v>527</v>
      </c>
      <c r="E78" s="26">
        <v>100</v>
      </c>
      <c r="F78" s="26">
        <v>97.341159000000019</v>
      </c>
      <c r="G78" s="26">
        <v>-2.6588409999999811</v>
      </c>
      <c r="H78" s="26">
        <v>2.6588409999999811</v>
      </c>
      <c r="I78" s="26" t="s">
        <v>1230</v>
      </c>
      <c r="J78" s="26" t="s">
        <v>1231</v>
      </c>
      <c r="K78" s="26" t="b">
        <v>0</v>
      </c>
      <c r="L78" s="26">
        <v>1</v>
      </c>
    </row>
    <row r="79" spans="1:12" x14ac:dyDescent="0.25">
      <c r="A79" s="26" t="s">
        <v>610</v>
      </c>
      <c r="B79" s="26" t="s">
        <v>604</v>
      </c>
      <c r="C79" s="26" t="s">
        <v>1237</v>
      </c>
      <c r="D79" s="26" t="s">
        <v>527</v>
      </c>
      <c r="E79" s="26">
        <v>114</v>
      </c>
      <c r="F79" s="26">
        <v>116.408259</v>
      </c>
      <c r="G79" s="26">
        <v>2.408259000000001</v>
      </c>
      <c r="H79" s="26">
        <v>2.408259000000001</v>
      </c>
      <c r="I79" s="26" t="s">
        <v>1230</v>
      </c>
      <c r="J79" s="26" t="s">
        <v>1231</v>
      </c>
      <c r="K79" s="26" t="b">
        <v>0</v>
      </c>
      <c r="L79" s="26">
        <v>2</v>
      </c>
    </row>
    <row r="80" spans="1:12" x14ac:dyDescent="0.25">
      <c r="A80" s="26" t="s">
        <v>611</v>
      </c>
      <c r="B80" s="26" t="s">
        <v>604</v>
      </c>
      <c r="C80" s="26" t="s">
        <v>1238</v>
      </c>
      <c r="D80" s="26" t="s">
        <v>527</v>
      </c>
      <c r="E80" s="26">
        <v>103</v>
      </c>
      <c r="F80" s="26">
        <v>106.635148</v>
      </c>
      <c r="G80" s="26">
        <v>3.6351480000000151</v>
      </c>
      <c r="H80" s="26">
        <v>3.6351480000000151</v>
      </c>
      <c r="I80" s="26" t="s">
        <v>1230</v>
      </c>
      <c r="J80" s="26" t="s">
        <v>1231</v>
      </c>
      <c r="K80" s="26" t="b">
        <v>0</v>
      </c>
      <c r="L80" s="26">
        <v>3</v>
      </c>
    </row>
    <row r="81" spans="1:12" x14ac:dyDescent="0.25">
      <c r="A81" s="26" t="s">
        <v>612</v>
      </c>
      <c r="B81" s="26" t="s">
        <v>604</v>
      </c>
      <c r="C81" s="26" t="s">
        <v>1239</v>
      </c>
      <c r="D81" s="26" t="s">
        <v>527</v>
      </c>
      <c r="E81" s="26">
        <v>118</v>
      </c>
      <c r="F81" s="26">
        <v>120.41235</v>
      </c>
      <c r="G81" s="26">
        <v>2.412350000000004</v>
      </c>
      <c r="H81" s="26">
        <v>2.412350000000004</v>
      </c>
      <c r="I81" s="26" t="s">
        <v>1230</v>
      </c>
      <c r="J81" s="26" t="s">
        <v>1231</v>
      </c>
      <c r="K81" s="26" t="b">
        <v>0</v>
      </c>
      <c r="L81" s="26">
        <v>4</v>
      </c>
    </row>
    <row r="82" spans="1:12" x14ac:dyDescent="0.25">
      <c r="A82" s="26" t="s">
        <v>613</v>
      </c>
      <c r="B82" s="26" t="s">
        <v>604</v>
      </c>
      <c r="C82" s="26" t="s">
        <v>1240</v>
      </c>
      <c r="D82" s="26" t="s">
        <v>527</v>
      </c>
      <c r="E82" s="26">
        <v>109</v>
      </c>
      <c r="F82" s="26">
        <v>108.33651999999999</v>
      </c>
      <c r="G82" s="26">
        <v>-0.66347999999999274</v>
      </c>
      <c r="H82" s="26">
        <v>0.66347999999999274</v>
      </c>
      <c r="I82" s="26" t="s">
        <v>1230</v>
      </c>
      <c r="J82" s="26" t="s">
        <v>1231</v>
      </c>
      <c r="K82" s="26" t="b">
        <v>0</v>
      </c>
      <c r="L82" s="26">
        <v>5</v>
      </c>
    </row>
    <row r="83" spans="1:12" x14ac:dyDescent="0.25">
      <c r="A83" s="26" t="s">
        <v>614</v>
      </c>
      <c r="B83" s="26" t="s">
        <v>615</v>
      </c>
      <c r="C83" s="26" t="s">
        <v>1229</v>
      </c>
      <c r="D83" s="26" t="s">
        <v>527</v>
      </c>
      <c r="E83" s="26">
        <v>120</v>
      </c>
      <c r="F83" s="26">
        <v>117.66962100000001</v>
      </c>
      <c r="G83" s="26">
        <v>-2.330378999999994</v>
      </c>
      <c r="H83" s="26">
        <v>2.330378999999994</v>
      </c>
      <c r="I83" s="26" t="s">
        <v>1230</v>
      </c>
      <c r="J83" s="26" t="s">
        <v>1231</v>
      </c>
      <c r="K83" s="26" t="b">
        <v>0</v>
      </c>
      <c r="L83" s="26">
        <v>1</v>
      </c>
    </row>
    <row r="84" spans="1:12" x14ac:dyDescent="0.25">
      <c r="A84" s="26" t="s">
        <v>616</v>
      </c>
      <c r="B84" s="26" t="s">
        <v>615</v>
      </c>
      <c r="C84" s="26" t="s">
        <v>1232</v>
      </c>
      <c r="D84" s="26" t="s">
        <v>527</v>
      </c>
      <c r="E84" s="26">
        <v>112</v>
      </c>
      <c r="F84" s="26">
        <v>109.99878</v>
      </c>
      <c r="G84" s="26">
        <v>-2.0012199999999889</v>
      </c>
      <c r="H84" s="26">
        <v>2.0012199999999889</v>
      </c>
      <c r="I84" s="26" t="s">
        <v>1230</v>
      </c>
      <c r="J84" s="26" t="s">
        <v>1231</v>
      </c>
      <c r="K84" s="26" t="b">
        <v>0</v>
      </c>
      <c r="L84" s="26">
        <v>2</v>
      </c>
    </row>
    <row r="85" spans="1:12" x14ac:dyDescent="0.25">
      <c r="A85" s="26" t="s">
        <v>617</v>
      </c>
      <c r="B85" s="26" t="s">
        <v>615</v>
      </c>
      <c r="C85" s="26" t="s">
        <v>1233</v>
      </c>
      <c r="D85" s="26" t="s">
        <v>527</v>
      </c>
      <c r="E85" s="26">
        <v>116</v>
      </c>
      <c r="F85" s="26">
        <v>112.8344</v>
      </c>
      <c r="G85" s="26">
        <v>-3.165599999999984</v>
      </c>
      <c r="H85" s="26">
        <v>3.165599999999984</v>
      </c>
      <c r="I85" s="26" t="s">
        <v>1230</v>
      </c>
      <c r="J85" s="26" t="s">
        <v>1231</v>
      </c>
      <c r="K85" s="26" t="b">
        <v>0</v>
      </c>
      <c r="L85" s="26">
        <v>3</v>
      </c>
    </row>
    <row r="86" spans="1:12" x14ac:dyDescent="0.25">
      <c r="A86" s="26" t="s">
        <v>618</v>
      </c>
      <c r="B86" s="26" t="s">
        <v>615</v>
      </c>
      <c r="C86" s="26" t="s">
        <v>1234</v>
      </c>
      <c r="D86" s="26" t="s">
        <v>527</v>
      </c>
      <c r="E86" s="26">
        <v>106</v>
      </c>
      <c r="F86" s="26">
        <v>105.804018</v>
      </c>
      <c r="G86" s="26">
        <v>-0.19598200000000079</v>
      </c>
      <c r="H86" s="26">
        <v>0.19598200000000079</v>
      </c>
      <c r="I86" s="26" t="s">
        <v>1230</v>
      </c>
      <c r="J86" s="26" t="s">
        <v>1231</v>
      </c>
      <c r="K86" s="26" t="b">
        <v>0</v>
      </c>
      <c r="L86" s="26">
        <v>4</v>
      </c>
    </row>
    <row r="87" spans="1:12" x14ac:dyDescent="0.25">
      <c r="A87" s="26" t="s">
        <v>619</v>
      </c>
      <c r="B87" s="26" t="s">
        <v>615</v>
      </c>
      <c r="C87" s="26" t="s">
        <v>1235</v>
      </c>
      <c r="D87" s="26" t="s">
        <v>527</v>
      </c>
      <c r="E87" s="26">
        <v>101</v>
      </c>
      <c r="F87" s="26">
        <v>103.897308</v>
      </c>
      <c r="G87" s="26">
        <v>2.8973079999999949</v>
      </c>
      <c r="H87" s="26">
        <v>2.8973079999999949</v>
      </c>
      <c r="I87" s="26" t="s">
        <v>1230</v>
      </c>
      <c r="J87" s="26" t="s">
        <v>1231</v>
      </c>
      <c r="K87" s="26" t="b">
        <v>0</v>
      </c>
      <c r="L87" s="26">
        <v>5</v>
      </c>
    </row>
    <row r="88" spans="1:12" x14ac:dyDescent="0.25">
      <c r="A88" s="26" t="s">
        <v>620</v>
      </c>
      <c r="B88" s="26" t="s">
        <v>615</v>
      </c>
      <c r="C88" s="26" t="s">
        <v>1236</v>
      </c>
      <c r="D88" s="26" t="s">
        <v>527</v>
      </c>
      <c r="E88" s="26">
        <v>125</v>
      </c>
      <c r="F88" s="26">
        <v>124.32355</v>
      </c>
      <c r="G88" s="26">
        <v>-0.67644999999998845</v>
      </c>
      <c r="H88" s="26">
        <v>0.67644999999998845</v>
      </c>
      <c r="I88" s="26" t="s">
        <v>1230</v>
      </c>
      <c r="J88" s="26" t="s">
        <v>1231</v>
      </c>
      <c r="K88" s="26" t="b">
        <v>0</v>
      </c>
      <c r="L88" s="26">
        <v>1</v>
      </c>
    </row>
    <row r="89" spans="1:12" x14ac:dyDescent="0.25">
      <c r="A89" s="26" t="s">
        <v>621</v>
      </c>
      <c r="B89" s="26" t="s">
        <v>615</v>
      </c>
      <c r="C89" s="26" t="s">
        <v>1237</v>
      </c>
      <c r="D89" s="26" t="s">
        <v>527</v>
      </c>
      <c r="E89" s="26">
        <v>112</v>
      </c>
      <c r="F89" s="26">
        <v>112.384612</v>
      </c>
      <c r="G89" s="26">
        <v>0.38461200000000417</v>
      </c>
      <c r="H89" s="26">
        <v>0.38461200000000417</v>
      </c>
      <c r="I89" s="26" t="s">
        <v>1230</v>
      </c>
      <c r="J89" s="26" t="s">
        <v>1231</v>
      </c>
      <c r="K89" s="26" t="b">
        <v>0</v>
      </c>
      <c r="L89" s="26">
        <v>2</v>
      </c>
    </row>
    <row r="90" spans="1:12" x14ac:dyDescent="0.25">
      <c r="A90" s="26" t="s">
        <v>622</v>
      </c>
      <c r="B90" s="26" t="s">
        <v>615</v>
      </c>
      <c r="C90" s="26" t="s">
        <v>1238</v>
      </c>
      <c r="D90" s="26" t="s">
        <v>527</v>
      </c>
      <c r="E90" s="26">
        <v>103</v>
      </c>
      <c r="F90" s="26">
        <v>105.45201</v>
      </c>
      <c r="G90" s="26">
        <v>2.4520100000000009</v>
      </c>
      <c r="H90" s="26">
        <v>2.4520100000000009</v>
      </c>
      <c r="I90" s="26" t="s">
        <v>1230</v>
      </c>
      <c r="J90" s="26" t="s">
        <v>1231</v>
      </c>
      <c r="K90" s="26" t="b">
        <v>0</v>
      </c>
      <c r="L90" s="26">
        <v>3</v>
      </c>
    </row>
    <row r="91" spans="1:12" x14ac:dyDescent="0.25">
      <c r="A91" s="26" t="s">
        <v>623</v>
      </c>
      <c r="B91" s="26" t="s">
        <v>615</v>
      </c>
      <c r="C91" s="26" t="s">
        <v>1239</v>
      </c>
      <c r="D91" s="26" t="s">
        <v>527</v>
      </c>
      <c r="E91" s="26">
        <v>75</v>
      </c>
      <c r="F91" s="26">
        <v>74.973984000000002</v>
      </c>
      <c r="G91" s="26">
        <v>-2.6015999999998481E-2</v>
      </c>
      <c r="H91" s="26">
        <v>2.6015999999998481E-2</v>
      </c>
      <c r="I91" s="26" t="s">
        <v>1230</v>
      </c>
      <c r="J91" s="26" t="s">
        <v>1231</v>
      </c>
      <c r="K91" s="26" t="b">
        <v>0</v>
      </c>
      <c r="L91" s="26">
        <v>4</v>
      </c>
    </row>
    <row r="92" spans="1:12" x14ac:dyDescent="0.25">
      <c r="A92" s="26" t="s">
        <v>624</v>
      </c>
      <c r="B92" s="26" t="s">
        <v>615</v>
      </c>
      <c r="C92" s="26" t="s">
        <v>1240</v>
      </c>
      <c r="D92" s="26" t="s">
        <v>527</v>
      </c>
      <c r="E92" s="26">
        <v>113</v>
      </c>
      <c r="F92" s="26">
        <v>116.378925</v>
      </c>
      <c r="G92" s="26">
        <v>3.3789250000000099</v>
      </c>
      <c r="H92" s="26">
        <v>3.3789250000000099</v>
      </c>
      <c r="I92" s="26" t="s">
        <v>1230</v>
      </c>
      <c r="J92" s="26" t="s">
        <v>1231</v>
      </c>
      <c r="K92" s="26" t="b">
        <v>0</v>
      </c>
      <c r="L92" s="26">
        <v>5</v>
      </c>
    </row>
    <row r="93" spans="1:12" x14ac:dyDescent="0.25">
      <c r="A93" s="26" t="s">
        <v>625</v>
      </c>
      <c r="B93" s="26" t="s">
        <v>626</v>
      </c>
      <c r="C93" s="26" t="s">
        <v>1229</v>
      </c>
      <c r="D93" s="26" t="s">
        <v>527</v>
      </c>
      <c r="E93" s="26">
        <v>106</v>
      </c>
      <c r="F93" s="26">
        <v>109.46099</v>
      </c>
      <c r="G93" s="26">
        <v>3.46099000000001</v>
      </c>
      <c r="H93" s="26">
        <v>3.46099000000001</v>
      </c>
      <c r="I93" s="26" t="s">
        <v>1230</v>
      </c>
      <c r="J93" s="26" t="s">
        <v>1231</v>
      </c>
      <c r="K93" s="26" t="b">
        <v>0</v>
      </c>
      <c r="L93" s="26">
        <v>1</v>
      </c>
    </row>
    <row r="94" spans="1:12" x14ac:dyDescent="0.25">
      <c r="A94" s="26" t="s">
        <v>627</v>
      </c>
      <c r="B94" s="26" t="s">
        <v>626</v>
      </c>
      <c r="C94" s="26" t="s">
        <v>1232</v>
      </c>
      <c r="D94" s="26" t="s">
        <v>527</v>
      </c>
      <c r="E94" s="26">
        <v>117</v>
      </c>
      <c r="F94" s="26">
        <v>116.515817</v>
      </c>
      <c r="G94" s="26">
        <v>-0.48418299999998737</v>
      </c>
      <c r="H94" s="26">
        <v>0.48418299999998737</v>
      </c>
      <c r="I94" s="26" t="s">
        <v>1230</v>
      </c>
      <c r="J94" s="26" t="s">
        <v>1231</v>
      </c>
      <c r="K94" s="26" t="b">
        <v>0</v>
      </c>
      <c r="L94" s="26">
        <v>2</v>
      </c>
    </row>
    <row r="95" spans="1:12" x14ac:dyDescent="0.25">
      <c r="A95" s="26" t="s">
        <v>628</v>
      </c>
      <c r="B95" s="26" t="s">
        <v>626</v>
      </c>
      <c r="C95" s="26" t="s">
        <v>1233</v>
      </c>
      <c r="D95" s="26" t="s">
        <v>527</v>
      </c>
      <c r="E95" s="26">
        <v>98</v>
      </c>
      <c r="F95" s="26">
        <v>97.160265999999993</v>
      </c>
      <c r="G95" s="26">
        <v>-0.83973400000000709</v>
      </c>
      <c r="H95" s="26">
        <v>0.83973400000000709</v>
      </c>
      <c r="I95" s="26" t="s">
        <v>1230</v>
      </c>
      <c r="J95" s="26" t="s">
        <v>1231</v>
      </c>
      <c r="K95" s="26" t="b">
        <v>0</v>
      </c>
      <c r="L95" s="26">
        <v>3</v>
      </c>
    </row>
    <row r="96" spans="1:12" x14ac:dyDescent="0.25">
      <c r="A96" s="26" t="s">
        <v>629</v>
      </c>
      <c r="B96" s="26" t="s">
        <v>626</v>
      </c>
      <c r="C96" s="26" t="s">
        <v>1234</v>
      </c>
      <c r="D96" s="26" t="s">
        <v>527</v>
      </c>
      <c r="E96" s="26">
        <v>90</v>
      </c>
      <c r="F96" s="26">
        <v>91.557472000000018</v>
      </c>
      <c r="G96" s="26">
        <v>1.557472000000018</v>
      </c>
      <c r="H96" s="26">
        <v>1.557472000000018</v>
      </c>
      <c r="I96" s="26" t="s">
        <v>1230</v>
      </c>
      <c r="J96" s="26" t="s">
        <v>1231</v>
      </c>
      <c r="K96" s="26" t="b">
        <v>0</v>
      </c>
      <c r="L96" s="26">
        <v>4</v>
      </c>
    </row>
    <row r="97" spans="1:12" x14ac:dyDescent="0.25">
      <c r="A97" s="26" t="s">
        <v>630</v>
      </c>
      <c r="B97" s="26" t="s">
        <v>626</v>
      </c>
      <c r="C97" s="26" t="s">
        <v>1235</v>
      </c>
      <c r="D97" s="26" t="s">
        <v>527</v>
      </c>
      <c r="E97" s="26">
        <v>123</v>
      </c>
      <c r="F97" s="26">
        <v>122.006164</v>
      </c>
      <c r="G97" s="26">
        <v>-0.99383600000000172</v>
      </c>
      <c r="H97" s="26">
        <v>0.99383600000000172</v>
      </c>
      <c r="I97" s="26" t="s">
        <v>1230</v>
      </c>
      <c r="J97" s="26" t="s">
        <v>1231</v>
      </c>
      <c r="K97" s="26" t="b">
        <v>0</v>
      </c>
      <c r="L97" s="26">
        <v>5</v>
      </c>
    </row>
    <row r="98" spans="1:12" x14ac:dyDescent="0.25">
      <c r="A98" s="26" t="s">
        <v>631</v>
      </c>
      <c r="B98" s="26" t="s">
        <v>626</v>
      </c>
      <c r="C98" s="26" t="s">
        <v>1236</v>
      </c>
      <c r="D98" s="26" t="s">
        <v>527</v>
      </c>
      <c r="E98" s="26">
        <v>108</v>
      </c>
      <c r="F98" s="26">
        <v>105.93113200000001</v>
      </c>
      <c r="G98" s="26">
        <v>-2.0688679999999948</v>
      </c>
      <c r="H98" s="26">
        <v>2.0688679999999948</v>
      </c>
      <c r="I98" s="26" t="s">
        <v>1230</v>
      </c>
      <c r="J98" s="26" t="s">
        <v>1231</v>
      </c>
      <c r="K98" s="26" t="b">
        <v>0</v>
      </c>
      <c r="L98" s="26">
        <v>1</v>
      </c>
    </row>
    <row r="99" spans="1:12" x14ac:dyDescent="0.25">
      <c r="A99" s="26" t="s">
        <v>632</v>
      </c>
      <c r="B99" s="26" t="s">
        <v>626</v>
      </c>
      <c r="C99" s="26" t="s">
        <v>1237</v>
      </c>
      <c r="D99" s="26" t="s">
        <v>527</v>
      </c>
      <c r="E99" s="26">
        <v>81</v>
      </c>
      <c r="F99" s="26">
        <v>83.774184000000005</v>
      </c>
      <c r="G99" s="26">
        <v>2.7741840000000049</v>
      </c>
      <c r="H99" s="26">
        <v>2.7741840000000049</v>
      </c>
      <c r="I99" s="26" t="s">
        <v>1230</v>
      </c>
      <c r="J99" s="26" t="s">
        <v>1231</v>
      </c>
      <c r="K99" s="26" t="b">
        <v>0</v>
      </c>
      <c r="L99" s="26">
        <v>2</v>
      </c>
    </row>
    <row r="100" spans="1:12" x14ac:dyDescent="0.25">
      <c r="A100" s="26" t="s">
        <v>633</v>
      </c>
      <c r="B100" s="26" t="s">
        <v>626</v>
      </c>
      <c r="C100" s="26" t="s">
        <v>1238</v>
      </c>
      <c r="D100" s="26" t="s">
        <v>527</v>
      </c>
      <c r="E100" s="26">
        <v>107</v>
      </c>
      <c r="F100" s="26">
        <v>109.084537</v>
      </c>
      <c r="G100" s="26">
        <v>2.084536999999997</v>
      </c>
      <c r="H100" s="26">
        <v>2.084536999999997</v>
      </c>
      <c r="I100" s="26" t="s">
        <v>1230</v>
      </c>
      <c r="J100" s="26" t="s">
        <v>1231</v>
      </c>
      <c r="K100" s="26" t="b">
        <v>0</v>
      </c>
      <c r="L100" s="26">
        <v>3</v>
      </c>
    </row>
    <row r="101" spans="1:12" x14ac:dyDescent="0.25">
      <c r="A101" s="26" t="s">
        <v>634</v>
      </c>
      <c r="B101" s="26" t="s">
        <v>626</v>
      </c>
      <c r="C101" s="26" t="s">
        <v>1239</v>
      </c>
      <c r="D101" s="26" t="s">
        <v>527</v>
      </c>
      <c r="E101" s="26">
        <v>94</v>
      </c>
      <c r="F101" s="26">
        <v>94.525095000000007</v>
      </c>
      <c r="G101" s="26">
        <v>0.52509500000000742</v>
      </c>
      <c r="H101" s="26">
        <v>0.52509500000000742</v>
      </c>
      <c r="I101" s="26" t="s">
        <v>1230</v>
      </c>
      <c r="J101" s="26" t="s">
        <v>1231</v>
      </c>
      <c r="K101" s="26" t="b">
        <v>0</v>
      </c>
      <c r="L101" s="26">
        <v>4</v>
      </c>
    </row>
    <row r="102" spans="1:12" x14ac:dyDescent="0.25">
      <c r="A102" s="26" t="s">
        <v>635</v>
      </c>
      <c r="B102" s="26" t="s">
        <v>626</v>
      </c>
      <c r="C102" s="26" t="s">
        <v>1240</v>
      </c>
      <c r="D102" s="26" t="s">
        <v>527</v>
      </c>
      <c r="E102" s="26">
        <v>104</v>
      </c>
      <c r="F102" s="26">
        <v>101.83414999999999</v>
      </c>
      <c r="G102" s="26">
        <v>-2.1658499999999918</v>
      </c>
      <c r="H102" s="26">
        <v>2.1658499999999918</v>
      </c>
      <c r="I102" s="26" t="s">
        <v>1230</v>
      </c>
      <c r="J102" s="26" t="s">
        <v>1231</v>
      </c>
      <c r="K102" s="26" t="b">
        <v>0</v>
      </c>
      <c r="L102" s="26">
        <v>5</v>
      </c>
    </row>
    <row r="103" spans="1:12" x14ac:dyDescent="0.25">
      <c r="A103" s="26" t="s">
        <v>636</v>
      </c>
      <c r="B103" s="26" t="s">
        <v>637</v>
      </c>
      <c r="C103" s="26" t="s">
        <v>1229</v>
      </c>
      <c r="D103" s="26" t="s">
        <v>527</v>
      </c>
      <c r="E103" s="26">
        <v>116</v>
      </c>
      <c r="F103" s="26">
        <v>113.626418</v>
      </c>
      <c r="G103" s="26">
        <v>-2.3735819999999852</v>
      </c>
      <c r="H103" s="26">
        <v>2.3735819999999852</v>
      </c>
      <c r="I103" s="26" t="s">
        <v>1230</v>
      </c>
      <c r="J103" s="26" t="s">
        <v>1231</v>
      </c>
      <c r="K103" s="26" t="b">
        <v>0</v>
      </c>
      <c r="L103" s="26">
        <v>1</v>
      </c>
    </row>
    <row r="104" spans="1:12" x14ac:dyDescent="0.25">
      <c r="A104" s="26" t="s">
        <v>638</v>
      </c>
      <c r="B104" s="26" t="s">
        <v>637</v>
      </c>
      <c r="C104" s="26" t="s">
        <v>1232</v>
      </c>
      <c r="D104" s="26" t="s">
        <v>527</v>
      </c>
      <c r="E104" s="26">
        <v>110</v>
      </c>
      <c r="F104" s="26">
        <v>110.086782</v>
      </c>
      <c r="G104" s="26">
        <v>8.6782000000013682E-2</v>
      </c>
      <c r="H104" s="26">
        <v>8.6782000000013682E-2</v>
      </c>
      <c r="I104" s="26" t="s">
        <v>1230</v>
      </c>
      <c r="J104" s="26" t="s">
        <v>1231</v>
      </c>
      <c r="K104" s="26" t="b">
        <v>0</v>
      </c>
      <c r="L104" s="26">
        <v>2</v>
      </c>
    </row>
    <row r="105" spans="1:12" x14ac:dyDescent="0.25">
      <c r="A105" s="26" t="s">
        <v>639</v>
      </c>
      <c r="B105" s="26" t="s">
        <v>637</v>
      </c>
      <c r="C105" s="26" t="s">
        <v>1233</v>
      </c>
      <c r="D105" s="26" t="s">
        <v>527</v>
      </c>
      <c r="E105" s="26">
        <v>117</v>
      </c>
      <c r="F105" s="26">
        <v>115.87535800000001</v>
      </c>
      <c r="G105" s="26">
        <v>-1.1246419999999799</v>
      </c>
      <c r="H105" s="26">
        <v>1.1246419999999799</v>
      </c>
      <c r="I105" s="26" t="s">
        <v>1230</v>
      </c>
      <c r="J105" s="26" t="s">
        <v>1231</v>
      </c>
      <c r="K105" s="26" t="b">
        <v>0</v>
      </c>
      <c r="L105" s="26">
        <v>3</v>
      </c>
    </row>
    <row r="106" spans="1:12" x14ac:dyDescent="0.25">
      <c r="A106" s="26" t="s">
        <v>640</v>
      </c>
      <c r="B106" s="26" t="s">
        <v>637</v>
      </c>
      <c r="C106" s="26" t="s">
        <v>1234</v>
      </c>
      <c r="D106" s="26" t="s">
        <v>527</v>
      </c>
      <c r="E106" s="26">
        <v>111</v>
      </c>
      <c r="F106" s="26">
        <v>110.282342</v>
      </c>
      <c r="G106" s="26">
        <v>-0.71765800000000013</v>
      </c>
      <c r="H106" s="26">
        <v>0.71765800000000013</v>
      </c>
      <c r="I106" s="26" t="s">
        <v>1230</v>
      </c>
      <c r="J106" s="26" t="s">
        <v>1231</v>
      </c>
      <c r="K106" s="26" t="b">
        <v>0</v>
      </c>
      <c r="L106" s="26">
        <v>4</v>
      </c>
    </row>
    <row r="107" spans="1:12" x14ac:dyDescent="0.25">
      <c r="A107" s="26" t="s">
        <v>641</v>
      </c>
      <c r="B107" s="26" t="s">
        <v>637</v>
      </c>
      <c r="C107" s="26" t="s">
        <v>1235</v>
      </c>
      <c r="D107" s="26" t="s">
        <v>527</v>
      </c>
      <c r="E107" s="26">
        <v>101</v>
      </c>
      <c r="F107" s="26">
        <v>102.880396</v>
      </c>
      <c r="G107" s="26">
        <v>1.8803960000000051</v>
      </c>
      <c r="H107" s="26">
        <v>1.8803960000000051</v>
      </c>
      <c r="I107" s="26" t="s">
        <v>1230</v>
      </c>
      <c r="J107" s="26" t="s">
        <v>1231</v>
      </c>
      <c r="K107" s="26" t="b">
        <v>0</v>
      </c>
      <c r="L107" s="26">
        <v>5</v>
      </c>
    </row>
    <row r="108" spans="1:12" x14ac:dyDescent="0.25">
      <c r="A108" s="26" t="s">
        <v>642</v>
      </c>
      <c r="B108" s="26" t="s">
        <v>637</v>
      </c>
      <c r="C108" s="26" t="s">
        <v>1236</v>
      </c>
      <c r="D108" s="26" t="s">
        <v>527</v>
      </c>
      <c r="E108" s="26">
        <v>128</v>
      </c>
      <c r="F108" s="26">
        <v>128.77742900000001</v>
      </c>
      <c r="G108" s="26">
        <v>0.77742900000001214</v>
      </c>
      <c r="H108" s="26">
        <v>0.77742900000001214</v>
      </c>
      <c r="I108" s="26" t="s">
        <v>1230</v>
      </c>
      <c r="J108" s="26" t="s">
        <v>1231</v>
      </c>
      <c r="K108" s="26" t="b">
        <v>0</v>
      </c>
      <c r="L108" s="26">
        <v>1</v>
      </c>
    </row>
    <row r="109" spans="1:12" x14ac:dyDescent="0.25">
      <c r="A109" s="26" t="s">
        <v>643</v>
      </c>
      <c r="B109" s="26" t="s">
        <v>637</v>
      </c>
      <c r="C109" s="26" t="s">
        <v>1237</v>
      </c>
      <c r="D109" s="26" t="s">
        <v>527</v>
      </c>
      <c r="E109" s="26">
        <v>110</v>
      </c>
      <c r="F109" s="26">
        <v>112.30149900000001</v>
      </c>
      <c r="G109" s="26">
        <v>2.3014990000000068</v>
      </c>
      <c r="H109" s="26">
        <v>2.3014990000000068</v>
      </c>
      <c r="I109" s="26" t="s">
        <v>1230</v>
      </c>
      <c r="J109" s="26" t="s">
        <v>1231</v>
      </c>
      <c r="K109" s="26" t="b">
        <v>0</v>
      </c>
      <c r="L109" s="26">
        <v>2</v>
      </c>
    </row>
    <row r="110" spans="1:12" x14ac:dyDescent="0.25">
      <c r="A110" s="26" t="s">
        <v>644</v>
      </c>
      <c r="B110" s="26" t="s">
        <v>637</v>
      </c>
      <c r="C110" s="26" t="s">
        <v>1238</v>
      </c>
      <c r="D110" s="26" t="s">
        <v>527</v>
      </c>
      <c r="E110" s="26">
        <v>117</v>
      </c>
      <c r="F110" s="26">
        <v>115.019783</v>
      </c>
      <c r="G110" s="26">
        <v>-1.9802169999999819</v>
      </c>
      <c r="H110" s="26">
        <v>1.9802169999999819</v>
      </c>
      <c r="I110" s="26" t="s">
        <v>1230</v>
      </c>
      <c r="J110" s="26" t="s">
        <v>1231</v>
      </c>
      <c r="K110" s="26" t="b">
        <v>0</v>
      </c>
      <c r="L110" s="26">
        <v>3</v>
      </c>
    </row>
    <row r="111" spans="1:12" x14ac:dyDescent="0.25">
      <c r="A111" s="26" t="s">
        <v>645</v>
      </c>
      <c r="B111" s="26" t="s">
        <v>637</v>
      </c>
      <c r="C111" s="26" t="s">
        <v>1239</v>
      </c>
      <c r="D111" s="26" t="s">
        <v>527</v>
      </c>
      <c r="E111" s="26">
        <v>87</v>
      </c>
      <c r="F111" s="26">
        <v>86.815141999999994</v>
      </c>
      <c r="G111" s="26">
        <v>-0.18485800000000549</v>
      </c>
      <c r="H111" s="26">
        <v>0.18485800000000549</v>
      </c>
      <c r="I111" s="26" t="s">
        <v>1230</v>
      </c>
      <c r="J111" s="26" t="s">
        <v>1231</v>
      </c>
      <c r="K111" s="26" t="b">
        <v>0</v>
      </c>
      <c r="L111" s="26">
        <v>4</v>
      </c>
    </row>
    <row r="112" spans="1:12" x14ac:dyDescent="0.25">
      <c r="A112" s="26" t="s">
        <v>646</v>
      </c>
      <c r="B112" s="26" t="s">
        <v>637</v>
      </c>
      <c r="C112" s="26" t="s">
        <v>1240</v>
      </c>
      <c r="D112" s="26" t="s">
        <v>527</v>
      </c>
      <c r="E112" s="26">
        <v>115</v>
      </c>
      <c r="F112" s="26">
        <v>116.11002999999999</v>
      </c>
      <c r="G112" s="26">
        <v>1.110030000000009</v>
      </c>
      <c r="H112" s="26">
        <v>1.110030000000009</v>
      </c>
      <c r="I112" s="26" t="s">
        <v>1230</v>
      </c>
      <c r="J112" s="26" t="s">
        <v>1231</v>
      </c>
      <c r="K112" s="26" t="b">
        <v>0</v>
      </c>
      <c r="L112" s="26">
        <v>5</v>
      </c>
    </row>
    <row r="113" spans="1:12" x14ac:dyDescent="0.25">
      <c r="A113" s="26" t="s">
        <v>647</v>
      </c>
      <c r="B113" s="26" t="s">
        <v>648</v>
      </c>
      <c r="C113" s="26" t="s">
        <v>1229</v>
      </c>
      <c r="D113" s="26" t="s">
        <v>527</v>
      </c>
      <c r="E113" s="26">
        <v>112</v>
      </c>
      <c r="F113" s="26">
        <v>112.63884</v>
      </c>
      <c r="G113" s="26">
        <v>0.63884000000000185</v>
      </c>
      <c r="H113" s="26">
        <v>0.63884000000000185</v>
      </c>
      <c r="I113" s="26" t="s">
        <v>1230</v>
      </c>
      <c r="J113" s="26" t="s">
        <v>1231</v>
      </c>
      <c r="K113" s="26" t="b">
        <v>0</v>
      </c>
      <c r="L113" s="26">
        <v>1</v>
      </c>
    </row>
    <row r="114" spans="1:12" x14ac:dyDescent="0.25">
      <c r="A114" s="26" t="s">
        <v>649</v>
      </c>
      <c r="B114" s="26" t="s">
        <v>648</v>
      </c>
      <c r="C114" s="26" t="s">
        <v>1232</v>
      </c>
      <c r="D114" s="26" t="s">
        <v>527</v>
      </c>
      <c r="E114" s="26">
        <v>90</v>
      </c>
      <c r="F114" s="26">
        <v>93.01439400000001</v>
      </c>
      <c r="G114" s="26">
        <v>3.01439400000001</v>
      </c>
      <c r="H114" s="26">
        <v>3.01439400000001</v>
      </c>
      <c r="I114" s="26" t="s">
        <v>1230</v>
      </c>
      <c r="J114" s="26" t="s">
        <v>1231</v>
      </c>
      <c r="K114" s="26" t="b">
        <v>0</v>
      </c>
      <c r="L114" s="26">
        <v>2</v>
      </c>
    </row>
    <row r="115" spans="1:12" x14ac:dyDescent="0.25">
      <c r="A115" s="26" t="s">
        <v>650</v>
      </c>
      <c r="B115" s="26" t="s">
        <v>648</v>
      </c>
      <c r="C115" s="26" t="s">
        <v>1233</v>
      </c>
      <c r="D115" s="26" t="s">
        <v>527</v>
      </c>
      <c r="E115" s="26">
        <v>117</v>
      </c>
      <c r="F115" s="26">
        <v>119.96256200000001</v>
      </c>
      <c r="G115" s="26">
        <v>2.962562000000005</v>
      </c>
      <c r="H115" s="26">
        <v>2.962562000000005</v>
      </c>
      <c r="I115" s="26" t="s">
        <v>1230</v>
      </c>
      <c r="J115" s="26" t="s">
        <v>1231</v>
      </c>
      <c r="K115" s="26" t="b">
        <v>0</v>
      </c>
      <c r="L115" s="26">
        <v>3</v>
      </c>
    </row>
    <row r="116" spans="1:12" x14ac:dyDescent="0.25">
      <c r="A116" s="26" t="s">
        <v>651</v>
      </c>
      <c r="B116" s="26" t="s">
        <v>648</v>
      </c>
      <c r="C116" s="26" t="s">
        <v>1234</v>
      </c>
      <c r="D116" s="26" t="s">
        <v>527</v>
      </c>
      <c r="E116" s="26">
        <v>111</v>
      </c>
      <c r="F116" s="26">
        <v>111.817488</v>
      </c>
      <c r="G116" s="26">
        <v>0.81748800000001154</v>
      </c>
      <c r="H116" s="26">
        <v>0.81748800000001154</v>
      </c>
      <c r="I116" s="26" t="s">
        <v>1230</v>
      </c>
      <c r="J116" s="26" t="s">
        <v>1231</v>
      </c>
      <c r="K116" s="26" t="b">
        <v>0</v>
      </c>
      <c r="L116" s="26">
        <v>4</v>
      </c>
    </row>
    <row r="117" spans="1:12" x14ac:dyDescent="0.25">
      <c r="A117" s="26" t="s">
        <v>652</v>
      </c>
      <c r="B117" s="26" t="s">
        <v>648</v>
      </c>
      <c r="C117" s="26" t="s">
        <v>1235</v>
      </c>
      <c r="D117" s="26" t="s">
        <v>527</v>
      </c>
      <c r="E117" s="26">
        <v>107</v>
      </c>
      <c r="F117" s="26">
        <v>108.815642</v>
      </c>
      <c r="G117" s="26">
        <v>1.8156419999999971</v>
      </c>
      <c r="H117" s="26">
        <v>1.8156419999999971</v>
      </c>
      <c r="I117" s="26" t="s">
        <v>1230</v>
      </c>
      <c r="J117" s="26" t="s">
        <v>1231</v>
      </c>
      <c r="K117" s="26" t="b">
        <v>0</v>
      </c>
      <c r="L117" s="26">
        <v>5</v>
      </c>
    </row>
    <row r="118" spans="1:12" x14ac:dyDescent="0.25">
      <c r="A118" s="26" t="s">
        <v>653</v>
      </c>
      <c r="B118" s="26" t="s">
        <v>648</v>
      </c>
      <c r="C118" s="26" t="s">
        <v>1236</v>
      </c>
      <c r="D118" s="26" t="s">
        <v>527</v>
      </c>
      <c r="E118" s="26">
        <v>90</v>
      </c>
      <c r="F118" s="26">
        <v>89.782765000000012</v>
      </c>
      <c r="G118" s="26">
        <v>-0.2172349999999881</v>
      </c>
      <c r="H118" s="26">
        <v>0.2172349999999881</v>
      </c>
      <c r="I118" s="26" t="s">
        <v>1230</v>
      </c>
      <c r="J118" s="26" t="s">
        <v>1231</v>
      </c>
      <c r="K118" s="26" t="b">
        <v>0</v>
      </c>
      <c r="L118" s="26">
        <v>1</v>
      </c>
    </row>
    <row r="119" spans="1:12" x14ac:dyDescent="0.25">
      <c r="A119" s="26" t="s">
        <v>654</v>
      </c>
      <c r="B119" s="26" t="s">
        <v>648</v>
      </c>
      <c r="C119" s="26" t="s">
        <v>1237</v>
      </c>
      <c r="D119" s="26" t="s">
        <v>527</v>
      </c>
      <c r="E119" s="26">
        <v>96</v>
      </c>
      <c r="F119" s="26">
        <v>96.236244999999997</v>
      </c>
      <c r="G119" s="26">
        <v>0.23624499999999671</v>
      </c>
      <c r="H119" s="26">
        <v>0.23624499999999671</v>
      </c>
      <c r="I119" s="26" t="s">
        <v>1230</v>
      </c>
      <c r="J119" s="26" t="s">
        <v>1231</v>
      </c>
      <c r="K119" s="26" t="b">
        <v>0</v>
      </c>
      <c r="L119" s="26">
        <v>2</v>
      </c>
    </row>
    <row r="120" spans="1:12" x14ac:dyDescent="0.25">
      <c r="A120" s="26" t="s">
        <v>655</v>
      </c>
      <c r="B120" s="26" t="s">
        <v>648</v>
      </c>
      <c r="C120" s="26" t="s">
        <v>1238</v>
      </c>
      <c r="D120" s="26" t="s">
        <v>527</v>
      </c>
      <c r="E120" s="26">
        <v>94</v>
      </c>
      <c r="F120" s="26">
        <v>95.84512500000001</v>
      </c>
      <c r="G120" s="26">
        <v>1.8451250000000099</v>
      </c>
      <c r="H120" s="26">
        <v>1.8451250000000099</v>
      </c>
      <c r="I120" s="26" t="s">
        <v>1230</v>
      </c>
      <c r="J120" s="26" t="s">
        <v>1231</v>
      </c>
      <c r="K120" s="26" t="b">
        <v>0</v>
      </c>
      <c r="L120" s="26">
        <v>3</v>
      </c>
    </row>
    <row r="121" spans="1:12" x14ac:dyDescent="0.25">
      <c r="A121" s="26" t="s">
        <v>656</v>
      </c>
      <c r="B121" s="26" t="s">
        <v>648</v>
      </c>
      <c r="C121" s="26" t="s">
        <v>1239</v>
      </c>
      <c r="D121" s="26" t="s">
        <v>527</v>
      </c>
      <c r="E121" s="26">
        <v>89</v>
      </c>
      <c r="F121" s="26">
        <v>92.178375000000003</v>
      </c>
      <c r="G121" s="26">
        <v>3.1783750000000031</v>
      </c>
      <c r="H121" s="26">
        <v>3.1783750000000031</v>
      </c>
      <c r="I121" s="26" t="s">
        <v>1230</v>
      </c>
      <c r="J121" s="26" t="s">
        <v>1231</v>
      </c>
      <c r="K121" s="26" t="b">
        <v>0</v>
      </c>
      <c r="L121" s="26">
        <v>4</v>
      </c>
    </row>
    <row r="122" spans="1:12" x14ac:dyDescent="0.25">
      <c r="A122" s="26" t="s">
        <v>657</v>
      </c>
      <c r="B122" s="26" t="s">
        <v>648</v>
      </c>
      <c r="C122" s="26" t="s">
        <v>1240</v>
      </c>
      <c r="D122" s="26" t="s">
        <v>527</v>
      </c>
      <c r="E122" s="26">
        <v>104</v>
      </c>
      <c r="F122" s="26">
        <v>105.30534</v>
      </c>
      <c r="G122" s="26">
        <v>1.3053400000000011</v>
      </c>
      <c r="H122" s="26">
        <v>1.3053400000000011</v>
      </c>
      <c r="I122" s="26" t="s">
        <v>1230</v>
      </c>
      <c r="J122" s="26" t="s">
        <v>1231</v>
      </c>
      <c r="K122" s="26" t="b">
        <v>0</v>
      </c>
      <c r="L122" s="26">
        <v>5</v>
      </c>
    </row>
    <row r="123" spans="1:12" x14ac:dyDescent="0.25">
      <c r="A123" s="26" t="s">
        <v>658</v>
      </c>
      <c r="B123" s="26" t="s">
        <v>659</v>
      </c>
      <c r="C123" s="26" t="s">
        <v>1229</v>
      </c>
      <c r="D123" s="26" t="s">
        <v>527</v>
      </c>
      <c r="E123" s="26">
        <v>113</v>
      </c>
      <c r="F123" s="26">
        <v>112.68773</v>
      </c>
      <c r="G123" s="26">
        <v>-0.31226999999998378</v>
      </c>
      <c r="H123" s="26">
        <v>0.31226999999998378</v>
      </c>
      <c r="I123" s="26" t="s">
        <v>1230</v>
      </c>
      <c r="J123" s="26" t="s">
        <v>1231</v>
      </c>
      <c r="K123" s="26" t="b">
        <v>0</v>
      </c>
      <c r="L123" s="26">
        <v>1</v>
      </c>
    </row>
    <row r="124" spans="1:12" x14ac:dyDescent="0.25">
      <c r="A124" s="26" t="s">
        <v>660</v>
      </c>
      <c r="B124" s="26" t="s">
        <v>659</v>
      </c>
      <c r="C124" s="26" t="s">
        <v>1232</v>
      </c>
      <c r="D124" s="26" t="s">
        <v>527</v>
      </c>
      <c r="E124" s="26">
        <v>113</v>
      </c>
      <c r="F124" s="26">
        <v>115.234899</v>
      </c>
      <c r="G124" s="26">
        <v>2.2348990000000128</v>
      </c>
      <c r="H124" s="26">
        <v>2.2348990000000128</v>
      </c>
      <c r="I124" s="26" t="s">
        <v>1230</v>
      </c>
      <c r="J124" s="26" t="s">
        <v>1231</v>
      </c>
      <c r="K124" s="26" t="b">
        <v>0</v>
      </c>
      <c r="L124" s="26">
        <v>2</v>
      </c>
    </row>
    <row r="125" spans="1:12" x14ac:dyDescent="0.25">
      <c r="A125" s="26" t="s">
        <v>661</v>
      </c>
      <c r="B125" s="26" t="s">
        <v>659</v>
      </c>
      <c r="C125" s="26" t="s">
        <v>1233</v>
      </c>
      <c r="D125" s="26" t="s">
        <v>527</v>
      </c>
      <c r="E125" s="26">
        <v>106</v>
      </c>
      <c r="F125" s="26">
        <v>102.171491</v>
      </c>
      <c r="G125" s="26">
        <v>-3.8285089999999831</v>
      </c>
      <c r="H125" s="26">
        <v>3.8285089999999831</v>
      </c>
      <c r="I125" s="26" t="s">
        <v>1230</v>
      </c>
      <c r="J125" s="26" t="s">
        <v>1231</v>
      </c>
      <c r="K125" s="26" t="b">
        <v>0</v>
      </c>
      <c r="L125" s="26">
        <v>3</v>
      </c>
    </row>
    <row r="126" spans="1:12" x14ac:dyDescent="0.25">
      <c r="A126" s="26" t="s">
        <v>662</v>
      </c>
      <c r="B126" s="26" t="s">
        <v>659</v>
      </c>
      <c r="C126" s="26" t="s">
        <v>1234</v>
      </c>
      <c r="D126" s="26" t="s">
        <v>527</v>
      </c>
      <c r="E126" s="26">
        <v>115</v>
      </c>
      <c r="F126" s="26">
        <v>112.311277</v>
      </c>
      <c r="G126" s="26">
        <v>-2.688722999999996</v>
      </c>
      <c r="H126" s="26">
        <v>2.688722999999996</v>
      </c>
      <c r="I126" s="26" t="s">
        <v>1230</v>
      </c>
      <c r="J126" s="26" t="s">
        <v>1231</v>
      </c>
      <c r="K126" s="26" t="b">
        <v>0</v>
      </c>
      <c r="L126" s="26">
        <v>4</v>
      </c>
    </row>
    <row r="127" spans="1:12" x14ac:dyDescent="0.25">
      <c r="A127" s="26" t="s">
        <v>663</v>
      </c>
      <c r="B127" s="26" t="s">
        <v>659</v>
      </c>
      <c r="C127" s="26" t="s">
        <v>1235</v>
      </c>
      <c r="D127" s="26" t="s">
        <v>527</v>
      </c>
      <c r="E127" s="26">
        <v>94</v>
      </c>
      <c r="F127" s="26">
        <v>95.444226999999998</v>
      </c>
      <c r="G127" s="26">
        <v>1.4442269999999979</v>
      </c>
      <c r="H127" s="26">
        <v>1.4442269999999979</v>
      </c>
      <c r="I127" s="26" t="s">
        <v>1230</v>
      </c>
      <c r="J127" s="26" t="s">
        <v>1231</v>
      </c>
      <c r="K127" s="26" t="b">
        <v>0</v>
      </c>
      <c r="L127" s="26">
        <v>5</v>
      </c>
    </row>
    <row r="128" spans="1:12" x14ac:dyDescent="0.25">
      <c r="A128" s="26" t="s">
        <v>664</v>
      </c>
      <c r="B128" s="26" t="s">
        <v>659</v>
      </c>
      <c r="C128" s="26" t="s">
        <v>1236</v>
      </c>
      <c r="D128" s="26" t="s">
        <v>527</v>
      </c>
      <c r="E128" s="26">
        <v>104</v>
      </c>
      <c r="F128" s="26">
        <v>104.058645</v>
      </c>
      <c r="G128" s="26">
        <v>5.8645000000012708E-2</v>
      </c>
      <c r="H128" s="26">
        <v>5.8645000000012708E-2</v>
      </c>
      <c r="I128" s="26" t="s">
        <v>1230</v>
      </c>
      <c r="J128" s="26" t="s">
        <v>1231</v>
      </c>
      <c r="K128" s="26" t="b">
        <v>0</v>
      </c>
      <c r="L128" s="26">
        <v>1</v>
      </c>
    </row>
    <row r="129" spans="1:12" x14ac:dyDescent="0.25">
      <c r="A129" s="26" t="s">
        <v>665</v>
      </c>
      <c r="B129" s="26" t="s">
        <v>659</v>
      </c>
      <c r="C129" s="26" t="s">
        <v>1237</v>
      </c>
      <c r="D129" s="26" t="s">
        <v>527</v>
      </c>
      <c r="E129" s="26">
        <v>111</v>
      </c>
      <c r="F129" s="26">
        <v>111.93482400000001</v>
      </c>
      <c r="G129" s="26">
        <v>0.93482400000000609</v>
      </c>
      <c r="H129" s="26">
        <v>0.93482400000000609</v>
      </c>
      <c r="I129" s="26" t="s">
        <v>1230</v>
      </c>
      <c r="J129" s="26" t="s">
        <v>1231</v>
      </c>
      <c r="K129" s="26" t="b">
        <v>0</v>
      </c>
      <c r="L129" s="26">
        <v>2</v>
      </c>
    </row>
    <row r="130" spans="1:12" x14ac:dyDescent="0.25">
      <c r="A130" s="26" t="s">
        <v>666</v>
      </c>
      <c r="B130" s="26" t="s">
        <v>659</v>
      </c>
      <c r="C130" s="26" t="s">
        <v>1238</v>
      </c>
      <c r="D130" s="26" t="s">
        <v>527</v>
      </c>
      <c r="E130" s="26">
        <v>114</v>
      </c>
      <c r="F130" s="26">
        <v>113.92464699999999</v>
      </c>
      <c r="G130" s="26">
        <v>-7.5352999999992676E-2</v>
      </c>
      <c r="H130" s="26">
        <v>7.5352999999992676E-2</v>
      </c>
      <c r="I130" s="26" t="s">
        <v>1230</v>
      </c>
      <c r="J130" s="26" t="s">
        <v>1231</v>
      </c>
      <c r="K130" s="26" t="b">
        <v>0</v>
      </c>
      <c r="L130" s="26">
        <v>3</v>
      </c>
    </row>
    <row r="131" spans="1:12" x14ac:dyDescent="0.25">
      <c r="A131" s="26" t="s">
        <v>667</v>
      </c>
      <c r="B131" s="26" t="s">
        <v>659</v>
      </c>
      <c r="C131" s="26" t="s">
        <v>1239</v>
      </c>
      <c r="D131" s="26" t="s">
        <v>527</v>
      </c>
      <c r="E131" s="26">
        <v>111</v>
      </c>
      <c r="F131" s="26">
        <v>111.871267</v>
      </c>
      <c r="G131" s="26">
        <v>0.87126700000000312</v>
      </c>
      <c r="H131" s="26">
        <v>0.87126700000000312</v>
      </c>
      <c r="I131" s="26" t="s">
        <v>1230</v>
      </c>
      <c r="J131" s="26" t="s">
        <v>1231</v>
      </c>
      <c r="K131" s="26" t="b">
        <v>0</v>
      </c>
      <c r="L131" s="26">
        <v>4</v>
      </c>
    </row>
    <row r="132" spans="1:12" x14ac:dyDescent="0.25">
      <c r="A132" s="26" t="s">
        <v>668</v>
      </c>
      <c r="B132" s="26" t="s">
        <v>659</v>
      </c>
      <c r="C132" s="26" t="s">
        <v>1240</v>
      </c>
      <c r="D132" s="26" t="s">
        <v>527</v>
      </c>
      <c r="E132" s="26">
        <v>83</v>
      </c>
      <c r="F132" s="26">
        <v>82.082589999999996</v>
      </c>
      <c r="G132" s="26">
        <v>-0.91741000000000383</v>
      </c>
      <c r="H132" s="26">
        <v>0.91741000000000383</v>
      </c>
      <c r="I132" s="26" t="s">
        <v>1230</v>
      </c>
      <c r="J132" s="26" t="s">
        <v>1231</v>
      </c>
      <c r="K132" s="26" t="b">
        <v>0</v>
      </c>
      <c r="L132" s="26">
        <v>5</v>
      </c>
    </row>
    <row r="133" spans="1:12" x14ac:dyDescent="0.25">
      <c r="A133" s="26" t="s">
        <v>669</v>
      </c>
      <c r="B133" s="26" t="s">
        <v>670</v>
      </c>
      <c r="C133" s="26" t="s">
        <v>1229</v>
      </c>
      <c r="D133" s="26" t="s">
        <v>527</v>
      </c>
      <c r="E133" s="26">
        <v>109</v>
      </c>
      <c r="F133" s="26">
        <v>109.915667</v>
      </c>
      <c r="G133" s="26">
        <v>0.91566700000001333</v>
      </c>
      <c r="H133" s="26">
        <v>0.91566700000001333</v>
      </c>
      <c r="I133" s="26" t="s">
        <v>1230</v>
      </c>
      <c r="J133" s="26" t="s">
        <v>1231</v>
      </c>
      <c r="K133" s="26" t="b">
        <v>0</v>
      </c>
      <c r="L133" s="26">
        <v>1</v>
      </c>
    </row>
    <row r="134" spans="1:12" x14ac:dyDescent="0.25">
      <c r="A134" s="26" t="s">
        <v>671</v>
      </c>
      <c r="B134" s="26" t="s">
        <v>670</v>
      </c>
      <c r="C134" s="26" t="s">
        <v>1232</v>
      </c>
      <c r="D134" s="26" t="s">
        <v>527</v>
      </c>
      <c r="E134" s="26">
        <v>99</v>
      </c>
      <c r="F134" s="26">
        <v>100.875906</v>
      </c>
      <c r="G134" s="26">
        <v>1.875906000000015</v>
      </c>
      <c r="H134" s="26">
        <v>1.875906000000015</v>
      </c>
      <c r="I134" s="26" t="s">
        <v>1230</v>
      </c>
      <c r="J134" s="26" t="s">
        <v>1231</v>
      </c>
      <c r="K134" s="26" t="b">
        <v>0</v>
      </c>
      <c r="L134" s="26">
        <v>2</v>
      </c>
    </row>
    <row r="135" spans="1:12" x14ac:dyDescent="0.25">
      <c r="A135" s="26" t="s">
        <v>672</v>
      </c>
      <c r="B135" s="26" t="s">
        <v>670</v>
      </c>
      <c r="C135" s="26" t="s">
        <v>1233</v>
      </c>
      <c r="D135" s="26" t="s">
        <v>527</v>
      </c>
      <c r="E135" s="26">
        <v>120</v>
      </c>
      <c r="F135" s="26">
        <v>121.80571500000001</v>
      </c>
      <c r="G135" s="26">
        <v>1.805715000000006</v>
      </c>
      <c r="H135" s="26">
        <v>1.805715000000006</v>
      </c>
      <c r="I135" s="26" t="s">
        <v>1230</v>
      </c>
      <c r="J135" s="26" t="s">
        <v>1231</v>
      </c>
      <c r="K135" s="26" t="b">
        <v>0</v>
      </c>
      <c r="L135" s="26">
        <v>3</v>
      </c>
    </row>
    <row r="136" spans="1:12" x14ac:dyDescent="0.25">
      <c r="A136" s="26" t="s">
        <v>673</v>
      </c>
      <c r="B136" s="26" t="s">
        <v>670</v>
      </c>
      <c r="C136" s="26" t="s">
        <v>1234</v>
      </c>
      <c r="D136" s="26" t="s">
        <v>527</v>
      </c>
      <c r="E136" s="26">
        <v>112</v>
      </c>
      <c r="F136" s="26">
        <v>115.362013</v>
      </c>
      <c r="G136" s="26">
        <v>3.3620130000000188</v>
      </c>
      <c r="H136" s="26">
        <v>3.3620130000000188</v>
      </c>
      <c r="I136" s="26" t="s">
        <v>1230</v>
      </c>
      <c r="J136" s="26" t="s">
        <v>1231</v>
      </c>
      <c r="K136" s="26" t="b">
        <v>0</v>
      </c>
      <c r="L136" s="26">
        <v>4</v>
      </c>
    </row>
    <row r="137" spans="1:12" x14ac:dyDescent="0.25">
      <c r="A137" s="26" t="s">
        <v>674</v>
      </c>
      <c r="B137" s="26" t="s">
        <v>670</v>
      </c>
      <c r="C137" s="26" t="s">
        <v>1235</v>
      </c>
      <c r="D137" s="26" t="s">
        <v>527</v>
      </c>
      <c r="E137" s="26">
        <v>120</v>
      </c>
      <c r="F137" s="26">
        <v>120.104343</v>
      </c>
      <c r="G137" s="26">
        <v>0.1043430000000143</v>
      </c>
      <c r="H137" s="26">
        <v>0.1043430000000143</v>
      </c>
      <c r="I137" s="26" t="s">
        <v>1230</v>
      </c>
      <c r="J137" s="26" t="s">
        <v>1231</v>
      </c>
      <c r="K137" s="26" t="b">
        <v>0</v>
      </c>
      <c r="L137" s="26">
        <v>5</v>
      </c>
    </row>
    <row r="138" spans="1:12" x14ac:dyDescent="0.25">
      <c r="A138" s="26" t="s">
        <v>675</v>
      </c>
      <c r="B138" s="26" t="s">
        <v>670</v>
      </c>
      <c r="C138" s="26" t="s">
        <v>1236</v>
      </c>
      <c r="D138" s="26" t="s">
        <v>527</v>
      </c>
      <c r="E138" s="26">
        <v>118</v>
      </c>
      <c r="F138" s="26">
        <v>118.202522</v>
      </c>
      <c r="G138" s="26">
        <v>0.20252200000001611</v>
      </c>
      <c r="H138" s="26">
        <v>0.20252200000001611</v>
      </c>
      <c r="I138" s="26" t="s">
        <v>1230</v>
      </c>
      <c r="J138" s="26" t="s">
        <v>1231</v>
      </c>
      <c r="K138" s="26" t="b">
        <v>0</v>
      </c>
      <c r="L138" s="26">
        <v>1</v>
      </c>
    </row>
    <row r="139" spans="1:12" x14ac:dyDescent="0.25">
      <c r="A139" s="26" t="s">
        <v>676</v>
      </c>
      <c r="B139" s="26" t="s">
        <v>670</v>
      </c>
      <c r="C139" s="26" t="s">
        <v>1237</v>
      </c>
      <c r="D139" s="26" t="s">
        <v>527</v>
      </c>
      <c r="E139" s="26">
        <v>108</v>
      </c>
      <c r="F139" s="26">
        <v>105.290673</v>
      </c>
      <c r="G139" s="26">
        <v>-2.7093270000000018</v>
      </c>
      <c r="H139" s="26">
        <v>2.7093270000000018</v>
      </c>
      <c r="I139" s="26" t="s">
        <v>1230</v>
      </c>
      <c r="J139" s="26" t="s">
        <v>1231</v>
      </c>
      <c r="K139" s="26" t="b">
        <v>0</v>
      </c>
      <c r="L139" s="26">
        <v>2</v>
      </c>
    </row>
    <row r="140" spans="1:12" x14ac:dyDescent="0.25">
      <c r="A140" s="26" t="s">
        <v>677</v>
      </c>
      <c r="B140" s="26" t="s">
        <v>670</v>
      </c>
      <c r="C140" s="26" t="s">
        <v>1238</v>
      </c>
      <c r="D140" s="26" t="s">
        <v>527</v>
      </c>
      <c r="E140" s="26">
        <v>102</v>
      </c>
      <c r="F140" s="26">
        <v>101.154579</v>
      </c>
      <c r="G140" s="26">
        <v>-0.84542100000000175</v>
      </c>
      <c r="H140" s="26">
        <v>0.84542100000000175</v>
      </c>
      <c r="I140" s="26" t="s">
        <v>1230</v>
      </c>
      <c r="J140" s="26" t="s">
        <v>1231</v>
      </c>
      <c r="K140" s="26" t="b">
        <v>0</v>
      </c>
      <c r="L140" s="26">
        <v>3</v>
      </c>
    </row>
    <row r="141" spans="1:12" x14ac:dyDescent="0.25">
      <c r="A141" s="26" t="s">
        <v>678</v>
      </c>
      <c r="B141" s="26" t="s">
        <v>670</v>
      </c>
      <c r="C141" s="26" t="s">
        <v>1239</v>
      </c>
      <c r="D141" s="26" t="s">
        <v>527</v>
      </c>
      <c r="E141" s="26">
        <v>93</v>
      </c>
      <c r="F141" s="26">
        <v>92.941058999999996</v>
      </c>
      <c r="G141" s="26">
        <v>-5.8941000000004351E-2</v>
      </c>
      <c r="H141" s="26">
        <v>5.8941000000004351E-2</v>
      </c>
      <c r="I141" s="26" t="s">
        <v>1230</v>
      </c>
      <c r="J141" s="26" t="s">
        <v>1231</v>
      </c>
      <c r="K141" s="26" t="b">
        <v>0</v>
      </c>
      <c r="L141" s="26">
        <v>4</v>
      </c>
    </row>
    <row r="142" spans="1:12" x14ac:dyDescent="0.25">
      <c r="A142" s="26" t="s">
        <v>679</v>
      </c>
      <c r="B142" s="26" t="s">
        <v>670</v>
      </c>
      <c r="C142" s="26" t="s">
        <v>1240</v>
      </c>
      <c r="D142" s="26" t="s">
        <v>527</v>
      </c>
      <c r="E142" s="26">
        <v>93</v>
      </c>
      <c r="F142" s="26">
        <v>95.106886000000003</v>
      </c>
      <c r="G142" s="26">
        <v>2.1068860000000029</v>
      </c>
      <c r="H142" s="26">
        <v>2.1068860000000029</v>
      </c>
      <c r="I142" s="26" t="s">
        <v>1230</v>
      </c>
      <c r="J142" s="26" t="s">
        <v>1231</v>
      </c>
      <c r="K142" s="26" t="b">
        <v>0</v>
      </c>
      <c r="L142" s="26">
        <v>5</v>
      </c>
    </row>
    <row r="143" spans="1:12" x14ac:dyDescent="0.25">
      <c r="A143" s="26" t="s">
        <v>680</v>
      </c>
      <c r="B143" s="26" t="s">
        <v>681</v>
      </c>
      <c r="C143" s="26" t="s">
        <v>1229</v>
      </c>
      <c r="D143" s="26" t="s">
        <v>527</v>
      </c>
      <c r="E143" s="26">
        <v>71</v>
      </c>
      <c r="F143" s="26">
        <v>70.700997999999998</v>
      </c>
      <c r="G143" s="26">
        <v>-0.29900200000000149</v>
      </c>
      <c r="H143" s="26">
        <v>0.29900200000000149</v>
      </c>
      <c r="I143" s="26" t="s">
        <v>1230</v>
      </c>
      <c r="J143" s="26" t="s">
        <v>1231</v>
      </c>
      <c r="K143" s="26" t="b">
        <v>0</v>
      </c>
      <c r="L143" s="26">
        <v>1</v>
      </c>
    </row>
    <row r="144" spans="1:12" x14ac:dyDescent="0.25">
      <c r="A144" s="26" t="s">
        <v>682</v>
      </c>
      <c r="B144" s="26" t="s">
        <v>681</v>
      </c>
      <c r="C144" s="26" t="s">
        <v>1232</v>
      </c>
      <c r="D144" s="26" t="s">
        <v>527</v>
      </c>
      <c r="E144" s="26">
        <v>102</v>
      </c>
      <c r="F144" s="26">
        <v>103.46707600000001</v>
      </c>
      <c r="G144" s="26">
        <v>1.46707600000002</v>
      </c>
      <c r="H144" s="26">
        <v>1.46707600000002</v>
      </c>
      <c r="I144" s="26" t="s">
        <v>1230</v>
      </c>
      <c r="J144" s="26" t="s">
        <v>1231</v>
      </c>
      <c r="K144" s="26" t="b">
        <v>0</v>
      </c>
      <c r="L144" s="26">
        <v>2</v>
      </c>
    </row>
    <row r="145" spans="1:12" x14ac:dyDescent="0.25">
      <c r="A145" s="26" t="s">
        <v>683</v>
      </c>
      <c r="B145" s="26" t="s">
        <v>681</v>
      </c>
      <c r="C145" s="26" t="s">
        <v>1233</v>
      </c>
      <c r="D145" s="26" t="s">
        <v>527</v>
      </c>
      <c r="E145" s="26">
        <v>99</v>
      </c>
      <c r="F145" s="26">
        <v>99.140311000000011</v>
      </c>
      <c r="G145" s="26">
        <v>0.1403110000000112</v>
      </c>
      <c r="H145" s="26">
        <v>0.1403110000000112</v>
      </c>
      <c r="I145" s="26" t="s">
        <v>1230</v>
      </c>
      <c r="J145" s="26" t="s">
        <v>1231</v>
      </c>
      <c r="K145" s="26" t="b">
        <v>0</v>
      </c>
      <c r="L145" s="26">
        <v>3</v>
      </c>
    </row>
    <row r="146" spans="1:12" x14ac:dyDescent="0.25">
      <c r="A146" s="26" t="s">
        <v>684</v>
      </c>
      <c r="B146" s="26" t="s">
        <v>681</v>
      </c>
      <c r="C146" s="26" t="s">
        <v>1234</v>
      </c>
      <c r="D146" s="26" t="s">
        <v>527</v>
      </c>
      <c r="E146" s="26">
        <v>118</v>
      </c>
      <c r="F146" s="26">
        <v>117.41539299999999</v>
      </c>
      <c r="G146" s="26">
        <v>-0.58460699999999122</v>
      </c>
      <c r="H146" s="26">
        <v>0.58460699999999122</v>
      </c>
      <c r="I146" s="26" t="s">
        <v>1230</v>
      </c>
      <c r="J146" s="26" t="s">
        <v>1231</v>
      </c>
      <c r="K146" s="26" t="b">
        <v>0</v>
      </c>
      <c r="L146" s="26">
        <v>4</v>
      </c>
    </row>
    <row r="147" spans="1:12" x14ac:dyDescent="0.25">
      <c r="A147" s="26" t="s">
        <v>685</v>
      </c>
      <c r="B147" s="26" t="s">
        <v>681</v>
      </c>
      <c r="C147" s="26" t="s">
        <v>1235</v>
      </c>
      <c r="D147" s="26" t="s">
        <v>527</v>
      </c>
      <c r="E147" s="26">
        <v>105</v>
      </c>
      <c r="F147" s="26">
        <v>105.447121</v>
      </c>
      <c r="G147" s="26">
        <v>0.44712099999999572</v>
      </c>
      <c r="H147" s="26">
        <v>0.44712099999999572</v>
      </c>
      <c r="I147" s="26" t="s">
        <v>1230</v>
      </c>
      <c r="J147" s="26" t="s">
        <v>1231</v>
      </c>
      <c r="K147" s="26" t="b">
        <v>0</v>
      </c>
      <c r="L147" s="26">
        <v>5</v>
      </c>
    </row>
    <row r="148" spans="1:12" x14ac:dyDescent="0.25">
      <c r="A148" s="26" t="s">
        <v>686</v>
      </c>
      <c r="B148" s="26" t="s">
        <v>681</v>
      </c>
      <c r="C148" s="26" t="s">
        <v>1236</v>
      </c>
      <c r="D148" s="26" t="s">
        <v>527</v>
      </c>
      <c r="E148" s="26">
        <v>101</v>
      </c>
      <c r="F148" s="26">
        <v>100.421229</v>
      </c>
      <c r="G148" s="26">
        <v>-0.57877099999998904</v>
      </c>
      <c r="H148" s="26">
        <v>0.57877099999998904</v>
      </c>
      <c r="I148" s="26" t="s">
        <v>1230</v>
      </c>
      <c r="J148" s="26" t="s">
        <v>1231</v>
      </c>
      <c r="K148" s="26" t="b">
        <v>0</v>
      </c>
      <c r="L148" s="26">
        <v>1</v>
      </c>
    </row>
    <row r="149" spans="1:12" x14ac:dyDescent="0.25">
      <c r="A149" s="26" t="s">
        <v>687</v>
      </c>
      <c r="B149" s="26" t="s">
        <v>681</v>
      </c>
      <c r="C149" s="26" t="s">
        <v>1237</v>
      </c>
      <c r="D149" s="26" t="s">
        <v>527</v>
      </c>
      <c r="E149" s="26">
        <v>93</v>
      </c>
      <c r="F149" s="26">
        <v>92.530383</v>
      </c>
      <c r="G149" s="26">
        <v>-0.46961699999999951</v>
      </c>
      <c r="H149" s="26">
        <v>0.46961699999999951</v>
      </c>
      <c r="I149" s="26" t="s">
        <v>1230</v>
      </c>
      <c r="J149" s="26" t="s">
        <v>1231</v>
      </c>
      <c r="K149" s="26" t="b">
        <v>0</v>
      </c>
      <c r="L149" s="26">
        <v>2</v>
      </c>
    </row>
    <row r="150" spans="1:12" x14ac:dyDescent="0.25">
      <c r="A150" s="26" t="s">
        <v>688</v>
      </c>
      <c r="B150" s="26" t="s">
        <v>681</v>
      </c>
      <c r="C150" s="26" t="s">
        <v>1238</v>
      </c>
      <c r="D150" s="26" t="s">
        <v>527</v>
      </c>
      <c r="E150" s="26">
        <v>118</v>
      </c>
      <c r="F150" s="26">
        <v>114.75577699999999</v>
      </c>
      <c r="G150" s="26">
        <v>-3.2442230000000052</v>
      </c>
      <c r="H150" s="26">
        <v>3.2442230000000052</v>
      </c>
      <c r="I150" s="26" t="s">
        <v>1230</v>
      </c>
      <c r="J150" s="26" t="s">
        <v>1231</v>
      </c>
      <c r="K150" s="26" t="b">
        <v>0</v>
      </c>
      <c r="L150" s="26">
        <v>3</v>
      </c>
    </row>
    <row r="151" spans="1:12" x14ac:dyDescent="0.25">
      <c r="A151" s="26" t="s">
        <v>689</v>
      </c>
      <c r="B151" s="26" t="s">
        <v>681</v>
      </c>
      <c r="C151" s="26" t="s">
        <v>1239</v>
      </c>
      <c r="D151" s="26" t="s">
        <v>527</v>
      </c>
      <c r="E151" s="26">
        <v>107</v>
      </c>
      <c r="F151" s="26">
        <v>106.537368</v>
      </c>
      <c r="G151" s="26">
        <v>-0.46263199999998511</v>
      </c>
      <c r="H151" s="26">
        <v>0.46263199999998511</v>
      </c>
      <c r="I151" s="26" t="s">
        <v>1230</v>
      </c>
      <c r="J151" s="26" t="s">
        <v>1231</v>
      </c>
      <c r="K151" s="26" t="b">
        <v>0</v>
      </c>
      <c r="L151" s="26">
        <v>4</v>
      </c>
    </row>
    <row r="152" spans="1:12" x14ac:dyDescent="0.25">
      <c r="A152" s="26" t="s">
        <v>690</v>
      </c>
      <c r="B152" s="26" t="s">
        <v>681</v>
      </c>
      <c r="C152" s="26" t="s">
        <v>1240</v>
      </c>
      <c r="D152" s="26" t="s">
        <v>527</v>
      </c>
      <c r="E152" s="26">
        <v>97</v>
      </c>
      <c r="F152" s="26">
        <v>96.353581000000005</v>
      </c>
      <c r="G152" s="26">
        <v>-0.64641899999999453</v>
      </c>
      <c r="H152" s="26">
        <v>0.64641899999999453</v>
      </c>
      <c r="I152" s="26" t="s">
        <v>1230</v>
      </c>
      <c r="J152" s="26" t="s">
        <v>1231</v>
      </c>
      <c r="K152" s="26" t="b">
        <v>0</v>
      </c>
      <c r="L152" s="26">
        <v>5</v>
      </c>
    </row>
    <row r="153" spans="1:12" x14ac:dyDescent="0.25">
      <c r="A153" s="26" t="s">
        <v>691</v>
      </c>
      <c r="B153" s="26" t="s">
        <v>692</v>
      </c>
      <c r="C153" s="26" t="s">
        <v>1229</v>
      </c>
      <c r="D153" s="26" t="s">
        <v>527</v>
      </c>
      <c r="E153" s="26">
        <v>105</v>
      </c>
      <c r="F153" s="26">
        <v>104.112424</v>
      </c>
      <c r="G153" s="26">
        <v>-0.8875759999999957</v>
      </c>
      <c r="H153" s="26">
        <v>0.8875759999999957</v>
      </c>
      <c r="I153" s="26" t="s">
        <v>1230</v>
      </c>
      <c r="J153" s="26" t="s">
        <v>1231</v>
      </c>
      <c r="K153" s="26" t="b">
        <v>0</v>
      </c>
      <c r="L153" s="26">
        <v>1</v>
      </c>
    </row>
    <row r="154" spans="1:12" x14ac:dyDescent="0.25">
      <c r="A154" s="26" t="s">
        <v>693</v>
      </c>
      <c r="B154" s="26" t="s">
        <v>692</v>
      </c>
      <c r="C154" s="26" t="s">
        <v>1232</v>
      </c>
      <c r="D154" s="26" t="s">
        <v>527</v>
      </c>
      <c r="E154" s="26">
        <v>104</v>
      </c>
      <c r="F154" s="26">
        <v>104.76266099999999</v>
      </c>
      <c r="G154" s="26">
        <v>0.76266100000002268</v>
      </c>
      <c r="H154" s="26">
        <v>0.76266100000002268</v>
      </c>
      <c r="I154" s="26" t="s">
        <v>1230</v>
      </c>
      <c r="J154" s="26" t="s">
        <v>1231</v>
      </c>
      <c r="K154" s="26" t="b">
        <v>0</v>
      </c>
      <c r="L154" s="26">
        <v>2</v>
      </c>
    </row>
    <row r="155" spans="1:12" x14ac:dyDescent="0.25">
      <c r="A155" s="26" t="s">
        <v>694</v>
      </c>
      <c r="B155" s="26" t="s">
        <v>692</v>
      </c>
      <c r="C155" s="26" t="s">
        <v>1233</v>
      </c>
      <c r="D155" s="26" t="s">
        <v>527</v>
      </c>
      <c r="E155" s="26">
        <v>78</v>
      </c>
      <c r="F155" s="26">
        <v>79.760315000000006</v>
      </c>
      <c r="G155" s="26">
        <v>1.7603150000000061</v>
      </c>
      <c r="H155" s="26">
        <v>1.7603150000000061</v>
      </c>
      <c r="I155" s="26" t="s">
        <v>1230</v>
      </c>
      <c r="J155" s="26" t="s">
        <v>1231</v>
      </c>
      <c r="K155" s="26" t="b">
        <v>0</v>
      </c>
      <c r="L155" s="26">
        <v>3</v>
      </c>
    </row>
    <row r="156" spans="1:12" x14ac:dyDescent="0.25">
      <c r="A156" s="26" t="s">
        <v>695</v>
      </c>
      <c r="B156" s="26" t="s">
        <v>692</v>
      </c>
      <c r="C156" s="26" t="s">
        <v>1234</v>
      </c>
      <c r="D156" s="26" t="s">
        <v>527</v>
      </c>
      <c r="E156" s="26">
        <v>111</v>
      </c>
      <c r="F156" s="26">
        <v>111.284587</v>
      </c>
      <c r="G156" s="26">
        <v>0.28458700000001608</v>
      </c>
      <c r="H156" s="26">
        <v>0.28458700000001608</v>
      </c>
      <c r="I156" s="26" t="s">
        <v>1230</v>
      </c>
      <c r="J156" s="26" t="s">
        <v>1231</v>
      </c>
      <c r="K156" s="26" t="b">
        <v>0</v>
      </c>
      <c r="L156" s="26">
        <v>4</v>
      </c>
    </row>
    <row r="157" spans="1:12" x14ac:dyDescent="0.25">
      <c r="A157" s="26" t="s">
        <v>696</v>
      </c>
      <c r="B157" s="26" t="s">
        <v>692</v>
      </c>
      <c r="C157" s="26" t="s">
        <v>1235</v>
      </c>
      <c r="D157" s="26" t="s">
        <v>527</v>
      </c>
      <c r="E157" s="26">
        <v>101</v>
      </c>
      <c r="F157" s="26">
        <v>102.836395</v>
      </c>
      <c r="G157" s="26">
        <v>1.83639500000001</v>
      </c>
      <c r="H157" s="26">
        <v>1.83639500000001</v>
      </c>
      <c r="I157" s="26" t="s">
        <v>1230</v>
      </c>
      <c r="J157" s="26" t="s">
        <v>1231</v>
      </c>
      <c r="K157" s="26" t="b">
        <v>0</v>
      </c>
      <c r="L157" s="26">
        <v>5</v>
      </c>
    </row>
    <row r="158" spans="1:12" x14ac:dyDescent="0.25">
      <c r="A158" s="26" t="s">
        <v>697</v>
      </c>
      <c r="B158" s="26" t="s">
        <v>692</v>
      </c>
      <c r="C158" s="26" t="s">
        <v>1236</v>
      </c>
      <c r="D158" s="26" t="s">
        <v>527</v>
      </c>
      <c r="E158" s="26">
        <v>130</v>
      </c>
      <c r="F158" s="26">
        <v>130.45924500000001</v>
      </c>
      <c r="G158" s="26">
        <v>0.45924499999998147</v>
      </c>
      <c r="H158" s="26">
        <v>0.45924499999998147</v>
      </c>
      <c r="I158" s="26" t="s">
        <v>1230</v>
      </c>
      <c r="J158" s="26" t="s">
        <v>1231</v>
      </c>
      <c r="K158" s="26" t="b">
        <v>0</v>
      </c>
      <c r="L158" s="26">
        <v>1</v>
      </c>
    </row>
    <row r="159" spans="1:12" x14ac:dyDescent="0.25">
      <c r="A159" s="26" t="s">
        <v>698</v>
      </c>
      <c r="B159" s="26" t="s">
        <v>692</v>
      </c>
      <c r="C159" s="26" t="s">
        <v>1237</v>
      </c>
      <c r="D159" s="26" t="s">
        <v>527</v>
      </c>
      <c r="E159" s="26">
        <v>91</v>
      </c>
      <c r="F159" s="26">
        <v>90.809455</v>
      </c>
      <c r="G159" s="26">
        <v>-0.19054500000000019</v>
      </c>
      <c r="H159" s="26">
        <v>0.19054500000000019</v>
      </c>
      <c r="I159" s="26" t="s">
        <v>1230</v>
      </c>
      <c r="J159" s="26" t="s">
        <v>1231</v>
      </c>
      <c r="K159" s="26" t="b">
        <v>0</v>
      </c>
      <c r="L159" s="26">
        <v>2</v>
      </c>
    </row>
    <row r="160" spans="1:12" x14ac:dyDescent="0.25">
      <c r="A160" s="26" t="s">
        <v>699</v>
      </c>
      <c r="B160" s="26" t="s">
        <v>692</v>
      </c>
      <c r="C160" s="26" t="s">
        <v>1238</v>
      </c>
      <c r="D160" s="26" t="s">
        <v>527</v>
      </c>
      <c r="E160" s="26">
        <v>101</v>
      </c>
      <c r="F160" s="26">
        <v>100.29411500000001</v>
      </c>
      <c r="G160" s="26">
        <v>-0.70588499999999499</v>
      </c>
      <c r="H160" s="26">
        <v>0.70588499999999499</v>
      </c>
      <c r="I160" s="26" t="s">
        <v>1230</v>
      </c>
      <c r="J160" s="26" t="s">
        <v>1231</v>
      </c>
      <c r="K160" s="26" t="b">
        <v>0</v>
      </c>
      <c r="L160" s="26">
        <v>3</v>
      </c>
    </row>
    <row r="161" spans="1:12" x14ac:dyDescent="0.25">
      <c r="A161" s="26" t="s">
        <v>700</v>
      </c>
      <c r="B161" s="26" t="s">
        <v>692</v>
      </c>
      <c r="C161" s="26" t="s">
        <v>1239</v>
      </c>
      <c r="D161" s="26" t="s">
        <v>527</v>
      </c>
      <c r="E161" s="26">
        <v>108</v>
      </c>
      <c r="F161" s="26">
        <v>108.488079</v>
      </c>
      <c r="G161" s="26">
        <v>0.48807899999999899</v>
      </c>
      <c r="H161" s="26">
        <v>0.48807899999999899</v>
      </c>
      <c r="I161" s="26" t="s">
        <v>1230</v>
      </c>
      <c r="J161" s="26" t="s">
        <v>1231</v>
      </c>
      <c r="K161" s="26" t="b">
        <v>0</v>
      </c>
      <c r="L161" s="26">
        <v>4</v>
      </c>
    </row>
    <row r="162" spans="1:12" x14ac:dyDescent="0.25">
      <c r="A162" s="26" t="s">
        <v>701</v>
      </c>
      <c r="B162" s="26" t="s">
        <v>692</v>
      </c>
      <c r="C162" s="26" t="s">
        <v>1240</v>
      </c>
      <c r="D162" s="26" t="s">
        <v>527</v>
      </c>
      <c r="E162" s="26">
        <v>119</v>
      </c>
      <c r="F162" s="26">
        <v>119.698556</v>
      </c>
      <c r="G162" s="26">
        <v>0.69855600000001061</v>
      </c>
      <c r="H162" s="26">
        <v>0.69855600000001061</v>
      </c>
      <c r="I162" s="26" t="s">
        <v>1230</v>
      </c>
      <c r="J162" s="26" t="s">
        <v>1231</v>
      </c>
      <c r="K162" s="26" t="b">
        <v>0</v>
      </c>
      <c r="L162" s="26">
        <v>5</v>
      </c>
    </row>
    <row r="163" spans="1:12" x14ac:dyDescent="0.25">
      <c r="A163" s="26" t="s">
        <v>702</v>
      </c>
      <c r="B163" s="26" t="s">
        <v>703</v>
      </c>
      <c r="C163" s="26" t="s">
        <v>1229</v>
      </c>
      <c r="D163" s="26" t="s">
        <v>527</v>
      </c>
      <c r="E163" s="26">
        <v>84</v>
      </c>
      <c r="F163" s="26">
        <v>86.912921999999995</v>
      </c>
      <c r="G163" s="26">
        <v>2.9129219999999951</v>
      </c>
      <c r="H163" s="26">
        <v>2.9129219999999951</v>
      </c>
      <c r="I163" s="26" t="s">
        <v>1230</v>
      </c>
      <c r="J163" s="26" t="s">
        <v>1231</v>
      </c>
      <c r="K163" s="26" t="b">
        <v>0</v>
      </c>
      <c r="L163" s="26">
        <v>1</v>
      </c>
    </row>
    <row r="164" spans="1:12" x14ac:dyDescent="0.25">
      <c r="A164" s="26" t="s">
        <v>704</v>
      </c>
      <c r="B164" s="26" t="s">
        <v>703</v>
      </c>
      <c r="C164" s="26" t="s">
        <v>1232</v>
      </c>
      <c r="D164" s="26" t="s">
        <v>527</v>
      </c>
      <c r="E164" s="26">
        <v>72</v>
      </c>
      <c r="F164" s="26">
        <v>74.817536000000004</v>
      </c>
      <c r="G164" s="26">
        <v>2.817536000000004</v>
      </c>
      <c r="H164" s="26">
        <v>2.817536000000004</v>
      </c>
      <c r="I164" s="26" t="s">
        <v>1230</v>
      </c>
      <c r="J164" s="26" t="s">
        <v>1231</v>
      </c>
      <c r="K164" s="26" t="b">
        <v>0</v>
      </c>
      <c r="L164" s="26">
        <v>2</v>
      </c>
    </row>
    <row r="165" spans="1:12" x14ac:dyDescent="0.25">
      <c r="A165" s="26" t="s">
        <v>705</v>
      </c>
      <c r="B165" s="26" t="s">
        <v>703</v>
      </c>
      <c r="C165" s="26" t="s">
        <v>1233</v>
      </c>
      <c r="D165" s="26" t="s">
        <v>527</v>
      </c>
      <c r="E165" s="26">
        <v>102</v>
      </c>
      <c r="F165" s="26">
        <v>101.135023</v>
      </c>
      <c r="G165" s="26">
        <v>-0.8649769999999819</v>
      </c>
      <c r="H165" s="26">
        <v>0.8649769999999819</v>
      </c>
      <c r="I165" s="26" t="s">
        <v>1230</v>
      </c>
      <c r="J165" s="26" t="s">
        <v>1231</v>
      </c>
      <c r="K165" s="26" t="b">
        <v>0</v>
      </c>
      <c r="L165" s="26">
        <v>3</v>
      </c>
    </row>
    <row r="166" spans="1:12" x14ac:dyDescent="0.25">
      <c r="A166" s="26" t="s">
        <v>706</v>
      </c>
      <c r="B166" s="26" t="s">
        <v>703</v>
      </c>
      <c r="C166" s="26" t="s">
        <v>1234</v>
      </c>
      <c r="D166" s="26" t="s">
        <v>527</v>
      </c>
      <c r="E166" s="26">
        <v>100</v>
      </c>
      <c r="F166" s="26">
        <v>99.946995999999999</v>
      </c>
      <c r="G166" s="26">
        <v>-5.3004000000001383E-2</v>
      </c>
      <c r="H166" s="26">
        <v>5.3004000000001383E-2</v>
      </c>
      <c r="I166" s="26" t="s">
        <v>1230</v>
      </c>
      <c r="J166" s="26" t="s">
        <v>1231</v>
      </c>
      <c r="K166" s="26" t="b">
        <v>0</v>
      </c>
      <c r="L166" s="26">
        <v>4</v>
      </c>
    </row>
    <row r="167" spans="1:12" x14ac:dyDescent="0.25">
      <c r="A167" s="26" t="s">
        <v>707</v>
      </c>
      <c r="B167" s="26" t="s">
        <v>703</v>
      </c>
      <c r="C167" s="26" t="s">
        <v>1235</v>
      </c>
      <c r="D167" s="26" t="s">
        <v>527</v>
      </c>
      <c r="E167" s="26">
        <v>106</v>
      </c>
      <c r="F167" s="26">
        <v>107.158271</v>
      </c>
      <c r="G167" s="26">
        <v>1.1582710000000129</v>
      </c>
      <c r="H167" s="26">
        <v>1.1582710000000129</v>
      </c>
      <c r="I167" s="26" t="s">
        <v>1230</v>
      </c>
      <c r="J167" s="26" t="s">
        <v>1231</v>
      </c>
      <c r="K167" s="26" t="b">
        <v>0</v>
      </c>
      <c r="L167" s="26">
        <v>5</v>
      </c>
    </row>
    <row r="168" spans="1:12" x14ac:dyDescent="0.25">
      <c r="A168" s="26" t="s">
        <v>708</v>
      </c>
      <c r="B168" s="26" t="s">
        <v>703</v>
      </c>
      <c r="C168" s="26" t="s">
        <v>1236</v>
      </c>
      <c r="D168" s="26" t="s">
        <v>527</v>
      </c>
      <c r="E168" s="26">
        <v>105</v>
      </c>
      <c r="F168" s="26">
        <v>106.86982</v>
      </c>
      <c r="G168" s="26">
        <v>1.869820000000004</v>
      </c>
      <c r="H168" s="26">
        <v>1.869820000000004</v>
      </c>
      <c r="I168" s="26" t="s">
        <v>1230</v>
      </c>
      <c r="J168" s="26" t="s">
        <v>1231</v>
      </c>
      <c r="K168" s="26" t="b">
        <v>0</v>
      </c>
      <c r="L168" s="26">
        <v>1</v>
      </c>
    </row>
    <row r="169" spans="1:12" x14ac:dyDescent="0.25">
      <c r="A169" s="26" t="s">
        <v>709</v>
      </c>
      <c r="B169" s="26" t="s">
        <v>703</v>
      </c>
      <c r="C169" s="26" t="s">
        <v>1237</v>
      </c>
      <c r="D169" s="26" t="s">
        <v>527</v>
      </c>
      <c r="E169" s="26">
        <v>102</v>
      </c>
      <c r="F169" s="26">
        <v>103.71152600000001</v>
      </c>
      <c r="G169" s="26">
        <v>1.711526000000021</v>
      </c>
      <c r="H169" s="26">
        <v>1.711526000000021</v>
      </c>
      <c r="I169" s="26" t="s">
        <v>1230</v>
      </c>
      <c r="J169" s="26" t="s">
        <v>1231</v>
      </c>
      <c r="K169" s="26" t="b">
        <v>0</v>
      </c>
      <c r="L169" s="26">
        <v>2</v>
      </c>
    </row>
    <row r="170" spans="1:12" x14ac:dyDescent="0.25">
      <c r="A170" s="26" t="s">
        <v>710</v>
      </c>
      <c r="B170" s="26" t="s">
        <v>703</v>
      </c>
      <c r="C170" s="26" t="s">
        <v>1238</v>
      </c>
      <c r="D170" s="26" t="s">
        <v>527</v>
      </c>
      <c r="E170" s="26">
        <v>106</v>
      </c>
      <c r="F170" s="26">
        <v>105.877353</v>
      </c>
      <c r="G170" s="26">
        <v>-0.12264699999998641</v>
      </c>
      <c r="H170" s="26">
        <v>0.12264699999998641</v>
      </c>
      <c r="I170" s="26" t="s">
        <v>1230</v>
      </c>
      <c r="J170" s="26" t="s">
        <v>1231</v>
      </c>
      <c r="K170" s="26" t="b">
        <v>0</v>
      </c>
      <c r="L170" s="26">
        <v>3</v>
      </c>
    </row>
    <row r="171" spans="1:12" x14ac:dyDescent="0.25">
      <c r="A171" s="26" t="s">
        <v>711</v>
      </c>
      <c r="B171" s="26" t="s">
        <v>703</v>
      </c>
      <c r="C171" s="26" t="s">
        <v>1239</v>
      </c>
      <c r="D171" s="26" t="s">
        <v>527</v>
      </c>
      <c r="E171" s="26">
        <v>112</v>
      </c>
      <c r="F171" s="26">
        <v>109.671217</v>
      </c>
      <c r="G171" s="26">
        <v>-2.3287829999999872</v>
      </c>
      <c r="H171" s="26">
        <v>2.3287829999999872</v>
      </c>
      <c r="I171" s="26" t="s">
        <v>1230</v>
      </c>
      <c r="J171" s="26" t="s">
        <v>1231</v>
      </c>
      <c r="K171" s="26" t="b">
        <v>0</v>
      </c>
      <c r="L171" s="26">
        <v>4</v>
      </c>
    </row>
    <row r="172" spans="1:12" x14ac:dyDescent="0.25">
      <c r="A172" s="26" t="s">
        <v>712</v>
      </c>
      <c r="B172" s="26" t="s">
        <v>703</v>
      </c>
      <c r="C172" s="26" t="s">
        <v>1240</v>
      </c>
      <c r="D172" s="26" t="s">
        <v>527</v>
      </c>
      <c r="E172" s="26">
        <v>100</v>
      </c>
      <c r="F172" s="26">
        <v>98.382515999999995</v>
      </c>
      <c r="G172" s="26">
        <v>-1.617484000000005</v>
      </c>
      <c r="H172" s="26">
        <v>1.617484000000005</v>
      </c>
      <c r="I172" s="26" t="s">
        <v>1230</v>
      </c>
      <c r="J172" s="26" t="s">
        <v>1231</v>
      </c>
      <c r="K172" s="26" t="b">
        <v>0</v>
      </c>
      <c r="L172" s="26">
        <v>5</v>
      </c>
    </row>
    <row r="173" spans="1:12" x14ac:dyDescent="0.25">
      <c r="A173" s="26" t="s">
        <v>713</v>
      </c>
      <c r="B173" s="26" t="s">
        <v>714</v>
      </c>
      <c r="C173" s="26" t="s">
        <v>1229</v>
      </c>
      <c r="D173" s="26" t="s">
        <v>527</v>
      </c>
      <c r="E173" s="26">
        <v>97</v>
      </c>
      <c r="F173" s="26">
        <v>97.663833000000011</v>
      </c>
      <c r="G173" s="26">
        <v>0.663833000000011</v>
      </c>
      <c r="H173" s="26">
        <v>0.663833000000011</v>
      </c>
      <c r="I173" s="26" t="s">
        <v>1230</v>
      </c>
      <c r="J173" s="26" t="s">
        <v>1231</v>
      </c>
      <c r="K173" s="26" t="b">
        <v>0</v>
      </c>
      <c r="L173" s="26">
        <v>1</v>
      </c>
    </row>
    <row r="174" spans="1:12" x14ac:dyDescent="0.25">
      <c r="A174" s="26" t="s">
        <v>715</v>
      </c>
      <c r="B174" s="26" t="s">
        <v>714</v>
      </c>
      <c r="C174" s="26" t="s">
        <v>1232</v>
      </c>
      <c r="D174" s="26" t="s">
        <v>527</v>
      </c>
      <c r="E174" s="26">
        <v>112</v>
      </c>
      <c r="F174" s="26">
        <v>112.453058</v>
      </c>
      <c r="G174" s="26">
        <v>0.45305799999999857</v>
      </c>
      <c r="H174" s="26">
        <v>0.45305799999999857</v>
      </c>
      <c r="I174" s="26" t="s">
        <v>1230</v>
      </c>
      <c r="J174" s="26" t="s">
        <v>1231</v>
      </c>
      <c r="K174" s="26" t="b">
        <v>0</v>
      </c>
      <c r="L174" s="26">
        <v>2</v>
      </c>
    </row>
    <row r="175" spans="1:12" x14ac:dyDescent="0.25">
      <c r="A175" s="26" t="s">
        <v>716</v>
      </c>
      <c r="B175" s="26" t="s">
        <v>714</v>
      </c>
      <c r="C175" s="26" t="s">
        <v>1233</v>
      </c>
      <c r="D175" s="26" t="s">
        <v>527</v>
      </c>
      <c r="E175" s="26">
        <v>110</v>
      </c>
      <c r="F175" s="26">
        <v>107.989401</v>
      </c>
      <c r="G175" s="26">
        <v>-2.0105989999999849</v>
      </c>
      <c r="H175" s="26">
        <v>2.0105989999999849</v>
      </c>
      <c r="I175" s="26" t="s">
        <v>1230</v>
      </c>
      <c r="J175" s="26" t="s">
        <v>1231</v>
      </c>
      <c r="K175" s="26" t="b">
        <v>0</v>
      </c>
      <c r="L175" s="26">
        <v>3</v>
      </c>
    </row>
    <row r="176" spans="1:12" x14ac:dyDescent="0.25">
      <c r="A176" s="26" t="s">
        <v>717</v>
      </c>
      <c r="B176" s="26" t="s">
        <v>714</v>
      </c>
      <c r="C176" s="26" t="s">
        <v>1234</v>
      </c>
      <c r="D176" s="26" t="s">
        <v>527</v>
      </c>
      <c r="E176" s="26">
        <v>101</v>
      </c>
      <c r="F176" s="26">
        <v>101.179024</v>
      </c>
      <c r="G176" s="26">
        <v>0.17902400000001251</v>
      </c>
      <c r="H176" s="26">
        <v>0.17902400000001251</v>
      </c>
      <c r="I176" s="26" t="s">
        <v>1230</v>
      </c>
      <c r="J176" s="26" t="s">
        <v>1231</v>
      </c>
      <c r="K176" s="26" t="b">
        <v>0</v>
      </c>
      <c r="L176" s="26">
        <v>4</v>
      </c>
    </row>
    <row r="177" spans="1:12" x14ac:dyDescent="0.25">
      <c r="A177" s="26" t="s">
        <v>718</v>
      </c>
      <c r="B177" s="26" t="s">
        <v>714</v>
      </c>
      <c r="C177" s="26" t="s">
        <v>1235</v>
      </c>
      <c r="D177" s="26" t="s">
        <v>527</v>
      </c>
      <c r="E177" s="26">
        <v>100</v>
      </c>
      <c r="F177" s="26">
        <v>101.22302500000001</v>
      </c>
      <c r="G177" s="26">
        <v>1.2230250000000209</v>
      </c>
      <c r="H177" s="26">
        <v>1.2230250000000209</v>
      </c>
      <c r="I177" s="26" t="s">
        <v>1230</v>
      </c>
      <c r="J177" s="26" t="s">
        <v>1231</v>
      </c>
      <c r="K177" s="26" t="b">
        <v>0</v>
      </c>
      <c r="L177" s="26">
        <v>5</v>
      </c>
    </row>
    <row r="178" spans="1:12" x14ac:dyDescent="0.25">
      <c r="A178" s="26" t="s">
        <v>719</v>
      </c>
      <c r="B178" s="26" t="s">
        <v>714</v>
      </c>
      <c r="C178" s="26" t="s">
        <v>1236</v>
      </c>
      <c r="D178" s="26" t="s">
        <v>527</v>
      </c>
      <c r="E178" s="26">
        <v>102</v>
      </c>
      <c r="F178" s="26">
        <v>100.07411</v>
      </c>
      <c r="G178" s="26">
        <v>-1.925889999999995</v>
      </c>
      <c r="H178" s="26">
        <v>1.925889999999995</v>
      </c>
      <c r="I178" s="26" t="s">
        <v>1230</v>
      </c>
      <c r="J178" s="26" t="s">
        <v>1231</v>
      </c>
      <c r="K178" s="26" t="b">
        <v>0</v>
      </c>
      <c r="L178" s="26">
        <v>1</v>
      </c>
    </row>
    <row r="179" spans="1:12" x14ac:dyDescent="0.25">
      <c r="A179" s="26" t="s">
        <v>720</v>
      </c>
      <c r="B179" s="26" t="s">
        <v>714</v>
      </c>
      <c r="C179" s="26" t="s">
        <v>1237</v>
      </c>
      <c r="D179" s="26" t="s">
        <v>527</v>
      </c>
      <c r="E179" s="26">
        <v>100</v>
      </c>
      <c r="F179" s="26">
        <v>102.049266</v>
      </c>
      <c r="G179" s="26">
        <v>2.0492660000000029</v>
      </c>
      <c r="H179" s="26">
        <v>2.0492660000000029</v>
      </c>
      <c r="I179" s="26" t="s">
        <v>1230</v>
      </c>
      <c r="J179" s="26" t="s">
        <v>1231</v>
      </c>
      <c r="K179" s="26" t="b">
        <v>0</v>
      </c>
      <c r="L179" s="26">
        <v>2</v>
      </c>
    </row>
    <row r="180" spans="1:12" x14ac:dyDescent="0.25">
      <c r="A180" s="26" t="s">
        <v>721</v>
      </c>
      <c r="B180" s="26" t="s">
        <v>714</v>
      </c>
      <c r="C180" s="26" t="s">
        <v>1238</v>
      </c>
      <c r="D180" s="26" t="s">
        <v>527</v>
      </c>
      <c r="E180" s="26">
        <v>107</v>
      </c>
      <c r="F180" s="26">
        <v>106.31247399999999</v>
      </c>
      <c r="G180" s="26">
        <v>-0.68752600000000541</v>
      </c>
      <c r="H180" s="26">
        <v>0.68752600000000541</v>
      </c>
      <c r="I180" s="26" t="s">
        <v>1230</v>
      </c>
      <c r="J180" s="26" t="s">
        <v>1231</v>
      </c>
      <c r="K180" s="26" t="b">
        <v>0</v>
      </c>
      <c r="L180" s="26">
        <v>3</v>
      </c>
    </row>
    <row r="181" spans="1:12" x14ac:dyDescent="0.25">
      <c r="A181" s="26" t="s">
        <v>722</v>
      </c>
      <c r="B181" s="26" t="s">
        <v>714</v>
      </c>
      <c r="C181" s="26" t="s">
        <v>1239</v>
      </c>
      <c r="D181" s="26" t="s">
        <v>527</v>
      </c>
      <c r="E181" s="26">
        <v>113</v>
      </c>
      <c r="F181" s="26">
        <v>115.024672</v>
      </c>
      <c r="G181" s="26">
        <v>2.0246719999999949</v>
      </c>
      <c r="H181" s="26">
        <v>2.0246719999999949</v>
      </c>
      <c r="I181" s="26" t="s">
        <v>1230</v>
      </c>
      <c r="J181" s="26" t="s">
        <v>1231</v>
      </c>
      <c r="K181" s="26" t="b">
        <v>0</v>
      </c>
      <c r="L181" s="26">
        <v>4</v>
      </c>
    </row>
    <row r="182" spans="1:12" x14ac:dyDescent="0.25">
      <c r="A182" s="26" t="s">
        <v>723</v>
      </c>
      <c r="B182" s="26" t="s">
        <v>714</v>
      </c>
      <c r="C182" s="26" t="s">
        <v>1240</v>
      </c>
      <c r="D182" s="26" t="s">
        <v>527</v>
      </c>
      <c r="E182" s="26">
        <v>96</v>
      </c>
      <c r="F182" s="26">
        <v>95.282890000000009</v>
      </c>
      <c r="G182" s="26">
        <v>-0.71710999999999103</v>
      </c>
      <c r="H182" s="26">
        <v>0.71710999999999103</v>
      </c>
      <c r="I182" s="26" t="s">
        <v>1230</v>
      </c>
      <c r="J182" s="26" t="s">
        <v>1231</v>
      </c>
      <c r="K182" s="26" t="b">
        <v>0</v>
      </c>
      <c r="L182" s="26">
        <v>5</v>
      </c>
    </row>
    <row r="183" spans="1:12" x14ac:dyDescent="0.25">
      <c r="A183" s="26" t="s">
        <v>724</v>
      </c>
      <c r="B183" s="26" t="s">
        <v>725</v>
      </c>
      <c r="C183" s="26" t="s">
        <v>1229</v>
      </c>
      <c r="D183" s="26" t="s">
        <v>527</v>
      </c>
      <c r="E183" s="26">
        <v>107</v>
      </c>
      <c r="F183" s="26">
        <v>105.178226</v>
      </c>
      <c r="G183" s="26">
        <v>-1.8217739999999909</v>
      </c>
      <c r="H183" s="26">
        <v>1.8217739999999909</v>
      </c>
      <c r="I183" s="26" t="s">
        <v>1230</v>
      </c>
      <c r="J183" s="26" t="s">
        <v>1231</v>
      </c>
      <c r="K183" s="26" t="b">
        <v>0</v>
      </c>
      <c r="L183" s="26">
        <v>1</v>
      </c>
    </row>
    <row r="184" spans="1:12" x14ac:dyDescent="0.25">
      <c r="A184" s="26" t="s">
        <v>726</v>
      </c>
      <c r="B184" s="26" t="s">
        <v>725</v>
      </c>
      <c r="C184" s="26" t="s">
        <v>1232</v>
      </c>
      <c r="D184" s="26" t="s">
        <v>527</v>
      </c>
      <c r="E184" s="26">
        <v>106</v>
      </c>
      <c r="F184" s="26">
        <v>105.192893</v>
      </c>
      <c r="G184" s="26">
        <v>-0.80710700000000202</v>
      </c>
      <c r="H184" s="26">
        <v>0.80710700000000202</v>
      </c>
      <c r="I184" s="26" t="s">
        <v>1230</v>
      </c>
      <c r="J184" s="26" t="s">
        <v>1231</v>
      </c>
      <c r="K184" s="26" t="b">
        <v>0</v>
      </c>
      <c r="L184" s="26">
        <v>2</v>
      </c>
    </row>
    <row r="185" spans="1:12" x14ac:dyDescent="0.25">
      <c r="A185" s="26" t="s">
        <v>727</v>
      </c>
      <c r="B185" s="26" t="s">
        <v>725</v>
      </c>
      <c r="C185" s="26" t="s">
        <v>1233</v>
      </c>
      <c r="D185" s="26" t="s">
        <v>527</v>
      </c>
      <c r="E185" s="26">
        <v>89</v>
      </c>
      <c r="F185" s="26">
        <v>89.200974000000002</v>
      </c>
      <c r="G185" s="26">
        <v>0.20097400000000221</v>
      </c>
      <c r="H185" s="26">
        <v>0.20097400000000221</v>
      </c>
      <c r="I185" s="26" t="s">
        <v>1230</v>
      </c>
      <c r="J185" s="26" t="s">
        <v>1231</v>
      </c>
      <c r="K185" s="26" t="b">
        <v>0</v>
      </c>
      <c r="L185" s="26">
        <v>3</v>
      </c>
    </row>
    <row r="186" spans="1:12" x14ac:dyDescent="0.25">
      <c r="A186" s="26" t="s">
        <v>728</v>
      </c>
      <c r="B186" s="26" t="s">
        <v>725</v>
      </c>
      <c r="C186" s="26" t="s">
        <v>1234</v>
      </c>
      <c r="D186" s="26" t="s">
        <v>527</v>
      </c>
      <c r="E186" s="26">
        <v>114</v>
      </c>
      <c r="F186" s="26">
        <v>113.137518</v>
      </c>
      <c r="G186" s="26">
        <v>-0.86248199999999997</v>
      </c>
      <c r="H186" s="26">
        <v>0.86248199999999997</v>
      </c>
      <c r="I186" s="26" t="s">
        <v>1230</v>
      </c>
      <c r="J186" s="26" t="s">
        <v>1231</v>
      </c>
      <c r="K186" s="26" t="b">
        <v>0</v>
      </c>
      <c r="L186" s="26">
        <v>4</v>
      </c>
    </row>
    <row r="187" spans="1:12" x14ac:dyDescent="0.25">
      <c r="A187" s="26" t="s">
        <v>729</v>
      </c>
      <c r="B187" s="26" t="s">
        <v>725</v>
      </c>
      <c r="C187" s="26" t="s">
        <v>1235</v>
      </c>
      <c r="D187" s="26" t="s">
        <v>527</v>
      </c>
      <c r="E187" s="26">
        <v>108</v>
      </c>
      <c r="F187" s="26">
        <v>107.56894699999999</v>
      </c>
      <c r="G187" s="26">
        <v>-0.43105299999999153</v>
      </c>
      <c r="H187" s="26">
        <v>0.43105299999999153</v>
      </c>
      <c r="I187" s="26" t="s">
        <v>1230</v>
      </c>
      <c r="J187" s="26" t="s">
        <v>1231</v>
      </c>
      <c r="K187" s="26" t="b">
        <v>0</v>
      </c>
      <c r="L187" s="26">
        <v>5</v>
      </c>
    </row>
    <row r="188" spans="1:12" x14ac:dyDescent="0.25">
      <c r="A188" s="26" t="s">
        <v>730</v>
      </c>
      <c r="B188" s="26" t="s">
        <v>725</v>
      </c>
      <c r="C188" s="26" t="s">
        <v>1236</v>
      </c>
      <c r="D188" s="26" t="s">
        <v>527</v>
      </c>
      <c r="E188" s="26">
        <v>123</v>
      </c>
      <c r="F188" s="26">
        <v>123.194191</v>
      </c>
      <c r="G188" s="26">
        <v>0.19419100000001779</v>
      </c>
      <c r="H188" s="26">
        <v>0.19419100000001779</v>
      </c>
      <c r="I188" s="26" t="s">
        <v>1230</v>
      </c>
      <c r="J188" s="26" t="s">
        <v>1231</v>
      </c>
      <c r="K188" s="26" t="b">
        <v>0</v>
      </c>
      <c r="L188" s="26">
        <v>1</v>
      </c>
    </row>
    <row r="189" spans="1:12" x14ac:dyDescent="0.25">
      <c r="A189" s="26" t="s">
        <v>731</v>
      </c>
      <c r="B189" s="26" t="s">
        <v>725</v>
      </c>
      <c r="C189" s="26" t="s">
        <v>1237</v>
      </c>
      <c r="D189" s="26" t="s">
        <v>527</v>
      </c>
      <c r="E189" s="26">
        <v>95</v>
      </c>
      <c r="F189" s="26">
        <v>94.935771000000003</v>
      </c>
      <c r="G189" s="26">
        <v>-6.4228999999997427E-2</v>
      </c>
      <c r="H189" s="26">
        <v>6.4228999999997427E-2</v>
      </c>
      <c r="I189" s="26" t="s">
        <v>1230</v>
      </c>
      <c r="J189" s="26" t="s">
        <v>1231</v>
      </c>
      <c r="K189" s="26" t="b">
        <v>0</v>
      </c>
      <c r="L189" s="26">
        <v>2</v>
      </c>
    </row>
    <row r="190" spans="1:12" x14ac:dyDescent="0.25">
      <c r="A190" s="26" t="s">
        <v>732</v>
      </c>
      <c r="B190" s="26" t="s">
        <v>725</v>
      </c>
      <c r="C190" s="26" t="s">
        <v>1238</v>
      </c>
      <c r="D190" s="26" t="s">
        <v>527</v>
      </c>
      <c r="E190" s="26">
        <v>90</v>
      </c>
      <c r="F190" s="26">
        <v>90.227664000000004</v>
      </c>
      <c r="G190" s="26">
        <v>0.22766400000000431</v>
      </c>
      <c r="H190" s="26">
        <v>0.22766400000000431</v>
      </c>
      <c r="I190" s="26" t="s">
        <v>1230</v>
      </c>
      <c r="J190" s="26" t="s">
        <v>1231</v>
      </c>
      <c r="K190" s="26" t="b">
        <v>0</v>
      </c>
      <c r="L190" s="26">
        <v>3</v>
      </c>
    </row>
    <row r="191" spans="1:12" x14ac:dyDescent="0.25">
      <c r="A191" s="26" t="s">
        <v>733</v>
      </c>
      <c r="B191" s="26" t="s">
        <v>725</v>
      </c>
      <c r="C191" s="26" t="s">
        <v>1239</v>
      </c>
      <c r="D191" s="26" t="s">
        <v>527</v>
      </c>
      <c r="E191" s="26">
        <v>116</v>
      </c>
      <c r="F191" s="26">
        <v>112.79039899999999</v>
      </c>
      <c r="G191" s="26">
        <v>-3.2096009999999922</v>
      </c>
      <c r="H191" s="26">
        <v>3.2096009999999922</v>
      </c>
      <c r="I191" s="26" t="s">
        <v>1230</v>
      </c>
      <c r="J191" s="26" t="s">
        <v>1231</v>
      </c>
      <c r="K191" s="26" t="b">
        <v>0</v>
      </c>
      <c r="L191" s="26">
        <v>4</v>
      </c>
    </row>
    <row r="192" spans="1:12" x14ac:dyDescent="0.25">
      <c r="A192" s="26" t="s">
        <v>734</v>
      </c>
      <c r="B192" s="26" t="s">
        <v>725</v>
      </c>
      <c r="C192" s="26" t="s">
        <v>1240</v>
      </c>
      <c r="D192" s="26" t="s">
        <v>527</v>
      </c>
      <c r="E192" s="26">
        <v>115</v>
      </c>
      <c r="F192" s="26">
        <v>115.47445999999999</v>
      </c>
      <c r="G192" s="26">
        <v>0.47446000000000771</v>
      </c>
      <c r="H192" s="26">
        <v>0.47446000000000771</v>
      </c>
      <c r="I192" s="26" t="s">
        <v>1230</v>
      </c>
      <c r="J192" s="26" t="s">
        <v>1231</v>
      </c>
      <c r="K192" s="26" t="b">
        <v>0</v>
      </c>
      <c r="L192" s="26">
        <v>5</v>
      </c>
    </row>
    <row r="193" spans="1:12" x14ac:dyDescent="0.25">
      <c r="A193" s="26" t="s">
        <v>735</v>
      </c>
      <c r="B193" s="26" t="s">
        <v>736</v>
      </c>
      <c r="C193" s="26" t="s">
        <v>1229</v>
      </c>
      <c r="D193" s="26" t="s">
        <v>527</v>
      </c>
      <c r="E193" s="26">
        <v>110</v>
      </c>
      <c r="F193" s="26">
        <v>109.744552</v>
      </c>
      <c r="G193" s="26">
        <v>-0.25544799999998702</v>
      </c>
      <c r="H193" s="26">
        <v>0.25544799999998702</v>
      </c>
      <c r="I193" s="26" t="s">
        <v>1230</v>
      </c>
      <c r="J193" s="26" t="s">
        <v>1231</v>
      </c>
      <c r="K193" s="26" t="b">
        <v>0</v>
      </c>
      <c r="L193" s="26">
        <v>1</v>
      </c>
    </row>
    <row r="194" spans="1:12" x14ac:dyDescent="0.25">
      <c r="A194" s="26" t="s">
        <v>737</v>
      </c>
      <c r="B194" s="26" t="s">
        <v>736</v>
      </c>
      <c r="C194" s="26" t="s">
        <v>1232</v>
      </c>
      <c r="D194" s="26" t="s">
        <v>527</v>
      </c>
      <c r="E194" s="26">
        <v>123</v>
      </c>
      <c r="F194" s="26">
        <v>125.41868599999999</v>
      </c>
      <c r="G194" s="26">
        <v>2.4186860000000081</v>
      </c>
      <c r="H194" s="26">
        <v>2.4186860000000081</v>
      </c>
      <c r="I194" s="26" t="s">
        <v>1230</v>
      </c>
      <c r="J194" s="26" t="s">
        <v>1231</v>
      </c>
      <c r="K194" s="26" t="b">
        <v>0</v>
      </c>
      <c r="L194" s="26">
        <v>2</v>
      </c>
    </row>
    <row r="195" spans="1:12" x14ac:dyDescent="0.25">
      <c r="A195" s="26" t="s">
        <v>738</v>
      </c>
      <c r="B195" s="26" t="s">
        <v>736</v>
      </c>
      <c r="C195" s="26" t="s">
        <v>1233</v>
      </c>
      <c r="D195" s="26" t="s">
        <v>527</v>
      </c>
      <c r="E195" s="26">
        <v>88</v>
      </c>
      <c r="F195" s="26">
        <v>86.751585000000006</v>
      </c>
      <c r="G195" s="26">
        <v>-1.2484149999999941</v>
      </c>
      <c r="H195" s="26">
        <v>1.2484149999999941</v>
      </c>
      <c r="I195" s="26" t="s">
        <v>1230</v>
      </c>
      <c r="J195" s="26" t="s">
        <v>1231</v>
      </c>
      <c r="K195" s="26" t="b">
        <v>0</v>
      </c>
      <c r="L195" s="26">
        <v>3</v>
      </c>
    </row>
    <row r="196" spans="1:12" x14ac:dyDescent="0.25">
      <c r="A196" s="26" t="s">
        <v>739</v>
      </c>
      <c r="B196" s="26" t="s">
        <v>736</v>
      </c>
      <c r="C196" s="26" t="s">
        <v>1234</v>
      </c>
      <c r="D196" s="26" t="s">
        <v>527</v>
      </c>
      <c r="E196" s="26">
        <v>92</v>
      </c>
      <c r="F196" s="26">
        <v>89.152084000000002</v>
      </c>
      <c r="G196" s="26">
        <v>-2.8479159999999979</v>
      </c>
      <c r="H196" s="26">
        <v>2.8479159999999979</v>
      </c>
      <c r="I196" s="26" t="s">
        <v>1230</v>
      </c>
      <c r="J196" s="26" t="s">
        <v>1231</v>
      </c>
      <c r="K196" s="26" t="b">
        <v>0</v>
      </c>
      <c r="L196" s="26">
        <v>4</v>
      </c>
    </row>
    <row r="197" spans="1:12" x14ac:dyDescent="0.25">
      <c r="A197" s="26" t="s">
        <v>740</v>
      </c>
      <c r="B197" s="26" t="s">
        <v>736</v>
      </c>
      <c r="C197" s="26" t="s">
        <v>1235</v>
      </c>
      <c r="D197" s="26" t="s">
        <v>527</v>
      </c>
      <c r="E197" s="26">
        <v>109</v>
      </c>
      <c r="F197" s="26">
        <v>109.99878</v>
      </c>
      <c r="G197" s="26">
        <v>0.99878000000001066</v>
      </c>
      <c r="H197" s="26">
        <v>0.99878000000001066</v>
      </c>
      <c r="I197" s="26" t="s">
        <v>1230</v>
      </c>
      <c r="J197" s="26" t="s">
        <v>1231</v>
      </c>
      <c r="K197" s="26" t="b">
        <v>0</v>
      </c>
      <c r="L197" s="26">
        <v>5</v>
      </c>
    </row>
    <row r="198" spans="1:12" x14ac:dyDescent="0.25">
      <c r="A198" s="26" t="s">
        <v>741</v>
      </c>
      <c r="B198" s="26" t="s">
        <v>736</v>
      </c>
      <c r="C198" s="26" t="s">
        <v>1236</v>
      </c>
      <c r="D198" s="26" t="s">
        <v>527</v>
      </c>
      <c r="E198" s="26">
        <v>120</v>
      </c>
      <c r="F198" s="26">
        <v>120.28034700000001</v>
      </c>
      <c r="G198" s="26">
        <v>0.28034700000002027</v>
      </c>
      <c r="H198" s="26">
        <v>0.28034700000002027</v>
      </c>
      <c r="I198" s="26" t="s">
        <v>1230</v>
      </c>
      <c r="J198" s="26" t="s">
        <v>1231</v>
      </c>
      <c r="K198" s="26" t="b">
        <v>0</v>
      </c>
      <c r="L198" s="26">
        <v>1</v>
      </c>
    </row>
    <row r="199" spans="1:12" x14ac:dyDescent="0.25">
      <c r="A199" s="26" t="s">
        <v>742</v>
      </c>
      <c r="B199" s="26" t="s">
        <v>736</v>
      </c>
      <c r="C199" s="26" t="s">
        <v>1237</v>
      </c>
      <c r="D199" s="26" t="s">
        <v>527</v>
      </c>
      <c r="E199" s="26">
        <v>127</v>
      </c>
      <c r="F199" s="26">
        <v>124.768449</v>
      </c>
      <c r="G199" s="26">
        <v>-2.2315509999999819</v>
      </c>
      <c r="H199" s="26">
        <v>2.2315509999999819</v>
      </c>
      <c r="I199" s="26" t="s">
        <v>1230</v>
      </c>
      <c r="J199" s="26" t="s">
        <v>1231</v>
      </c>
      <c r="K199" s="26" t="b">
        <v>0</v>
      </c>
      <c r="L199" s="26">
        <v>2</v>
      </c>
    </row>
    <row r="200" spans="1:12" x14ac:dyDescent="0.25">
      <c r="A200" s="26" t="s">
        <v>743</v>
      </c>
      <c r="B200" s="26" t="s">
        <v>736</v>
      </c>
      <c r="C200" s="26" t="s">
        <v>1238</v>
      </c>
      <c r="D200" s="26" t="s">
        <v>527</v>
      </c>
      <c r="E200" s="26">
        <v>105</v>
      </c>
      <c r="F200" s="26">
        <v>102.347495</v>
      </c>
      <c r="G200" s="26">
        <v>-2.652505000000005</v>
      </c>
      <c r="H200" s="26">
        <v>2.652505000000005</v>
      </c>
      <c r="I200" s="26" t="s">
        <v>1230</v>
      </c>
      <c r="J200" s="26" t="s">
        <v>1231</v>
      </c>
      <c r="K200" s="26" t="b">
        <v>0</v>
      </c>
      <c r="L200" s="26">
        <v>3</v>
      </c>
    </row>
    <row r="201" spans="1:12" x14ac:dyDescent="0.25">
      <c r="A201" s="26" t="s">
        <v>744</v>
      </c>
      <c r="B201" s="26" t="s">
        <v>736</v>
      </c>
      <c r="C201" s="26" t="s">
        <v>1239</v>
      </c>
      <c r="D201" s="26" t="s">
        <v>527</v>
      </c>
      <c r="E201" s="26">
        <v>98</v>
      </c>
      <c r="F201" s="26">
        <v>100.84657199999999</v>
      </c>
      <c r="G201" s="26">
        <v>2.846572000000009</v>
      </c>
      <c r="H201" s="26">
        <v>2.846572000000009</v>
      </c>
      <c r="I201" s="26" t="s">
        <v>1230</v>
      </c>
      <c r="J201" s="26" t="s">
        <v>1231</v>
      </c>
      <c r="K201" s="26" t="b">
        <v>0</v>
      </c>
      <c r="L201" s="26">
        <v>4</v>
      </c>
    </row>
    <row r="202" spans="1:12" x14ac:dyDescent="0.25">
      <c r="A202" s="26" t="s">
        <v>745</v>
      </c>
      <c r="B202" s="26" t="s">
        <v>736</v>
      </c>
      <c r="C202" s="26" t="s">
        <v>1240</v>
      </c>
      <c r="D202" s="26" t="s">
        <v>527</v>
      </c>
      <c r="E202" s="26">
        <v>112</v>
      </c>
      <c r="F202" s="26">
        <v>114.320656</v>
      </c>
      <c r="G202" s="26">
        <v>2.3206560000000138</v>
      </c>
      <c r="H202" s="26">
        <v>2.3206560000000138</v>
      </c>
      <c r="I202" s="26" t="s">
        <v>1230</v>
      </c>
      <c r="J202" s="26" t="s">
        <v>1231</v>
      </c>
      <c r="K202" s="26" t="b">
        <v>0</v>
      </c>
      <c r="L202" s="26">
        <v>5</v>
      </c>
    </row>
    <row r="203" spans="1:12" x14ac:dyDescent="0.25">
      <c r="A203" s="26" t="s">
        <v>746</v>
      </c>
      <c r="B203" s="26" t="s">
        <v>747</v>
      </c>
      <c r="C203" s="26" t="s">
        <v>1229</v>
      </c>
      <c r="D203" s="26" t="s">
        <v>527</v>
      </c>
      <c r="E203" s="26">
        <v>94</v>
      </c>
      <c r="F203" s="26">
        <v>89.924546000000021</v>
      </c>
      <c r="G203" s="26">
        <v>-4.0754539999999793</v>
      </c>
      <c r="H203" s="26">
        <v>4.0754539999999793</v>
      </c>
      <c r="I203" s="26" t="s">
        <v>1230</v>
      </c>
      <c r="J203" s="26" t="s">
        <v>1231</v>
      </c>
      <c r="K203" s="26" t="b">
        <v>0</v>
      </c>
      <c r="L203" s="26">
        <v>1</v>
      </c>
    </row>
    <row r="204" spans="1:12" x14ac:dyDescent="0.25">
      <c r="A204" s="26" t="s">
        <v>748</v>
      </c>
      <c r="B204" s="26" t="s">
        <v>747</v>
      </c>
      <c r="C204" s="26" t="s">
        <v>1232</v>
      </c>
      <c r="D204" s="26" t="s">
        <v>527</v>
      </c>
      <c r="E204" s="26">
        <v>105</v>
      </c>
      <c r="F204" s="26">
        <v>104.215093</v>
      </c>
      <c r="G204" s="26">
        <v>-0.78490699999998981</v>
      </c>
      <c r="H204" s="26">
        <v>0.78490699999998981</v>
      </c>
      <c r="I204" s="26" t="s">
        <v>1230</v>
      </c>
      <c r="J204" s="26" t="s">
        <v>1231</v>
      </c>
      <c r="K204" s="26" t="b">
        <v>0</v>
      </c>
      <c r="L204" s="26">
        <v>2</v>
      </c>
    </row>
    <row r="205" spans="1:12" x14ac:dyDescent="0.25">
      <c r="A205" s="26" t="s">
        <v>749</v>
      </c>
      <c r="B205" s="26" t="s">
        <v>747</v>
      </c>
      <c r="C205" s="26" t="s">
        <v>1233</v>
      </c>
      <c r="D205" s="26" t="s">
        <v>527</v>
      </c>
      <c r="E205" s="26">
        <v>103</v>
      </c>
      <c r="F205" s="26">
        <v>105.95557700000001</v>
      </c>
      <c r="G205" s="26">
        <v>2.955577000000019</v>
      </c>
      <c r="H205" s="26">
        <v>2.955577000000019</v>
      </c>
      <c r="I205" s="26" t="s">
        <v>1230</v>
      </c>
      <c r="J205" s="26" t="s">
        <v>1231</v>
      </c>
      <c r="K205" s="26" t="b">
        <v>0</v>
      </c>
      <c r="L205" s="26">
        <v>3</v>
      </c>
    </row>
    <row r="206" spans="1:12" x14ac:dyDescent="0.25">
      <c r="A206" s="26" t="s">
        <v>750</v>
      </c>
      <c r="B206" s="26" t="s">
        <v>747</v>
      </c>
      <c r="C206" s="26" t="s">
        <v>1234</v>
      </c>
      <c r="D206" s="26" t="s">
        <v>527</v>
      </c>
      <c r="E206" s="26">
        <v>111</v>
      </c>
      <c r="F206" s="26">
        <v>110.04767</v>
      </c>
      <c r="G206" s="26">
        <v>-0.95232999999998924</v>
      </c>
      <c r="H206" s="26">
        <v>0.95232999999998924</v>
      </c>
      <c r="I206" s="26" t="s">
        <v>1230</v>
      </c>
      <c r="J206" s="26" t="s">
        <v>1231</v>
      </c>
      <c r="K206" s="26" t="b">
        <v>0</v>
      </c>
      <c r="L206" s="26">
        <v>4</v>
      </c>
    </row>
    <row r="207" spans="1:12" x14ac:dyDescent="0.25">
      <c r="A207" s="26" t="s">
        <v>751</v>
      </c>
      <c r="B207" s="26" t="s">
        <v>747</v>
      </c>
      <c r="C207" s="26" t="s">
        <v>1235</v>
      </c>
      <c r="D207" s="26" t="s">
        <v>527</v>
      </c>
      <c r="E207" s="26">
        <v>124</v>
      </c>
      <c r="F207" s="26">
        <v>122.73462499999999</v>
      </c>
      <c r="G207" s="26">
        <v>-1.2653749999999919</v>
      </c>
      <c r="H207" s="26">
        <v>1.2653749999999919</v>
      </c>
      <c r="I207" s="26" t="s">
        <v>1230</v>
      </c>
      <c r="J207" s="26" t="s">
        <v>1231</v>
      </c>
      <c r="K207" s="26" t="b">
        <v>0</v>
      </c>
      <c r="L207" s="26">
        <v>5</v>
      </c>
    </row>
    <row r="208" spans="1:12" x14ac:dyDescent="0.25">
      <c r="A208" s="26" t="s">
        <v>752</v>
      </c>
      <c r="B208" s="26" t="s">
        <v>747</v>
      </c>
      <c r="C208" s="26" t="s">
        <v>1236</v>
      </c>
      <c r="D208" s="26" t="s">
        <v>527</v>
      </c>
      <c r="E208" s="26">
        <v>115</v>
      </c>
      <c r="F208" s="26">
        <v>114.296211</v>
      </c>
      <c r="G208" s="26">
        <v>-0.70378899999998623</v>
      </c>
      <c r="H208" s="26">
        <v>0.70378899999998623</v>
      </c>
      <c r="I208" s="26" t="s">
        <v>1230</v>
      </c>
      <c r="J208" s="26" t="s">
        <v>1231</v>
      </c>
      <c r="K208" s="26" t="b">
        <v>0</v>
      </c>
      <c r="L208" s="26">
        <v>1</v>
      </c>
    </row>
    <row r="209" spans="1:12" x14ac:dyDescent="0.25">
      <c r="A209" s="26" t="s">
        <v>753</v>
      </c>
      <c r="B209" s="26" t="s">
        <v>747</v>
      </c>
      <c r="C209" s="26" t="s">
        <v>1237</v>
      </c>
      <c r="D209" s="26" t="s">
        <v>527</v>
      </c>
      <c r="E209" s="26">
        <v>100</v>
      </c>
      <c r="F209" s="26">
        <v>98.172289000000006</v>
      </c>
      <c r="G209" s="26">
        <v>-1.8277109999999941</v>
      </c>
      <c r="H209" s="26">
        <v>1.8277109999999941</v>
      </c>
      <c r="I209" s="26" t="s">
        <v>1230</v>
      </c>
      <c r="J209" s="26" t="s">
        <v>1231</v>
      </c>
      <c r="K209" s="26" t="b">
        <v>0</v>
      </c>
      <c r="L209" s="26">
        <v>2</v>
      </c>
    </row>
    <row r="210" spans="1:12" x14ac:dyDescent="0.25">
      <c r="A210" s="26" t="s">
        <v>754</v>
      </c>
      <c r="B210" s="26" t="s">
        <v>747</v>
      </c>
      <c r="C210" s="26" t="s">
        <v>1238</v>
      </c>
      <c r="D210" s="26" t="s">
        <v>527</v>
      </c>
      <c r="E210" s="26">
        <v>108</v>
      </c>
      <c r="F210" s="26">
        <v>104.977777</v>
      </c>
      <c r="G210" s="26">
        <v>-3.0222229999999972</v>
      </c>
      <c r="H210" s="26">
        <v>3.0222229999999972</v>
      </c>
      <c r="I210" s="26" t="s">
        <v>1230</v>
      </c>
      <c r="J210" s="26" t="s">
        <v>1231</v>
      </c>
      <c r="K210" s="26" t="b">
        <v>0</v>
      </c>
      <c r="L210" s="26">
        <v>3</v>
      </c>
    </row>
    <row r="211" spans="1:12" x14ac:dyDescent="0.25">
      <c r="A211" s="26" t="s">
        <v>755</v>
      </c>
      <c r="B211" s="26" t="s">
        <v>747</v>
      </c>
      <c r="C211" s="26" t="s">
        <v>1239</v>
      </c>
      <c r="D211" s="26" t="s">
        <v>527</v>
      </c>
      <c r="E211" s="26">
        <v>95</v>
      </c>
      <c r="F211" s="26">
        <v>97.067375000000013</v>
      </c>
      <c r="G211" s="26">
        <v>2.0673750000000131</v>
      </c>
      <c r="H211" s="26">
        <v>2.0673750000000131</v>
      </c>
      <c r="I211" s="26" t="s">
        <v>1230</v>
      </c>
      <c r="J211" s="26" t="s">
        <v>1231</v>
      </c>
      <c r="K211" s="26" t="b">
        <v>0</v>
      </c>
      <c r="L211" s="26">
        <v>4</v>
      </c>
    </row>
    <row r="212" spans="1:12" x14ac:dyDescent="0.25">
      <c r="A212" s="26" t="s">
        <v>756</v>
      </c>
      <c r="B212" s="26" t="s">
        <v>747</v>
      </c>
      <c r="C212" s="26" t="s">
        <v>1240</v>
      </c>
      <c r="D212" s="26" t="s">
        <v>527</v>
      </c>
      <c r="E212" s="26">
        <v>103</v>
      </c>
      <c r="F212" s="26">
        <v>99.849215999999998</v>
      </c>
      <c r="G212" s="26">
        <v>-3.150784000000002</v>
      </c>
      <c r="H212" s="26">
        <v>3.150784000000002</v>
      </c>
      <c r="I212" s="26" t="s">
        <v>1230</v>
      </c>
      <c r="J212" s="26" t="s">
        <v>1231</v>
      </c>
      <c r="K212" s="26" t="b">
        <v>0</v>
      </c>
      <c r="L212" s="26">
        <v>5</v>
      </c>
    </row>
    <row r="213" spans="1:12" x14ac:dyDescent="0.25">
      <c r="A213" s="26" t="s">
        <v>757</v>
      </c>
      <c r="B213" s="26" t="s">
        <v>758</v>
      </c>
      <c r="C213" s="26" t="s">
        <v>1229</v>
      </c>
      <c r="D213" s="26" t="s">
        <v>527</v>
      </c>
      <c r="E213" s="26">
        <v>89</v>
      </c>
      <c r="F213" s="26">
        <v>89.797432000000015</v>
      </c>
      <c r="G213" s="26">
        <v>0.7974320000000148</v>
      </c>
      <c r="H213" s="26">
        <v>0.7974320000000148</v>
      </c>
      <c r="I213" s="26" t="s">
        <v>1230</v>
      </c>
      <c r="J213" s="26" t="s">
        <v>1231</v>
      </c>
      <c r="K213" s="26" t="b">
        <v>0</v>
      </c>
      <c r="L213" s="26">
        <v>1</v>
      </c>
    </row>
    <row r="214" spans="1:12" x14ac:dyDescent="0.25">
      <c r="A214" s="26" t="s">
        <v>759</v>
      </c>
      <c r="B214" s="26" t="s">
        <v>758</v>
      </c>
      <c r="C214" s="26" t="s">
        <v>1232</v>
      </c>
      <c r="D214" s="26" t="s">
        <v>527</v>
      </c>
      <c r="E214" s="26">
        <v>114</v>
      </c>
      <c r="F214" s="26">
        <v>115.357124</v>
      </c>
      <c r="G214" s="26">
        <v>1.3571240000000131</v>
      </c>
      <c r="H214" s="26">
        <v>1.3571240000000131</v>
      </c>
      <c r="I214" s="26" t="s">
        <v>1230</v>
      </c>
      <c r="J214" s="26" t="s">
        <v>1231</v>
      </c>
      <c r="K214" s="26" t="b">
        <v>0</v>
      </c>
      <c r="L214" s="26">
        <v>2</v>
      </c>
    </row>
    <row r="215" spans="1:12" x14ac:dyDescent="0.25">
      <c r="A215" s="26" t="s">
        <v>760</v>
      </c>
      <c r="B215" s="26" t="s">
        <v>758</v>
      </c>
      <c r="C215" s="26" t="s">
        <v>1233</v>
      </c>
      <c r="D215" s="26" t="s">
        <v>527</v>
      </c>
      <c r="E215" s="26">
        <v>89</v>
      </c>
      <c r="F215" s="26">
        <v>86.839587000000009</v>
      </c>
      <c r="G215" s="26">
        <v>-2.1604129999999908</v>
      </c>
      <c r="H215" s="26">
        <v>2.1604129999999908</v>
      </c>
      <c r="I215" s="26" t="s">
        <v>1230</v>
      </c>
      <c r="J215" s="26" t="s">
        <v>1231</v>
      </c>
      <c r="K215" s="26" t="b">
        <v>0</v>
      </c>
      <c r="L215" s="26">
        <v>3</v>
      </c>
    </row>
    <row r="216" spans="1:12" x14ac:dyDescent="0.25">
      <c r="A216" s="26" t="s">
        <v>761</v>
      </c>
      <c r="B216" s="26" t="s">
        <v>758</v>
      </c>
      <c r="C216" s="26" t="s">
        <v>1234</v>
      </c>
      <c r="D216" s="26" t="s">
        <v>527</v>
      </c>
      <c r="E216" s="26">
        <v>121</v>
      </c>
      <c r="F216" s="26">
        <v>119.04831900000001</v>
      </c>
      <c r="G216" s="26">
        <v>-1.951680999999994</v>
      </c>
      <c r="H216" s="26">
        <v>1.951680999999994</v>
      </c>
      <c r="I216" s="26" t="s">
        <v>1230</v>
      </c>
      <c r="J216" s="26" t="s">
        <v>1231</v>
      </c>
      <c r="K216" s="26" t="b">
        <v>0</v>
      </c>
      <c r="L216" s="26">
        <v>4</v>
      </c>
    </row>
    <row r="217" spans="1:12" x14ac:dyDescent="0.25">
      <c r="A217" s="26" t="s">
        <v>762</v>
      </c>
      <c r="B217" s="26" t="s">
        <v>758</v>
      </c>
      <c r="C217" s="26" t="s">
        <v>1235</v>
      </c>
      <c r="D217" s="26" t="s">
        <v>527</v>
      </c>
      <c r="E217" s="26">
        <v>118</v>
      </c>
      <c r="F217" s="26">
        <v>119.835448</v>
      </c>
      <c r="G217" s="26">
        <v>1.835448000000014</v>
      </c>
      <c r="H217" s="26">
        <v>1.835448000000014</v>
      </c>
      <c r="I217" s="26" t="s">
        <v>1230</v>
      </c>
      <c r="J217" s="26" t="s">
        <v>1231</v>
      </c>
      <c r="K217" s="26" t="b">
        <v>0</v>
      </c>
      <c r="L217" s="26">
        <v>5</v>
      </c>
    </row>
    <row r="218" spans="1:12" x14ac:dyDescent="0.25">
      <c r="A218" s="26" t="s">
        <v>763</v>
      </c>
      <c r="B218" s="26" t="s">
        <v>758</v>
      </c>
      <c r="C218" s="26" t="s">
        <v>1236</v>
      </c>
      <c r="D218" s="26" t="s">
        <v>527</v>
      </c>
      <c r="E218" s="26">
        <v>97</v>
      </c>
      <c r="F218" s="26">
        <v>96.114020000000011</v>
      </c>
      <c r="G218" s="26">
        <v>-0.88597999999998933</v>
      </c>
      <c r="H218" s="26">
        <v>0.88597999999998933</v>
      </c>
      <c r="I218" s="26" t="s">
        <v>1230</v>
      </c>
      <c r="J218" s="26" t="s">
        <v>1231</v>
      </c>
      <c r="K218" s="26" t="b">
        <v>0</v>
      </c>
      <c r="L218" s="26">
        <v>1</v>
      </c>
    </row>
    <row r="219" spans="1:12" x14ac:dyDescent="0.25">
      <c r="A219" s="26" t="s">
        <v>764</v>
      </c>
      <c r="B219" s="26" t="s">
        <v>758</v>
      </c>
      <c r="C219" s="26" t="s">
        <v>1237</v>
      </c>
      <c r="D219" s="26" t="s">
        <v>527</v>
      </c>
      <c r="E219" s="26">
        <v>106</v>
      </c>
      <c r="F219" s="26">
        <v>108.082292</v>
      </c>
      <c r="G219" s="26">
        <v>2.08229200000001</v>
      </c>
      <c r="H219" s="26">
        <v>2.08229200000001</v>
      </c>
      <c r="I219" s="26" t="s">
        <v>1230</v>
      </c>
      <c r="J219" s="26" t="s">
        <v>1231</v>
      </c>
      <c r="K219" s="26" t="b">
        <v>0</v>
      </c>
      <c r="L219" s="26">
        <v>2</v>
      </c>
    </row>
    <row r="220" spans="1:12" x14ac:dyDescent="0.25">
      <c r="A220" s="26" t="s">
        <v>765</v>
      </c>
      <c r="B220" s="26" t="s">
        <v>758</v>
      </c>
      <c r="C220" s="26" t="s">
        <v>1238</v>
      </c>
      <c r="D220" s="26" t="s">
        <v>527</v>
      </c>
      <c r="E220" s="26">
        <v>84</v>
      </c>
      <c r="F220" s="26">
        <v>86.580470000000005</v>
      </c>
      <c r="G220" s="26">
        <v>2.5804700000000049</v>
      </c>
      <c r="H220" s="26">
        <v>2.5804700000000049</v>
      </c>
      <c r="I220" s="26" t="s">
        <v>1230</v>
      </c>
      <c r="J220" s="26" t="s">
        <v>1231</v>
      </c>
      <c r="K220" s="26" t="b">
        <v>0</v>
      </c>
      <c r="L220" s="26">
        <v>3</v>
      </c>
    </row>
    <row r="221" spans="1:12" x14ac:dyDescent="0.25">
      <c r="A221" s="26" t="s">
        <v>766</v>
      </c>
      <c r="B221" s="26" t="s">
        <v>758</v>
      </c>
      <c r="C221" s="26" t="s">
        <v>1239</v>
      </c>
      <c r="D221" s="26" t="s">
        <v>527</v>
      </c>
      <c r="E221" s="26">
        <v>117</v>
      </c>
      <c r="F221" s="26">
        <v>117.214944</v>
      </c>
      <c r="G221" s="26">
        <v>0.21494400000000269</v>
      </c>
      <c r="H221" s="26">
        <v>0.21494400000000269</v>
      </c>
      <c r="I221" s="26" t="s">
        <v>1230</v>
      </c>
      <c r="J221" s="26" t="s">
        <v>1231</v>
      </c>
      <c r="K221" s="26" t="b">
        <v>0</v>
      </c>
      <c r="L221" s="26">
        <v>4</v>
      </c>
    </row>
    <row r="222" spans="1:12" x14ac:dyDescent="0.25">
      <c r="A222" s="26" t="s">
        <v>767</v>
      </c>
      <c r="B222" s="26" t="s">
        <v>758</v>
      </c>
      <c r="C222" s="26" t="s">
        <v>1240</v>
      </c>
      <c r="D222" s="26" t="s">
        <v>527</v>
      </c>
      <c r="E222" s="26">
        <v>90</v>
      </c>
      <c r="F222" s="26">
        <v>88.775631000000004</v>
      </c>
      <c r="G222" s="26">
        <v>-1.224368999999996</v>
      </c>
      <c r="H222" s="26">
        <v>1.224368999999996</v>
      </c>
      <c r="I222" s="26" t="s">
        <v>1230</v>
      </c>
      <c r="J222" s="26" t="s">
        <v>1231</v>
      </c>
      <c r="K222" s="26" t="b">
        <v>0</v>
      </c>
      <c r="L222" s="26">
        <v>5</v>
      </c>
    </row>
    <row r="223" spans="1:12" x14ac:dyDescent="0.25">
      <c r="A223" s="26" t="s">
        <v>768</v>
      </c>
      <c r="B223" s="26" t="s">
        <v>769</v>
      </c>
      <c r="C223" s="26" t="s">
        <v>1229</v>
      </c>
      <c r="D223" s="26" t="s">
        <v>527</v>
      </c>
      <c r="E223" s="26">
        <v>113</v>
      </c>
      <c r="F223" s="26">
        <v>112.115717</v>
      </c>
      <c r="G223" s="26">
        <v>-0.88428299999999638</v>
      </c>
      <c r="H223" s="26">
        <v>0.88428299999999638</v>
      </c>
      <c r="I223" s="26" t="s">
        <v>1230</v>
      </c>
      <c r="J223" s="26" t="s">
        <v>1231</v>
      </c>
      <c r="K223" s="26" t="b">
        <v>0</v>
      </c>
      <c r="L223" s="26">
        <v>1</v>
      </c>
    </row>
    <row r="224" spans="1:12" x14ac:dyDescent="0.25">
      <c r="A224" s="26" t="s">
        <v>770</v>
      </c>
      <c r="B224" s="26" t="s">
        <v>769</v>
      </c>
      <c r="C224" s="26" t="s">
        <v>1232</v>
      </c>
      <c r="D224" s="26" t="s">
        <v>527</v>
      </c>
      <c r="E224" s="26">
        <v>102</v>
      </c>
      <c r="F224" s="26">
        <v>102.57727800000001</v>
      </c>
      <c r="G224" s="26">
        <v>0.57727800000000684</v>
      </c>
      <c r="H224" s="26">
        <v>0.57727800000000684</v>
      </c>
      <c r="I224" s="26" t="s">
        <v>1230</v>
      </c>
      <c r="J224" s="26" t="s">
        <v>1231</v>
      </c>
      <c r="K224" s="26" t="b">
        <v>0</v>
      </c>
      <c r="L224" s="26">
        <v>2</v>
      </c>
    </row>
    <row r="225" spans="1:12" x14ac:dyDescent="0.25">
      <c r="A225" s="26" t="s">
        <v>771</v>
      </c>
      <c r="B225" s="26" t="s">
        <v>769</v>
      </c>
      <c r="C225" s="26" t="s">
        <v>1233</v>
      </c>
      <c r="D225" s="26" t="s">
        <v>527</v>
      </c>
      <c r="E225" s="26">
        <v>122</v>
      </c>
      <c r="F225" s="26">
        <v>121.30703699999999</v>
      </c>
      <c r="G225" s="26">
        <v>-0.69296299999999178</v>
      </c>
      <c r="H225" s="26">
        <v>0.69296299999999178</v>
      </c>
      <c r="I225" s="26" t="s">
        <v>1230</v>
      </c>
      <c r="J225" s="26" t="s">
        <v>1231</v>
      </c>
      <c r="K225" s="26" t="b">
        <v>0</v>
      </c>
      <c r="L225" s="26">
        <v>3</v>
      </c>
    </row>
    <row r="226" spans="1:12" x14ac:dyDescent="0.25">
      <c r="A226" s="26" t="s">
        <v>772</v>
      </c>
      <c r="B226" s="26" t="s">
        <v>769</v>
      </c>
      <c r="C226" s="26" t="s">
        <v>1234</v>
      </c>
      <c r="D226" s="26" t="s">
        <v>527</v>
      </c>
      <c r="E226" s="26">
        <v>104</v>
      </c>
      <c r="F226" s="26">
        <v>105.667126</v>
      </c>
      <c r="G226" s="26">
        <v>1.6671260000000101</v>
      </c>
      <c r="H226" s="26">
        <v>1.6671260000000101</v>
      </c>
      <c r="I226" s="26" t="s">
        <v>1230</v>
      </c>
      <c r="J226" s="26" t="s">
        <v>1231</v>
      </c>
      <c r="K226" s="26" t="b">
        <v>0</v>
      </c>
      <c r="L226" s="26">
        <v>4</v>
      </c>
    </row>
    <row r="227" spans="1:12" x14ac:dyDescent="0.25">
      <c r="A227" s="26" t="s">
        <v>773</v>
      </c>
      <c r="B227" s="26" t="s">
        <v>769</v>
      </c>
      <c r="C227" s="26" t="s">
        <v>1235</v>
      </c>
      <c r="D227" s="26" t="s">
        <v>527</v>
      </c>
      <c r="E227" s="26">
        <v>125</v>
      </c>
      <c r="F227" s="26">
        <v>121.90349500000001</v>
      </c>
      <c r="G227" s="26">
        <v>-3.096504999999993</v>
      </c>
      <c r="H227" s="26">
        <v>3.096504999999993</v>
      </c>
      <c r="I227" s="26" t="s">
        <v>1230</v>
      </c>
      <c r="J227" s="26" t="s">
        <v>1231</v>
      </c>
      <c r="K227" s="26" t="b">
        <v>0</v>
      </c>
      <c r="L227" s="26">
        <v>5</v>
      </c>
    </row>
    <row r="228" spans="1:12" x14ac:dyDescent="0.25">
      <c r="A228" s="26" t="s">
        <v>774</v>
      </c>
      <c r="B228" s="26" t="s">
        <v>769</v>
      </c>
      <c r="C228" s="26" t="s">
        <v>1236</v>
      </c>
      <c r="D228" s="26" t="s">
        <v>527</v>
      </c>
      <c r="E228" s="26">
        <v>108</v>
      </c>
      <c r="F228" s="26">
        <v>105.344452</v>
      </c>
      <c r="G228" s="26">
        <v>-2.6555479999999818</v>
      </c>
      <c r="H228" s="26">
        <v>2.6555479999999818</v>
      </c>
      <c r="I228" s="26" t="s">
        <v>1230</v>
      </c>
      <c r="J228" s="26" t="s">
        <v>1231</v>
      </c>
      <c r="K228" s="26" t="b">
        <v>0</v>
      </c>
      <c r="L228" s="26">
        <v>1</v>
      </c>
    </row>
    <row r="229" spans="1:12" x14ac:dyDescent="0.25">
      <c r="A229" s="26" t="s">
        <v>775</v>
      </c>
      <c r="B229" s="26" t="s">
        <v>769</v>
      </c>
      <c r="C229" s="26" t="s">
        <v>1237</v>
      </c>
      <c r="D229" s="26" t="s">
        <v>527</v>
      </c>
      <c r="E229" s="26">
        <v>92</v>
      </c>
      <c r="F229" s="26">
        <v>92.613495999999998</v>
      </c>
      <c r="G229" s="26">
        <v>0.61349599999999782</v>
      </c>
      <c r="H229" s="26">
        <v>0.61349599999999782</v>
      </c>
      <c r="I229" s="26" t="s">
        <v>1230</v>
      </c>
      <c r="J229" s="26" t="s">
        <v>1231</v>
      </c>
      <c r="K229" s="26" t="b">
        <v>0</v>
      </c>
      <c r="L229" s="26">
        <v>2</v>
      </c>
    </row>
    <row r="230" spans="1:12" x14ac:dyDescent="0.25">
      <c r="A230" s="26" t="s">
        <v>776</v>
      </c>
      <c r="B230" s="26" t="s">
        <v>769</v>
      </c>
      <c r="C230" s="26" t="s">
        <v>1238</v>
      </c>
      <c r="D230" s="26" t="s">
        <v>527</v>
      </c>
      <c r="E230" s="26">
        <v>110</v>
      </c>
      <c r="F230" s="26">
        <v>109.04542499999999</v>
      </c>
      <c r="G230" s="26">
        <v>-0.95457499999999129</v>
      </c>
      <c r="H230" s="26">
        <v>0.95457499999999129</v>
      </c>
      <c r="I230" s="26" t="s">
        <v>1230</v>
      </c>
      <c r="J230" s="26" t="s">
        <v>1231</v>
      </c>
      <c r="K230" s="26" t="b">
        <v>0</v>
      </c>
      <c r="L230" s="26">
        <v>3</v>
      </c>
    </row>
    <row r="231" spans="1:12" x14ac:dyDescent="0.25">
      <c r="A231" s="26" t="s">
        <v>777</v>
      </c>
      <c r="B231" s="26" t="s">
        <v>769</v>
      </c>
      <c r="C231" s="26" t="s">
        <v>1239</v>
      </c>
      <c r="D231" s="26" t="s">
        <v>527</v>
      </c>
      <c r="E231" s="26">
        <v>101</v>
      </c>
      <c r="F231" s="26">
        <v>100.010553</v>
      </c>
      <c r="G231" s="26">
        <v>-0.9894469999999842</v>
      </c>
      <c r="H231" s="26">
        <v>0.9894469999999842</v>
      </c>
      <c r="I231" s="26" t="s">
        <v>1230</v>
      </c>
      <c r="J231" s="26" t="s">
        <v>1231</v>
      </c>
      <c r="K231" s="26" t="b">
        <v>0</v>
      </c>
      <c r="L231" s="26">
        <v>4</v>
      </c>
    </row>
    <row r="232" spans="1:12" x14ac:dyDescent="0.25">
      <c r="A232" s="26" t="s">
        <v>778</v>
      </c>
      <c r="B232" s="26" t="s">
        <v>769</v>
      </c>
      <c r="C232" s="26" t="s">
        <v>1240</v>
      </c>
      <c r="D232" s="26" t="s">
        <v>527</v>
      </c>
      <c r="E232" s="26">
        <v>108</v>
      </c>
      <c r="F232" s="26">
        <v>104.86533</v>
      </c>
      <c r="G232" s="26">
        <v>-3.1346699999999998</v>
      </c>
      <c r="H232" s="26">
        <v>3.1346699999999998</v>
      </c>
      <c r="I232" s="26" t="s">
        <v>1230</v>
      </c>
      <c r="J232" s="26" t="s">
        <v>1231</v>
      </c>
      <c r="K232" s="26" t="b">
        <v>0</v>
      </c>
      <c r="L232" s="26">
        <v>5</v>
      </c>
    </row>
    <row r="233" spans="1:12" x14ac:dyDescent="0.25">
      <c r="A233" s="26" t="s">
        <v>779</v>
      </c>
      <c r="B233" s="26" t="s">
        <v>780</v>
      </c>
      <c r="C233" s="26" t="s">
        <v>1229</v>
      </c>
      <c r="D233" s="26" t="s">
        <v>527</v>
      </c>
      <c r="E233" s="26">
        <v>102</v>
      </c>
      <c r="F233" s="26">
        <v>102.11282300000001</v>
      </c>
      <c r="G233" s="26">
        <v>0.1128230000000059</v>
      </c>
      <c r="H233" s="26">
        <v>0.1128230000000059</v>
      </c>
      <c r="I233" s="26" t="s">
        <v>1230</v>
      </c>
      <c r="J233" s="26" t="s">
        <v>1231</v>
      </c>
      <c r="K233" s="26" t="b">
        <v>0</v>
      </c>
      <c r="L233" s="26">
        <v>1</v>
      </c>
    </row>
    <row r="234" spans="1:12" x14ac:dyDescent="0.25">
      <c r="A234" s="26" t="s">
        <v>781</v>
      </c>
      <c r="B234" s="26" t="s">
        <v>780</v>
      </c>
      <c r="C234" s="26" t="s">
        <v>1232</v>
      </c>
      <c r="D234" s="26" t="s">
        <v>527</v>
      </c>
      <c r="E234" s="26">
        <v>77</v>
      </c>
      <c r="F234" s="26">
        <v>77.540709000000007</v>
      </c>
      <c r="G234" s="26">
        <v>0.54070900000000677</v>
      </c>
      <c r="H234" s="26">
        <v>0.54070900000000677</v>
      </c>
      <c r="I234" s="26" t="s">
        <v>1230</v>
      </c>
      <c r="J234" s="26" t="s">
        <v>1231</v>
      </c>
      <c r="K234" s="26" t="b">
        <v>0</v>
      </c>
      <c r="L234" s="26">
        <v>2</v>
      </c>
    </row>
    <row r="235" spans="1:12" x14ac:dyDescent="0.25">
      <c r="A235" s="26" t="s">
        <v>782</v>
      </c>
      <c r="B235" s="26" t="s">
        <v>780</v>
      </c>
      <c r="C235" s="26" t="s">
        <v>1233</v>
      </c>
      <c r="D235" s="26" t="s">
        <v>527</v>
      </c>
      <c r="E235" s="26">
        <v>117</v>
      </c>
      <c r="F235" s="26">
        <v>117.884737</v>
      </c>
      <c r="G235" s="26">
        <v>0.88473700000000122</v>
      </c>
      <c r="H235" s="26">
        <v>0.88473700000000122</v>
      </c>
      <c r="I235" s="26" t="s">
        <v>1230</v>
      </c>
      <c r="J235" s="26" t="s">
        <v>1231</v>
      </c>
      <c r="K235" s="26" t="b">
        <v>0</v>
      </c>
      <c r="L235" s="26">
        <v>3</v>
      </c>
    </row>
    <row r="236" spans="1:12" x14ac:dyDescent="0.25">
      <c r="A236" s="26" t="s">
        <v>783</v>
      </c>
      <c r="B236" s="26" t="s">
        <v>780</v>
      </c>
      <c r="C236" s="26" t="s">
        <v>1234</v>
      </c>
      <c r="D236" s="26" t="s">
        <v>527</v>
      </c>
      <c r="E236" s="26">
        <v>97</v>
      </c>
      <c r="F236" s="26">
        <v>97.311825000000013</v>
      </c>
      <c r="G236" s="26">
        <v>0.31182500000001312</v>
      </c>
      <c r="H236" s="26">
        <v>0.31182500000001312</v>
      </c>
      <c r="I236" s="26" t="s">
        <v>1230</v>
      </c>
      <c r="J236" s="26" t="s">
        <v>1231</v>
      </c>
      <c r="K236" s="26" t="b">
        <v>0</v>
      </c>
      <c r="L236" s="26">
        <v>4</v>
      </c>
    </row>
    <row r="237" spans="1:12" x14ac:dyDescent="0.25">
      <c r="A237" s="26" t="s">
        <v>784</v>
      </c>
      <c r="B237" s="26" t="s">
        <v>780</v>
      </c>
      <c r="C237" s="26" t="s">
        <v>1235</v>
      </c>
      <c r="D237" s="26" t="s">
        <v>527</v>
      </c>
      <c r="E237" s="26">
        <v>111</v>
      </c>
      <c r="F237" s="26">
        <v>110.649017</v>
      </c>
      <c r="G237" s="26">
        <v>-0.35098299999999938</v>
      </c>
      <c r="H237" s="26">
        <v>0.35098299999999938</v>
      </c>
      <c r="I237" s="26" t="s">
        <v>1230</v>
      </c>
      <c r="J237" s="26" t="s">
        <v>1231</v>
      </c>
      <c r="K237" s="26" t="b">
        <v>0</v>
      </c>
      <c r="L237" s="26">
        <v>5</v>
      </c>
    </row>
    <row r="238" spans="1:12" x14ac:dyDescent="0.25">
      <c r="A238" s="26" t="s">
        <v>785</v>
      </c>
      <c r="B238" s="26" t="s">
        <v>780</v>
      </c>
      <c r="C238" s="26" t="s">
        <v>1236</v>
      </c>
      <c r="D238" s="26" t="s">
        <v>527</v>
      </c>
      <c r="E238" s="26">
        <v>100</v>
      </c>
      <c r="F238" s="26">
        <v>102.171491</v>
      </c>
      <c r="G238" s="26">
        <v>2.1714910000000169</v>
      </c>
      <c r="H238" s="26">
        <v>2.1714910000000169</v>
      </c>
      <c r="I238" s="26" t="s">
        <v>1230</v>
      </c>
      <c r="J238" s="26" t="s">
        <v>1231</v>
      </c>
      <c r="K238" s="26" t="b">
        <v>0</v>
      </c>
      <c r="L238" s="26">
        <v>1</v>
      </c>
    </row>
    <row r="239" spans="1:12" x14ac:dyDescent="0.25">
      <c r="A239" s="26" t="s">
        <v>786</v>
      </c>
      <c r="B239" s="26" t="s">
        <v>780</v>
      </c>
      <c r="C239" s="26" t="s">
        <v>1237</v>
      </c>
      <c r="D239" s="26" t="s">
        <v>527</v>
      </c>
      <c r="E239" s="26">
        <v>110</v>
      </c>
      <c r="F239" s="26">
        <v>107.612948</v>
      </c>
      <c r="G239" s="26">
        <v>-2.3870519999999971</v>
      </c>
      <c r="H239" s="26">
        <v>2.3870519999999971</v>
      </c>
      <c r="I239" s="26" t="s">
        <v>1230</v>
      </c>
      <c r="J239" s="26" t="s">
        <v>1231</v>
      </c>
      <c r="K239" s="26" t="b">
        <v>0</v>
      </c>
      <c r="L239" s="26">
        <v>2</v>
      </c>
    </row>
    <row r="240" spans="1:12" x14ac:dyDescent="0.25">
      <c r="A240" s="26" t="s">
        <v>787</v>
      </c>
      <c r="B240" s="26" t="s">
        <v>780</v>
      </c>
      <c r="C240" s="26" t="s">
        <v>1238</v>
      </c>
      <c r="D240" s="26" t="s">
        <v>527</v>
      </c>
      <c r="E240" s="26">
        <v>111</v>
      </c>
      <c r="F240" s="26">
        <v>111.81259900000001</v>
      </c>
      <c r="G240" s="26">
        <v>0.81259900000000584</v>
      </c>
      <c r="H240" s="26">
        <v>0.81259900000000584</v>
      </c>
      <c r="I240" s="26" t="s">
        <v>1230</v>
      </c>
      <c r="J240" s="26" t="s">
        <v>1231</v>
      </c>
      <c r="K240" s="26" t="b">
        <v>0</v>
      </c>
      <c r="L240" s="26">
        <v>3</v>
      </c>
    </row>
    <row r="241" spans="1:12" x14ac:dyDescent="0.25">
      <c r="A241" s="26" t="s">
        <v>788</v>
      </c>
      <c r="B241" s="26" t="s">
        <v>780</v>
      </c>
      <c r="C241" s="26" t="s">
        <v>1239</v>
      </c>
      <c r="D241" s="26" t="s">
        <v>527</v>
      </c>
      <c r="E241" s="26">
        <v>93</v>
      </c>
      <c r="F241" s="26">
        <v>90.369444999999999</v>
      </c>
      <c r="G241" s="26">
        <v>-2.6305550000000011</v>
      </c>
      <c r="H241" s="26">
        <v>2.6305550000000011</v>
      </c>
      <c r="I241" s="26" t="s">
        <v>1230</v>
      </c>
      <c r="J241" s="26" t="s">
        <v>1231</v>
      </c>
      <c r="K241" s="26" t="b">
        <v>0</v>
      </c>
      <c r="L241" s="26">
        <v>4</v>
      </c>
    </row>
    <row r="242" spans="1:12" x14ac:dyDescent="0.25">
      <c r="A242" s="26" t="s">
        <v>789</v>
      </c>
      <c r="B242" s="26" t="s">
        <v>780</v>
      </c>
      <c r="C242" s="26" t="s">
        <v>1240</v>
      </c>
      <c r="D242" s="26" t="s">
        <v>527</v>
      </c>
      <c r="E242" s="26">
        <v>118</v>
      </c>
      <c r="F242" s="26">
        <v>116.261589</v>
      </c>
      <c r="G242" s="26">
        <v>-1.738410999999999</v>
      </c>
      <c r="H242" s="26">
        <v>1.738410999999999</v>
      </c>
      <c r="I242" s="26" t="s">
        <v>1230</v>
      </c>
      <c r="J242" s="26" t="s">
        <v>1231</v>
      </c>
      <c r="K242" s="26" t="b">
        <v>0</v>
      </c>
      <c r="L242" s="26">
        <v>5</v>
      </c>
    </row>
    <row r="243" spans="1:12" x14ac:dyDescent="0.25">
      <c r="A243" s="26" t="s">
        <v>790</v>
      </c>
      <c r="B243" s="26" t="s">
        <v>791</v>
      </c>
      <c r="C243" s="26" t="s">
        <v>1229</v>
      </c>
      <c r="D243" s="26" t="s">
        <v>527</v>
      </c>
      <c r="E243" s="26">
        <v>109</v>
      </c>
      <c r="F243" s="26">
        <v>106.81115200000001</v>
      </c>
      <c r="G243" s="26">
        <v>-2.188847999999993</v>
      </c>
      <c r="H243" s="26">
        <v>2.188847999999993</v>
      </c>
      <c r="I243" s="26" t="s">
        <v>1230</v>
      </c>
      <c r="J243" s="26" t="s">
        <v>1231</v>
      </c>
      <c r="K243" s="26" t="b">
        <v>0</v>
      </c>
      <c r="L243" s="26">
        <v>1</v>
      </c>
    </row>
    <row r="244" spans="1:12" x14ac:dyDescent="0.25">
      <c r="A244" s="26" t="s">
        <v>792</v>
      </c>
      <c r="B244" s="26" t="s">
        <v>791</v>
      </c>
      <c r="C244" s="26" t="s">
        <v>1232</v>
      </c>
      <c r="D244" s="26" t="s">
        <v>527</v>
      </c>
      <c r="E244" s="26">
        <v>109</v>
      </c>
      <c r="F244" s="26">
        <v>110.28723100000001</v>
      </c>
      <c r="G244" s="26">
        <v>1.287231000000006</v>
      </c>
      <c r="H244" s="26">
        <v>1.287231000000006</v>
      </c>
      <c r="I244" s="26" t="s">
        <v>1230</v>
      </c>
      <c r="J244" s="26" t="s">
        <v>1231</v>
      </c>
      <c r="K244" s="26" t="b">
        <v>0</v>
      </c>
      <c r="L244" s="26">
        <v>2</v>
      </c>
    </row>
    <row r="245" spans="1:12" x14ac:dyDescent="0.25">
      <c r="A245" s="26" t="s">
        <v>793</v>
      </c>
      <c r="B245" s="26" t="s">
        <v>791</v>
      </c>
      <c r="C245" s="26" t="s">
        <v>1233</v>
      </c>
      <c r="D245" s="26" t="s">
        <v>527</v>
      </c>
      <c r="E245" s="26">
        <v>97</v>
      </c>
      <c r="F245" s="26">
        <v>97.077152999999996</v>
      </c>
      <c r="G245" s="26">
        <v>7.7152999999995586E-2</v>
      </c>
      <c r="H245" s="26">
        <v>7.7152999999995586E-2</v>
      </c>
      <c r="I245" s="26" t="s">
        <v>1230</v>
      </c>
      <c r="J245" s="26" t="s">
        <v>1231</v>
      </c>
      <c r="K245" s="26" t="b">
        <v>0</v>
      </c>
      <c r="L245" s="26">
        <v>3</v>
      </c>
    </row>
    <row r="246" spans="1:12" x14ac:dyDescent="0.25">
      <c r="A246" s="26" t="s">
        <v>794</v>
      </c>
      <c r="B246" s="26" t="s">
        <v>791</v>
      </c>
      <c r="C246" s="26" t="s">
        <v>1234</v>
      </c>
      <c r="D246" s="26" t="s">
        <v>527</v>
      </c>
      <c r="E246" s="26">
        <v>107</v>
      </c>
      <c r="F246" s="26">
        <v>106.943155</v>
      </c>
      <c r="G246" s="26">
        <v>-5.6844999999995587E-2</v>
      </c>
      <c r="H246" s="26">
        <v>5.6844999999995587E-2</v>
      </c>
      <c r="I246" s="26" t="s">
        <v>1230</v>
      </c>
      <c r="J246" s="26" t="s">
        <v>1231</v>
      </c>
      <c r="K246" s="26" t="b">
        <v>0</v>
      </c>
      <c r="L246" s="26">
        <v>4</v>
      </c>
    </row>
    <row r="247" spans="1:12" x14ac:dyDescent="0.25">
      <c r="A247" s="26" t="s">
        <v>795</v>
      </c>
      <c r="B247" s="26" t="s">
        <v>791</v>
      </c>
      <c r="C247" s="26" t="s">
        <v>1235</v>
      </c>
      <c r="D247" s="26" t="s">
        <v>527</v>
      </c>
      <c r="E247" s="26">
        <v>125</v>
      </c>
      <c r="F247" s="26">
        <v>122.641734</v>
      </c>
      <c r="G247" s="26">
        <v>-2.3582659999999862</v>
      </c>
      <c r="H247" s="26">
        <v>2.3582659999999862</v>
      </c>
      <c r="I247" s="26" t="s">
        <v>1230</v>
      </c>
      <c r="J247" s="26" t="s">
        <v>1231</v>
      </c>
      <c r="K247" s="26" t="b">
        <v>0</v>
      </c>
      <c r="L247" s="26">
        <v>5</v>
      </c>
    </row>
    <row r="248" spans="1:12" x14ac:dyDescent="0.25">
      <c r="A248" s="26" t="s">
        <v>796</v>
      </c>
      <c r="B248" s="26" t="s">
        <v>791</v>
      </c>
      <c r="C248" s="26" t="s">
        <v>1236</v>
      </c>
      <c r="D248" s="26" t="s">
        <v>527</v>
      </c>
      <c r="E248" s="26">
        <v>104</v>
      </c>
      <c r="F248" s="26">
        <v>103.511077</v>
      </c>
      <c r="G248" s="26">
        <v>-0.48892299999998562</v>
      </c>
      <c r="H248" s="26">
        <v>0.48892299999998562</v>
      </c>
      <c r="I248" s="26" t="s">
        <v>1230</v>
      </c>
      <c r="J248" s="26" t="s">
        <v>1231</v>
      </c>
      <c r="K248" s="26" t="b">
        <v>0</v>
      </c>
      <c r="L248" s="26">
        <v>1</v>
      </c>
    </row>
    <row r="249" spans="1:12" x14ac:dyDescent="0.25">
      <c r="A249" s="26" t="s">
        <v>797</v>
      </c>
      <c r="B249" s="26" t="s">
        <v>791</v>
      </c>
      <c r="C249" s="26" t="s">
        <v>1237</v>
      </c>
      <c r="D249" s="26" t="s">
        <v>527</v>
      </c>
      <c r="E249" s="26">
        <v>119</v>
      </c>
      <c r="F249" s="26">
        <v>117.371392</v>
      </c>
      <c r="G249" s="26">
        <v>-1.6286080000000001</v>
      </c>
      <c r="H249" s="26">
        <v>1.6286080000000001</v>
      </c>
      <c r="I249" s="26" t="s">
        <v>1230</v>
      </c>
      <c r="J249" s="26" t="s">
        <v>1231</v>
      </c>
      <c r="K249" s="26" t="b">
        <v>0</v>
      </c>
      <c r="L249" s="26">
        <v>2</v>
      </c>
    </row>
    <row r="250" spans="1:12" x14ac:dyDescent="0.25">
      <c r="A250" s="26" t="s">
        <v>798</v>
      </c>
      <c r="B250" s="26" t="s">
        <v>791</v>
      </c>
      <c r="C250" s="26" t="s">
        <v>1238</v>
      </c>
      <c r="D250" s="26" t="s">
        <v>527</v>
      </c>
      <c r="E250" s="26">
        <v>100</v>
      </c>
      <c r="F250" s="26">
        <v>100.792793</v>
      </c>
      <c r="G250" s="26">
        <v>0.7927930000000174</v>
      </c>
      <c r="H250" s="26">
        <v>0.7927930000000174</v>
      </c>
      <c r="I250" s="26" t="s">
        <v>1230</v>
      </c>
      <c r="J250" s="26" t="s">
        <v>1231</v>
      </c>
      <c r="K250" s="26" t="b">
        <v>0</v>
      </c>
      <c r="L250" s="26">
        <v>3</v>
      </c>
    </row>
    <row r="251" spans="1:12" x14ac:dyDescent="0.25">
      <c r="A251" s="26" t="s">
        <v>799</v>
      </c>
      <c r="B251" s="26" t="s">
        <v>791</v>
      </c>
      <c r="C251" s="26" t="s">
        <v>1239</v>
      </c>
      <c r="D251" s="26" t="s">
        <v>527</v>
      </c>
      <c r="E251" s="26">
        <v>112</v>
      </c>
      <c r="F251" s="26">
        <v>110.13078299999999</v>
      </c>
      <c r="G251" s="26">
        <v>-1.8692169999999919</v>
      </c>
      <c r="H251" s="26">
        <v>1.8692169999999919</v>
      </c>
      <c r="I251" s="26" t="s">
        <v>1230</v>
      </c>
      <c r="J251" s="26" t="s">
        <v>1231</v>
      </c>
      <c r="K251" s="26" t="b">
        <v>0</v>
      </c>
      <c r="L251" s="26">
        <v>4</v>
      </c>
    </row>
    <row r="252" spans="1:12" x14ac:dyDescent="0.25">
      <c r="A252" s="26" t="s">
        <v>800</v>
      </c>
      <c r="B252" s="26" t="s">
        <v>791</v>
      </c>
      <c r="C252" s="26" t="s">
        <v>1240</v>
      </c>
      <c r="D252" s="26" t="s">
        <v>527</v>
      </c>
      <c r="E252" s="26">
        <v>105</v>
      </c>
      <c r="F252" s="26">
        <v>107.329386</v>
      </c>
      <c r="G252" s="26">
        <v>2.3293860000000142</v>
      </c>
      <c r="H252" s="26">
        <v>2.3293860000000142</v>
      </c>
      <c r="I252" s="26" t="s">
        <v>1230</v>
      </c>
      <c r="J252" s="26" t="s">
        <v>1231</v>
      </c>
      <c r="K252" s="26" t="b">
        <v>0</v>
      </c>
      <c r="L252" s="26">
        <v>5</v>
      </c>
    </row>
    <row r="253" spans="1:12" x14ac:dyDescent="0.25">
      <c r="A253" s="26" t="s">
        <v>801</v>
      </c>
      <c r="B253" s="26" t="s">
        <v>802</v>
      </c>
      <c r="C253" s="26" t="s">
        <v>1229</v>
      </c>
      <c r="D253" s="26" t="s">
        <v>527</v>
      </c>
      <c r="E253" s="26">
        <v>108</v>
      </c>
      <c r="F253" s="26">
        <v>105.026667</v>
      </c>
      <c r="G253" s="26">
        <v>-2.9733329999999971</v>
      </c>
      <c r="H253" s="26">
        <v>2.9733329999999971</v>
      </c>
      <c r="I253" s="26" t="s">
        <v>1230</v>
      </c>
      <c r="J253" s="26" t="s">
        <v>1231</v>
      </c>
      <c r="K253" s="26" t="b">
        <v>0</v>
      </c>
      <c r="L253" s="26">
        <v>1</v>
      </c>
    </row>
    <row r="254" spans="1:12" x14ac:dyDescent="0.25">
      <c r="A254" s="26" t="s">
        <v>803</v>
      </c>
      <c r="B254" s="26" t="s">
        <v>802</v>
      </c>
      <c r="C254" s="26" t="s">
        <v>1232</v>
      </c>
      <c r="D254" s="26" t="s">
        <v>527</v>
      </c>
      <c r="E254" s="26">
        <v>95</v>
      </c>
      <c r="F254" s="26">
        <v>93.830857000000009</v>
      </c>
      <c r="G254" s="26">
        <v>-1.1691429999999909</v>
      </c>
      <c r="H254" s="26">
        <v>1.1691429999999909</v>
      </c>
      <c r="I254" s="26" t="s">
        <v>1230</v>
      </c>
      <c r="J254" s="26" t="s">
        <v>1231</v>
      </c>
      <c r="K254" s="26" t="b">
        <v>0</v>
      </c>
      <c r="L254" s="26">
        <v>2</v>
      </c>
    </row>
    <row r="255" spans="1:12" x14ac:dyDescent="0.25">
      <c r="A255" s="26" t="s">
        <v>804</v>
      </c>
      <c r="B255" s="26" t="s">
        <v>802</v>
      </c>
      <c r="C255" s="26" t="s">
        <v>1233</v>
      </c>
      <c r="D255" s="26" t="s">
        <v>527</v>
      </c>
      <c r="E255" s="26">
        <v>105</v>
      </c>
      <c r="F255" s="26">
        <v>107.930733</v>
      </c>
      <c r="G255" s="26">
        <v>2.9307330000000178</v>
      </c>
      <c r="H255" s="26">
        <v>2.9307330000000178</v>
      </c>
      <c r="I255" s="26" t="s">
        <v>1230</v>
      </c>
      <c r="J255" s="26" t="s">
        <v>1231</v>
      </c>
      <c r="K255" s="26" t="b">
        <v>0</v>
      </c>
      <c r="L255" s="26">
        <v>3</v>
      </c>
    </row>
    <row r="256" spans="1:12" x14ac:dyDescent="0.25">
      <c r="A256" s="26" t="s">
        <v>805</v>
      </c>
      <c r="B256" s="26" t="s">
        <v>802</v>
      </c>
      <c r="C256" s="26" t="s">
        <v>1234</v>
      </c>
      <c r="D256" s="26" t="s">
        <v>527</v>
      </c>
      <c r="E256" s="26">
        <v>110</v>
      </c>
      <c r="F256" s="26">
        <v>109.14320499999999</v>
      </c>
      <c r="G256" s="26">
        <v>-0.85679499999999109</v>
      </c>
      <c r="H256" s="26">
        <v>0.85679499999999109</v>
      </c>
      <c r="I256" s="26" t="s">
        <v>1230</v>
      </c>
      <c r="J256" s="26" t="s">
        <v>1231</v>
      </c>
      <c r="K256" s="26" t="b">
        <v>0</v>
      </c>
      <c r="L256" s="26">
        <v>4</v>
      </c>
    </row>
    <row r="257" spans="1:12" x14ac:dyDescent="0.25">
      <c r="A257" s="26" t="s">
        <v>806</v>
      </c>
      <c r="B257" s="26" t="s">
        <v>802</v>
      </c>
      <c r="C257" s="26" t="s">
        <v>1235</v>
      </c>
      <c r="D257" s="26" t="s">
        <v>527</v>
      </c>
      <c r="E257" s="26">
        <v>98</v>
      </c>
      <c r="F257" s="26">
        <v>95.879348000000022</v>
      </c>
      <c r="G257" s="26">
        <v>-2.120651999999978</v>
      </c>
      <c r="H257" s="26">
        <v>2.120651999999978</v>
      </c>
      <c r="I257" s="26" t="s">
        <v>1230</v>
      </c>
      <c r="J257" s="26" t="s">
        <v>1231</v>
      </c>
      <c r="K257" s="26" t="b">
        <v>0</v>
      </c>
      <c r="L257" s="26">
        <v>5</v>
      </c>
    </row>
    <row r="258" spans="1:12" x14ac:dyDescent="0.25">
      <c r="A258" s="26" t="s">
        <v>807</v>
      </c>
      <c r="B258" s="26" t="s">
        <v>802</v>
      </c>
      <c r="C258" s="26" t="s">
        <v>1236</v>
      </c>
      <c r="D258" s="26" t="s">
        <v>527</v>
      </c>
      <c r="E258" s="26">
        <v>118</v>
      </c>
      <c r="F258" s="26">
        <v>118.104742</v>
      </c>
      <c r="G258" s="26">
        <v>0.10474200000001591</v>
      </c>
      <c r="H258" s="26">
        <v>0.10474200000001591</v>
      </c>
      <c r="I258" s="26" t="s">
        <v>1230</v>
      </c>
      <c r="J258" s="26" t="s">
        <v>1231</v>
      </c>
      <c r="K258" s="26" t="b">
        <v>0</v>
      </c>
      <c r="L258" s="26">
        <v>1</v>
      </c>
    </row>
    <row r="259" spans="1:12" x14ac:dyDescent="0.25">
      <c r="A259" s="26" t="s">
        <v>808</v>
      </c>
      <c r="B259" s="26" t="s">
        <v>802</v>
      </c>
      <c r="C259" s="26" t="s">
        <v>1237</v>
      </c>
      <c r="D259" s="26" t="s">
        <v>527</v>
      </c>
      <c r="E259" s="26">
        <v>118</v>
      </c>
      <c r="F259" s="26">
        <v>116.897159</v>
      </c>
      <c r="G259" s="26">
        <v>-1.102840999999984</v>
      </c>
      <c r="H259" s="26">
        <v>1.102840999999984</v>
      </c>
      <c r="I259" s="26" t="s">
        <v>1230</v>
      </c>
      <c r="J259" s="26" t="s">
        <v>1231</v>
      </c>
      <c r="K259" s="26" t="b">
        <v>0</v>
      </c>
      <c r="L259" s="26">
        <v>2</v>
      </c>
    </row>
    <row r="260" spans="1:12" x14ac:dyDescent="0.25">
      <c r="A260" s="26" t="s">
        <v>809</v>
      </c>
      <c r="B260" s="26" t="s">
        <v>802</v>
      </c>
      <c r="C260" s="26" t="s">
        <v>1238</v>
      </c>
      <c r="D260" s="26" t="s">
        <v>527</v>
      </c>
      <c r="E260" s="26">
        <v>119</v>
      </c>
      <c r="F260" s="26">
        <v>117.24427799999999</v>
      </c>
      <c r="G260" s="26">
        <v>-1.755721999999992</v>
      </c>
      <c r="H260" s="26">
        <v>1.755721999999992</v>
      </c>
      <c r="I260" s="26" t="s">
        <v>1230</v>
      </c>
      <c r="J260" s="26" t="s">
        <v>1231</v>
      </c>
      <c r="K260" s="26" t="b">
        <v>0</v>
      </c>
      <c r="L260" s="26">
        <v>3</v>
      </c>
    </row>
    <row r="261" spans="1:12" x14ac:dyDescent="0.25">
      <c r="A261" s="26" t="s">
        <v>810</v>
      </c>
      <c r="B261" s="26" t="s">
        <v>802</v>
      </c>
      <c r="C261" s="26" t="s">
        <v>1239</v>
      </c>
      <c r="D261" s="26" t="s">
        <v>527</v>
      </c>
      <c r="E261" s="26">
        <v>103</v>
      </c>
      <c r="F261" s="26">
        <v>101.14969000000001</v>
      </c>
      <c r="G261" s="26">
        <v>-1.850309999999993</v>
      </c>
      <c r="H261" s="26">
        <v>1.850309999999993</v>
      </c>
      <c r="I261" s="26" t="s">
        <v>1230</v>
      </c>
      <c r="J261" s="26" t="s">
        <v>1231</v>
      </c>
      <c r="K261" s="26" t="b">
        <v>0</v>
      </c>
      <c r="L261" s="26">
        <v>4</v>
      </c>
    </row>
    <row r="262" spans="1:12" x14ac:dyDescent="0.25">
      <c r="A262" s="26" t="s">
        <v>811</v>
      </c>
      <c r="B262" s="26" t="s">
        <v>802</v>
      </c>
      <c r="C262" s="26" t="s">
        <v>1240</v>
      </c>
      <c r="D262" s="26" t="s">
        <v>527</v>
      </c>
      <c r="E262" s="26">
        <v>118</v>
      </c>
      <c r="F262" s="26">
        <v>119.543954</v>
      </c>
      <c r="G262" s="26">
        <v>1.5439539999999989</v>
      </c>
      <c r="H262" s="26">
        <v>1.5439539999999989</v>
      </c>
      <c r="I262" s="26" t="s">
        <v>1230</v>
      </c>
      <c r="J262" s="26" t="s">
        <v>1231</v>
      </c>
      <c r="K262" s="26" t="b">
        <v>0</v>
      </c>
      <c r="L262" s="26">
        <v>5</v>
      </c>
    </row>
    <row r="263" spans="1:12" x14ac:dyDescent="0.25">
      <c r="A263" s="26" t="s">
        <v>812</v>
      </c>
      <c r="B263" s="26" t="s">
        <v>813</v>
      </c>
      <c r="C263" s="26" t="s">
        <v>1229</v>
      </c>
      <c r="D263" s="26" t="s">
        <v>527</v>
      </c>
      <c r="E263" s="26">
        <v>107</v>
      </c>
      <c r="F263" s="26">
        <v>106.52759</v>
      </c>
      <c r="G263" s="26">
        <v>-0.47240999999999639</v>
      </c>
      <c r="H263" s="26">
        <v>0.47240999999999639</v>
      </c>
      <c r="I263" s="26" t="s">
        <v>1230</v>
      </c>
      <c r="J263" s="26" t="s">
        <v>1231</v>
      </c>
      <c r="K263" s="26" t="b">
        <v>0</v>
      </c>
      <c r="L263" s="26">
        <v>1</v>
      </c>
    </row>
    <row r="264" spans="1:12" x14ac:dyDescent="0.25">
      <c r="A264" s="26" t="s">
        <v>814</v>
      </c>
      <c r="B264" s="26" t="s">
        <v>813</v>
      </c>
      <c r="C264" s="26" t="s">
        <v>1232</v>
      </c>
      <c r="D264" s="26" t="s">
        <v>527</v>
      </c>
      <c r="E264" s="26">
        <v>95</v>
      </c>
      <c r="F264" s="26">
        <v>91.880146000000011</v>
      </c>
      <c r="G264" s="26">
        <v>-3.119853999999989</v>
      </c>
      <c r="H264" s="26">
        <v>3.119853999999989</v>
      </c>
      <c r="I264" s="26" t="s">
        <v>1230</v>
      </c>
      <c r="J264" s="26" t="s">
        <v>1231</v>
      </c>
      <c r="K264" s="26" t="b">
        <v>0</v>
      </c>
      <c r="L264" s="26">
        <v>2</v>
      </c>
    </row>
    <row r="265" spans="1:12" x14ac:dyDescent="0.25">
      <c r="A265" s="26" t="s">
        <v>815</v>
      </c>
      <c r="B265" s="26" t="s">
        <v>813</v>
      </c>
      <c r="C265" s="26" t="s">
        <v>1233</v>
      </c>
      <c r="D265" s="26" t="s">
        <v>527</v>
      </c>
      <c r="E265" s="26">
        <v>104</v>
      </c>
      <c r="F265" s="26">
        <v>106.635148</v>
      </c>
      <c r="G265" s="26">
        <v>2.6351480000000151</v>
      </c>
      <c r="H265" s="26">
        <v>2.6351480000000151</v>
      </c>
      <c r="I265" s="26" t="s">
        <v>1230</v>
      </c>
      <c r="J265" s="26" t="s">
        <v>1231</v>
      </c>
      <c r="K265" s="26" t="b">
        <v>0</v>
      </c>
      <c r="L265" s="26">
        <v>3</v>
      </c>
    </row>
    <row r="266" spans="1:12" x14ac:dyDescent="0.25">
      <c r="A266" s="26" t="s">
        <v>816</v>
      </c>
      <c r="B266" s="26" t="s">
        <v>813</v>
      </c>
      <c r="C266" s="26" t="s">
        <v>1234</v>
      </c>
      <c r="D266" s="26" t="s">
        <v>527</v>
      </c>
      <c r="E266" s="26">
        <v>93</v>
      </c>
      <c r="F266" s="26">
        <v>94.34420200000001</v>
      </c>
      <c r="G266" s="26">
        <v>1.3442020000000101</v>
      </c>
      <c r="H266" s="26">
        <v>1.3442020000000101</v>
      </c>
      <c r="I266" s="26" t="s">
        <v>1230</v>
      </c>
      <c r="J266" s="26" t="s">
        <v>1231</v>
      </c>
      <c r="K266" s="26" t="b">
        <v>0</v>
      </c>
      <c r="L266" s="26">
        <v>4</v>
      </c>
    </row>
    <row r="267" spans="1:12" x14ac:dyDescent="0.25">
      <c r="A267" s="26" t="s">
        <v>817</v>
      </c>
      <c r="B267" s="26" t="s">
        <v>813</v>
      </c>
      <c r="C267" s="26" t="s">
        <v>1235</v>
      </c>
      <c r="D267" s="26" t="s">
        <v>527</v>
      </c>
      <c r="E267" s="26">
        <v>101</v>
      </c>
      <c r="F267" s="26">
        <v>99.766103000000001</v>
      </c>
      <c r="G267" s="26">
        <v>-1.2338969999999989</v>
      </c>
      <c r="H267" s="26">
        <v>1.2338969999999989</v>
      </c>
      <c r="I267" s="26" t="s">
        <v>1230</v>
      </c>
      <c r="J267" s="26" t="s">
        <v>1231</v>
      </c>
      <c r="K267" s="26" t="b">
        <v>0</v>
      </c>
      <c r="L267" s="26">
        <v>5</v>
      </c>
    </row>
    <row r="268" spans="1:12" x14ac:dyDescent="0.25">
      <c r="A268" s="26" t="s">
        <v>818</v>
      </c>
      <c r="B268" s="26" t="s">
        <v>813</v>
      </c>
      <c r="C268" s="26" t="s">
        <v>1236</v>
      </c>
      <c r="D268" s="26" t="s">
        <v>527</v>
      </c>
      <c r="E268" s="26">
        <v>111</v>
      </c>
      <c r="F268" s="26">
        <v>109.255652</v>
      </c>
      <c r="G268" s="26">
        <v>-1.744348000000002</v>
      </c>
      <c r="H268" s="26">
        <v>1.744348000000002</v>
      </c>
      <c r="I268" s="26" t="s">
        <v>1230</v>
      </c>
      <c r="J268" s="26" t="s">
        <v>1231</v>
      </c>
      <c r="K268" s="26" t="b">
        <v>0</v>
      </c>
      <c r="L268" s="26">
        <v>1</v>
      </c>
    </row>
    <row r="269" spans="1:12" x14ac:dyDescent="0.25">
      <c r="A269" s="26" t="s">
        <v>819</v>
      </c>
      <c r="B269" s="26" t="s">
        <v>813</v>
      </c>
      <c r="C269" s="26" t="s">
        <v>1237</v>
      </c>
      <c r="D269" s="26" t="s">
        <v>527</v>
      </c>
      <c r="E269" s="26">
        <v>102</v>
      </c>
      <c r="F269" s="26">
        <v>103.25196</v>
      </c>
      <c r="G269" s="26">
        <v>1.2519600000000111</v>
      </c>
      <c r="H269" s="26">
        <v>1.2519600000000111</v>
      </c>
      <c r="I269" s="26" t="s">
        <v>1230</v>
      </c>
      <c r="J269" s="26" t="s">
        <v>1231</v>
      </c>
      <c r="K269" s="26" t="b">
        <v>0</v>
      </c>
      <c r="L269" s="26">
        <v>2</v>
      </c>
    </row>
    <row r="270" spans="1:12" x14ac:dyDescent="0.25">
      <c r="A270" s="26" t="s">
        <v>820</v>
      </c>
      <c r="B270" s="26" t="s">
        <v>813</v>
      </c>
      <c r="C270" s="26" t="s">
        <v>1238</v>
      </c>
      <c r="D270" s="26" t="s">
        <v>527</v>
      </c>
      <c r="E270" s="26">
        <v>112</v>
      </c>
      <c r="F270" s="26">
        <v>111.426368</v>
      </c>
      <c r="G270" s="26">
        <v>-0.57363199999998926</v>
      </c>
      <c r="H270" s="26">
        <v>0.57363199999998926</v>
      </c>
      <c r="I270" s="26" t="s">
        <v>1230</v>
      </c>
      <c r="J270" s="26" t="s">
        <v>1231</v>
      </c>
      <c r="K270" s="26" t="b">
        <v>0</v>
      </c>
      <c r="L270" s="26">
        <v>3</v>
      </c>
    </row>
    <row r="271" spans="1:12" x14ac:dyDescent="0.25">
      <c r="A271" s="26" t="s">
        <v>821</v>
      </c>
      <c r="B271" s="26" t="s">
        <v>813</v>
      </c>
      <c r="C271" s="26" t="s">
        <v>1239</v>
      </c>
      <c r="D271" s="26" t="s">
        <v>527</v>
      </c>
      <c r="E271" s="26">
        <v>114</v>
      </c>
      <c r="F271" s="26">
        <v>110.45834600000001</v>
      </c>
      <c r="G271" s="26">
        <v>-3.5416539999999941</v>
      </c>
      <c r="H271" s="26">
        <v>3.5416539999999941</v>
      </c>
      <c r="I271" s="26" t="s">
        <v>1230</v>
      </c>
      <c r="J271" s="26" t="s">
        <v>1231</v>
      </c>
      <c r="K271" s="26" t="b">
        <v>0</v>
      </c>
      <c r="L271" s="26">
        <v>4</v>
      </c>
    </row>
    <row r="272" spans="1:12" x14ac:dyDescent="0.25">
      <c r="A272" s="26" t="s">
        <v>822</v>
      </c>
      <c r="B272" s="26" t="s">
        <v>813</v>
      </c>
      <c r="C272" s="26" t="s">
        <v>1240</v>
      </c>
      <c r="D272" s="26" t="s">
        <v>527</v>
      </c>
      <c r="E272" s="26">
        <v>92</v>
      </c>
      <c r="F272" s="26">
        <v>95.414893000000006</v>
      </c>
      <c r="G272" s="26">
        <v>3.414893000000006</v>
      </c>
      <c r="H272" s="26">
        <v>3.414893000000006</v>
      </c>
      <c r="I272" s="26" t="s">
        <v>1230</v>
      </c>
      <c r="J272" s="26" t="s">
        <v>1231</v>
      </c>
      <c r="K272" s="26" t="b">
        <v>0</v>
      </c>
      <c r="L272" s="26">
        <v>5</v>
      </c>
    </row>
    <row r="273" spans="1:12" x14ac:dyDescent="0.25">
      <c r="A273" s="26" t="s">
        <v>823</v>
      </c>
      <c r="B273" s="26" t="s">
        <v>824</v>
      </c>
      <c r="C273" s="26" t="s">
        <v>1229</v>
      </c>
      <c r="D273" s="26" t="s">
        <v>527</v>
      </c>
      <c r="E273" s="26">
        <v>105</v>
      </c>
      <c r="F273" s="26">
        <v>104.254205</v>
      </c>
      <c r="G273" s="26">
        <v>-0.7457950000000011</v>
      </c>
      <c r="H273" s="26">
        <v>0.7457950000000011</v>
      </c>
      <c r="I273" s="26" t="s">
        <v>1230</v>
      </c>
      <c r="J273" s="26" t="s">
        <v>1231</v>
      </c>
      <c r="K273" s="26" t="b">
        <v>0</v>
      </c>
      <c r="L273" s="26">
        <v>1</v>
      </c>
    </row>
    <row r="274" spans="1:12" x14ac:dyDescent="0.25">
      <c r="A274" s="26" t="s">
        <v>825</v>
      </c>
      <c r="B274" s="26" t="s">
        <v>824</v>
      </c>
      <c r="C274" s="26" t="s">
        <v>1232</v>
      </c>
      <c r="D274" s="26" t="s">
        <v>527</v>
      </c>
      <c r="E274" s="26">
        <v>104</v>
      </c>
      <c r="F274" s="26">
        <v>106.64003700000001</v>
      </c>
      <c r="G274" s="26">
        <v>2.6400370000000071</v>
      </c>
      <c r="H274" s="26">
        <v>2.6400370000000071</v>
      </c>
      <c r="I274" s="26" t="s">
        <v>1230</v>
      </c>
      <c r="J274" s="26" t="s">
        <v>1231</v>
      </c>
      <c r="K274" s="26" t="b">
        <v>0</v>
      </c>
      <c r="L274" s="26">
        <v>2</v>
      </c>
    </row>
    <row r="275" spans="1:12" x14ac:dyDescent="0.25">
      <c r="A275" s="26" t="s">
        <v>826</v>
      </c>
      <c r="B275" s="26" t="s">
        <v>824</v>
      </c>
      <c r="C275" s="26" t="s">
        <v>1233</v>
      </c>
      <c r="D275" s="26" t="s">
        <v>527</v>
      </c>
      <c r="E275" s="26">
        <v>111</v>
      </c>
      <c r="F275" s="26">
        <v>113.103295</v>
      </c>
      <c r="G275" s="26">
        <v>2.103295000000017</v>
      </c>
      <c r="H275" s="26">
        <v>2.103295000000017</v>
      </c>
      <c r="I275" s="26" t="s">
        <v>1230</v>
      </c>
      <c r="J275" s="26" t="s">
        <v>1231</v>
      </c>
      <c r="K275" s="26" t="b">
        <v>0</v>
      </c>
      <c r="L275" s="26">
        <v>3</v>
      </c>
    </row>
    <row r="276" spans="1:12" x14ac:dyDescent="0.25">
      <c r="A276" s="26" t="s">
        <v>827</v>
      </c>
      <c r="B276" s="26" t="s">
        <v>824</v>
      </c>
      <c r="C276" s="26" t="s">
        <v>1234</v>
      </c>
      <c r="D276" s="26" t="s">
        <v>527</v>
      </c>
      <c r="E276" s="26">
        <v>122</v>
      </c>
      <c r="F276" s="26">
        <v>119.88922700000001</v>
      </c>
      <c r="G276" s="26">
        <v>-2.1107729999999951</v>
      </c>
      <c r="H276" s="26">
        <v>2.1107729999999951</v>
      </c>
      <c r="I276" s="26" t="s">
        <v>1230</v>
      </c>
      <c r="J276" s="26" t="s">
        <v>1231</v>
      </c>
      <c r="K276" s="26" t="b">
        <v>0</v>
      </c>
      <c r="L276" s="26">
        <v>4</v>
      </c>
    </row>
    <row r="277" spans="1:12" x14ac:dyDescent="0.25">
      <c r="A277" s="26" t="s">
        <v>828</v>
      </c>
      <c r="B277" s="26" t="s">
        <v>824</v>
      </c>
      <c r="C277" s="26" t="s">
        <v>1235</v>
      </c>
      <c r="D277" s="26" t="s">
        <v>527</v>
      </c>
      <c r="E277" s="26">
        <v>125</v>
      </c>
      <c r="F277" s="26">
        <v>126.367152</v>
      </c>
      <c r="G277" s="26">
        <v>1.3671520000000039</v>
      </c>
      <c r="H277" s="26">
        <v>1.3671520000000039</v>
      </c>
      <c r="I277" s="26" t="s">
        <v>1230</v>
      </c>
      <c r="J277" s="26" t="s">
        <v>1231</v>
      </c>
      <c r="K277" s="26" t="b">
        <v>0</v>
      </c>
      <c r="L277" s="26">
        <v>5</v>
      </c>
    </row>
    <row r="278" spans="1:12" x14ac:dyDescent="0.25">
      <c r="A278" s="26" t="s">
        <v>829</v>
      </c>
      <c r="B278" s="26" t="s">
        <v>824</v>
      </c>
      <c r="C278" s="26" t="s">
        <v>1236</v>
      </c>
      <c r="D278" s="26" t="s">
        <v>527</v>
      </c>
      <c r="E278" s="26">
        <v>107</v>
      </c>
      <c r="F278" s="26">
        <v>105.833352</v>
      </c>
      <c r="G278" s="26">
        <v>-1.166647999999995</v>
      </c>
      <c r="H278" s="26">
        <v>1.166647999999995</v>
      </c>
      <c r="I278" s="26" t="s">
        <v>1230</v>
      </c>
      <c r="J278" s="26" t="s">
        <v>1231</v>
      </c>
      <c r="K278" s="26" t="b">
        <v>0</v>
      </c>
      <c r="L278" s="26">
        <v>1</v>
      </c>
    </row>
    <row r="279" spans="1:12" x14ac:dyDescent="0.25">
      <c r="A279" s="26" t="s">
        <v>830</v>
      </c>
      <c r="B279" s="26" t="s">
        <v>824</v>
      </c>
      <c r="C279" s="26" t="s">
        <v>1237</v>
      </c>
      <c r="D279" s="26" t="s">
        <v>527</v>
      </c>
      <c r="E279" s="26">
        <v>104</v>
      </c>
      <c r="F279" s="26">
        <v>100.78301500000001</v>
      </c>
      <c r="G279" s="26">
        <v>-3.2169849999999802</v>
      </c>
      <c r="H279" s="26">
        <v>3.2169849999999802</v>
      </c>
      <c r="I279" s="26" t="s">
        <v>1230</v>
      </c>
      <c r="J279" s="26" t="s">
        <v>1231</v>
      </c>
      <c r="K279" s="26" t="b">
        <v>0</v>
      </c>
      <c r="L279" s="26">
        <v>2</v>
      </c>
    </row>
    <row r="280" spans="1:12" x14ac:dyDescent="0.25">
      <c r="A280" s="26" t="s">
        <v>831</v>
      </c>
      <c r="B280" s="26" t="s">
        <v>824</v>
      </c>
      <c r="C280" s="26" t="s">
        <v>1238</v>
      </c>
      <c r="D280" s="26" t="s">
        <v>527</v>
      </c>
      <c r="E280" s="26">
        <v>98</v>
      </c>
      <c r="F280" s="26">
        <v>97.429161000000022</v>
      </c>
      <c r="G280" s="26">
        <v>-0.57083899999997811</v>
      </c>
      <c r="H280" s="26">
        <v>0.57083899999997811</v>
      </c>
      <c r="I280" s="26" t="s">
        <v>1230</v>
      </c>
      <c r="J280" s="26" t="s">
        <v>1231</v>
      </c>
      <c r="K280" s="26" t="b">
        <v>0</v>
      </c>
      <c r="L280" s="26">
        <v>3</v>
      </c>
    </row>
    <row r="281" spans="1:12" x14ac:dyDescent="0.25">
      <c r="A281" s="26" t="s">
        <v>832</v>
      </c>
      <c r="B281" s="26" t="s">
        <v>824</v>
      </c>
      <c r="C281" s="26" t="s">
        <v>1239</v>
      </c>
      <c r="D281" s="26" t="s">
        <v>527</v>
      </c>
      <c r="E281" s="26">
        <v>121</v>
      </c>
      <c r="F281" s="26">
        <v>121.351038</v>
      </c>
      <c r="G281" s="26">
        <v>0.35103800000000263</v>
      </c>
      <c r="H281" s="26">
        <v>0.35103800000000263</v>
      </c>
      <c r="I281" s="26" t="s">
        <v>1230</v>
      </c>
      <c r="J281" s="26" t="s">
        <v>1231</v>
      </c>
      <c r="K281" s="26" t="b">
        <v>0</v>
      </c>
      <c r="L281" s="26">
        <v>4</v>
      </c>
    </row>
    <row r="282" spans="1:12" x14ac:dyDescent="0.25">
      <c r="A282" s="26" t="s">
        <v>833</v>
      </c>
      <c r="B282" s="26" t="s">
        <v>824</v>
      </c>
      <c r="C282" s="26" t="s">
        <v>1240</v>
      </c>
      <c r="D282" s="26" t="s">
        <v>527</v>
      </c>
      <c r="E282" s="26">
        <v>103</v>
      </c>
      <c r="F282" s="26">
        <v>102.24971499999999</v>
      </c>
      <c r="G282" s="26">
        <v>-0.75028499999999099</v>
      </c>
      <c r="H282" s="26">
        <v>0.75028499999999099</v>
      </c>
      <c r="I282" s="26" t="s">
        <v>1230</v>
      </c>
      <c r="J282" s="26" t="s">
        <v>1231</v>
      </c>
      <c r="K282" s="26" t="b">
        <v>0</v>
      </c>
      <c r="L282" s="26">
        <v>5</v>
      </c>
    </row>
    <row r="283" spans="1:12" x14ac:dyDescent="0.25">
      <c r="A283" s="26" t="s">
        <v>834</v>
      </c>
      <c r="B283" s="26" t="s">
        <v>835</v>
      </c>
      <c r="C283" s="26" t="s">
        <v>1229</v>
      </c>
      <c r="D283" s="26" t="s">
        <v>527</v>
      </c>
      <c r="E283" s="26">
        <v>102</v>
      </c>
      <c r="F283" s="26">
        <v>101.545699</v>
      </c>
      <c r="G283" s="26">
        <v>-0.45430099999998669</v>
      </c>
      <c r="H283" s="26">
        <v>0.45430099999998669</v>
      </c>
      <c r="I283" s="26" t="s">
        <v>1230</v>
      </c>
      <c r="J283" s="26" t="s">
        <v>1231</v>
      </c>
      <c r="K283" s="26" t="b">
        <v>0</v>
      </c>
      <c r="L283" s="26">
        <v>1</v>
      </c>
    </row>
    <row r="284" spans="1:12" x14ac:dyDescent="0.25">
      <c r="A284" s="26" t="s">
        <v>836</v>
      </c>
      <c r="B284" s="26" t="s">
        <v>835</v>
      </c>
      <c r="C284" s="26" t="s">
        <v>1232</v>
      </c>
      <c r="D284" s="26" t="s">
        <v>527</v>
      </c>
      <c r="E284" s="26">
        <v>113</v>
      </c>
      <c r="F284" s="26">
        <v>114.824223</v>
      </c>
      <c r="G284" s="26">
        <v>1.8242230000000179</v>
      </c>
      <c r="H284" s="26">
        <v>1.8242230000000179</v>
      </c>
      <c r="I284" s="26" t="s">
        <v>1230</v>
      </c>
      <c r="J284" s="26" t="s">
        <v>1231</v>
      </c>
      <c r="K284" s="26" t="b">
        <v>0</v>
      </c>
      <c r="L284" s="26">
        <v>2</v>
      </c>
    </row>
    <row r="285" spans="1:12" x14ac:dyDescent="0.25">
      <c r="A285" s="26" t="s">
        <v>837</v>
      </c>
      <c r="B285" s="26" t="s">
        <v>835</v>
      </c>
      <c r="C285" s="26" t="s">
        <v>1233</v>
      </c>
      <c r="D285" s="26" t="s">
        <v>527</v>
      </c>
      <c r="E285" s="26">
        <v>108</v>
      </c>
      <c r="F285" s="26">
        <v>108.131182</v>
      </c>
      <c r="G285" s="26">
        <v>0.13118200000002389</v>
      </c>
      <c r="H285" s="26">
        <v>0.13118200000002389</v>
      </c>
      <c r="I285" s="26" t="s">
        <v>1230</v>
      </c>
      <c r="J285" s="26" t="s">
        <v>1231</v>
      </c>
      <c r="K285" s="26" t="b">
        <v>0</v>
      </c>
      <c r="L285" s="26">
        <v>3</v>
      </c>
    </row>
    <row r="286" spans="1:12" x14ac:dyDescent="0.25">
      <c r="A286" s="26" t="s">
        <v>838</v>
      </c>
      <c r="B286" s="26" t="s">
        <v>835</v>
      </c>
      <c r="C286" s="26" t="s">
        <v>1234</v>
      </c>
      <c r="D286" s="26" t="s">
        <v>527</v>
      </c>
      <c r="E286" s="26">
        <v>97</v>
      </c>
      <c r="F286" s="26">
        <v>95.72290000000001</v>
      </c>
      <c r="G286" s="26">
        <v>-1.2770999999999899</v>
      </c>
      <c r="H286" s="26">
        <v>1.2770999999999899</v>
      </c>
      <c r="I286" s="26" t="s">
        <v>1230</v>
      </c>
      <c r="J286" s="26" t="s">
        <v>1231</v>
      </c>
      <c r="K286" s="26" t="b">
        <v>0</v>
      </c>
      <c r="L286" s="26">
        <v>4</v>
      </c>
    </row>
    <row r="287" spans="1:12" x14ac:dyDescent="0.25">
      <c r="A287" s="26" t="s">
        <v>839</v>
      </c>
      <c r="B287" s="26" t="s">
        <v>835</v>
      </c>
      <c r="C287" s="26" t="s">
        <v>1235</v>
      </c>
      <c r="D287" s="26" t="s">
        <v>527</v>
      </c>
      <c r="E287" s="26">
        <v>109</v>
      </c>
      <c r="F287" s="26">
        <v>110.14545</v>
      </c>
      <c r="G287" s="26">
        <v>1.145450000000011</v>
      </c>
      <c r="H287" s="26">
        <v>1.145450000000011</v>
      </c>
      <c r="I287" s="26" t="s">
        <v>1230</v>
      </c>
      <c r="J287" s="26" t="s">
        <v>1231</v>
      </c>
      <c r="K287" s="26" t="b">
        <v>0</v>
      </c>
      <c r="L287" s="26">
        <v>5</v>
      </c>
    </row>
    <row r="288" spans="1:12" x14ac:dyDescent="0.25">
      <c r="A288" s="26" t="s">
        <v>840</v>
      </c>
      <c r="B288" s="26" t="s">
        <v>835</v>
      </c>
      <c r="C288" s="26" t="s">
        <v>1236</v>
      </c>
      <c r="D288" s="26" t="s">
        <v>527</v>
      </c>
      <c r="E288" s="26">
        <v>97</v>
      </c>
      <c r="F288" s="26">
        <v>97.531829999999999</v>
      </c>
      <c r="G288" s="26">
        <v>0.53182999999999936</v>
      </c>
      <c r="H288" s="26">
        <v>0.53182999999999936</v>
      </c>
      <c r="I288" s="26" t="s">
        <v>1230</v>
      </c>
      <c r="J288" s="26" t="s">
        <v>1231</v>
      </c>
      <c r="K288" s="26" t="b">
        <v>0</v>
      </c>
      <c r="L288" s="26">
        <v>1</v>
      </c>
    </row>
    <row r="289" spans="1:12" x14ac:dyDescent="0.25">
      <c r="A289" s="26" t="s">
        <v>841</v>
      </c>
      <c r="B289" s="26" t="s">
        <v>835</v>
      </c>
      <c r="C289" s="26" t="s">
        <v>1237</v>
      </c>
      <c r="D289" s="26" t="s">
        <v>527</v>
      </c>
      <c r="E289" s="26">
        <v>103</v>
      </c>
      <c r="F289" s="26">
        <v>98.666078000000013</v>
      </c>
      <c r="G289" s="26">
        <v>-4.333921999999987</v>
      </c>
      <c r="H289" s="26">
        <v>4.333921999999987</v>
      </c>
      <c r="I289" s="26" t="s">
        <v>1230</v>
      </c>
      <c r="J289" s="26" t="s">
        <v>1231</v>
      </c>
      <c r="K289" s="26" t="b">
        <v>0</v>
      </c>
      <c r="L289" s="26">
        <v>2</v>
      </c>
    </row>
    <row r="290" spans="1:12" x14ac:dyDescent="0.25">
      <c r="A290" s="26" t="s">
        <v>842</v>
      </c>
      <c r="B290" s="26" t="s">
        <v>835</v>
      </c>
      <c r="C290" s="26" t="s">
        <v>1238</v>
      </c>
      <c r="D290" s="26" t="s">
        <v>527</v>
      </c>
      <c r="E290" s="26">
        <v>99</v>
      </c>
      <c r="F290" s="26">
        <v>99.893217000000007</v>
      </c>
      <c r="G290" s="26">
        <v>0.89321700000000703</v>
      </c>
      <c r="H290" s="26">
        <v>0.89321700000000703</v>
      </c>
      <c r="I290" s="26" t="s">
        <v>1230</v>
      </c>
      <c r="J290" s="26" t="s">
        <v>1231</v>
      </c>
      <c r="K290" s="26" t="b">
        <v>0</v>
      </c>
      <c r="L290" s="26">
        <v>3</v>
      </c>
    </row>
    <row r="291" spans="1:12" x14ac:dyDescent="0.25">
      <c r="A291" s="26" t="s">
        <v>843</v>
      </c>
      <c r="B291" s="26" t="s">
        <v>835</v>
      </c>
      <c r="C291" s="26" t="s">
        <v>1239</v>
      </c>
      <c r="D291" s="26" t="s">
        <v>527</v>
      </c>
      <c r="E291" s="26">
        <v>80</v>
      </c>
      <c r="F291" s="26">
        <v>81.251460000000009</v>
      </c>
      <c r="G291" s="26">
        <v>1.2514600000000089</v>
      </c>
      <c r="H291" s="26">
        <v>1.2514600000000089</v>
      </c>
      <c r="I291" s="26" t="s">
        <v>1230</v>
      </c>
      <c r="J291" s="26" t="s">
        <v>1231</v>
      </c>
      <c r="K291" s="26" t="b">
        <v>0</v>
      </c>
      <c r="L291" s="26">
        <v>4</v>
      </c>
    </row>
    <row r="292" spans="1:12" x14ac:dyDescent="0.25">
      <c r="A292" s="26" t="s">
        <v>844</v>
      </c>
      <c r="B292" s="26" t="s">
        <v>835</v>
      </c>
      <c r="C292" s="26" t="s">
        <v>1240</v>
      </c>
      <c r="D292" s="26" t="s">
        <v>527</v>
      </c>
      <c r="E292" s="26">
        <v>104</v>
      </c>
      <c r="F292" s="26">
        <v>104.068423</v>
      </c>
      <c r="G292" s="26">
        <v>6.8422999999995682E-2</v>
      </c>
      <c r="H292" s="26">
        <v>6.8422999999995682E-2</v>
      </c>
      <c r="I292" s="26" t="s">
        <v>1230</v>
      </c>
      <c r="J292" s="26" t="s">
        <v>1231</v>
      </c>
      <c r="K292" s="26" t="b">
        <v>0</v>
      </c>
      <c r="L292" s="26">
        <v>5</v>
      </c>
    </row>
    <row r="293" spans="1:12" x14ac:dyDescent="0.25">
      <c r="A293" s="26" t="s">
        <v>845</v>
      </c>
      <c r="B293" s="26" t="s">
        <v>846</v>
      </c>
      <c r="C293" s="26" t="s">
        <v>1229</v>
      </c>
      <c r="D293" s="26" t="s">
        <v>527</v>
      </c>
      <c r="E293" s="26">
        <v>104</v>
      </c>
      <c r="F293" s="26">
        <v>105.588902</v>
      </c>
      <c r="G293" s="26">
        <v>1.588902000000004</v>
      </c>
      <c r="H293" s="26">
        <v>1.588902000000004</v>
      </c>
      <c r="I293" s="26" t="s">
        <v>1230</v>
      </c>
      <c r="J293" s="26" t="s">
        <v>1231</v>
      </c>
      <c r="K293" s="26" t="b">
        <v>0</v>
      </c>
      <c r="L293" s="26">
        <v>1</v>
      </c>
    </row>
    <row r="294" spans="1:12" x14ac:dyDescent="0.25">
      <c r="A294" s="26" t="s">
        <v>847</v>
      </c>
      <c r="B294" s="26" t="s">
        <v>846</v>
      </c>
      <c r="C294" s="26" t="s">
        <v>1232</v>
      </c>
      <c r="D294" s="26" t="s">
        <v>527</v>
      </c>
      <c r="E294" s="26">
        <v>108</v>
      </c>
      <c r="F294" s="26">
        <v>106.77204</v>
      </c>
      <c r="G294" s="26">
        <v>-1.2279599999999959</v>
      </c>
      <c r="H294" s="26">
        <v>1.2279599999999959</v>
      </c>
      <c r="I294" s="26" t="s">
        <v>1230</v>
      </c>
      <c r="J294" s="26" t="s">
        <v>1231</v>
      </c>
      <c r="K294" s="26" t="b">
        <v>0</v>
      </c>
      <c r="L294" s="26">
        <v>2</v>
      </c>
    </row>
    <row r="295" spans="1:12" x14ac:dyDescent="0.25">
      <c r="A295" s="26" t="s">
        <v>848</v>
      </c>
      <c r="B295" s="26" t="s">
        <v>846</v>
      </c>
      <c r="C295" s="26" t="s">
        <v>1233</v>
      </c>
      <c r="D295" s="26" t="s">
        <v>527</v>
      </c>
      <c r="E295" s="26">
        <v>94</v>
      </c>
      <c r="F295" s="26">
        <v>94.842880000000022</v>
      </c>
      <c r="G295" s="26">
        <v>0.84288000000002228</v>
      </c>
      <c r="H295" s="26">
        <v>0.84288000000002228</v>
      </c>
      <c r="I295" s="26" t="s">
        <v>1230</v>
      </c>
      <c r="J295" s="26" t="s">
        <v>1231</v>
      </c>
      <c r="K295" s="26" t="b">
        <v>0</v>
      </c>
      <c r="L295" s="26">
        <v>3</v>
      </c>
    </row>
    <row r="296" spans="1:12" x14ac:dyDescent="0.25">
      <c r="A296" s="26" t="s">
        <v>849</v>
      </c>
      <c r="B296" s="26" t="s">
        <v>846</v>
      </c>
      <c r="C296" s="26" t="s">
        <v>1234</v>
      </c>
      <c r="D296" s="26" t="s">
        <v>527</v>
      </c>
      <c r="E296" s="26">
        <v>124</v>
      </c>
      <c r="F296" s="26">
        <v>120.862138</v>
      </c>
      <c r="G296" s="26">
        <v>-3.1378619999999842</v>
      </c>
      <c r="H296" s="26">
        <v>3.1378619999999842</v>
      </c>
      <c r="I296" s="26" t="s">
        <v>1230</v>
      </c>
      <c r="J296" s="26" t="s">
        <v>1231</v>
      </c>
      <c r="K296" s="26" t="b">
        <v>0</v>
      </c>
      <c r="L296" s="26">
        <v>4</v>
      </c>
    </row>
    <row r="297" spans="1:12" x14ac:dyDescent="0.25">
      <c r="A297" s="26" t="s">
        <v>850</v>
      </c>
      <c r="B297" s="26" t="s">
        <v>846</v>
      </c>
      <c r="C297" s="26" t="s">
        <v>1235</v>
      </c>
      <c r="D297" s="26" t="s">
        <v>527</v>
      </c>
      <c r="E297" s="26">
        <v>107</v>
      </c>
      <c r="F297" s="26">
        <v>107.67650500000001</v>
      </c>
      <c r="G297" s="26">
        <v>0.67650500000002012</v>
      </c>
      <c r="H297" s="26">
        <v>0.67650500000002012</v>
      </c>
      <c r="I297" s="26" t="s">
        <v>1230</v>
      </c>
      <c r="J297" s="26" t="s">
        <v>1231</v>
      </c>
      <c r="K297" s="26" t="b">
        <v>0</v>
      </c>
      <c r="L297" s="26">
        <v>5</v>
      </c>
    </row>
    <row r="298" spans="1:12" x14ac:dyDescent="0.25">
      <c r="A298" s="26" t="s">
        <v>851</v>
      </c>
      <c r="B298" s="26" t="s">
        <v>846</v>
      </c>
      <c r="C298" s="26" t="s">
        <v>1236</v>
      </c>
      <c r="D298" s="26" t="s">
        <v>527</v>
      </c>
      <c r="E298" s="26">
        <v>116</v>
      </c>
      <c r="F298" s="26">
        <v>119.17054400000001</v>
      </c>
      <c r="G298" s="26">
        <v>3.1705440000000071</v>
      </c>
      <c r="H298" s="26">
        <v>3.1705440000000071</v>
      </c>
      <c r="I298" s="26" t="s">
        <v>1230</v>
      </c>
      <c r="J298" s="26" t="s">
        <v>1231</v>
      </c>
      <c r="K298" s="26" t="b">
        <v>0</v>
      </c>
      <c r="L298" s="26">
        <v>1</v>
      </c>
    </row>
    <row r="299" spans="1:12" x14ac:dyDescent="0.25">
      <c r="A299" s="26" t="s">
        <v>852</v>
      </c>
      <c r="B299" s="26" t="s">
        <v>846</v>
      </c>
      <c r="C299" s="26" t="s">
        <v>1237</v>
      </c>
      <c r="D299" s="26" t="s">
        <v>527</v>
      </c>
      <c r="E299" s="26">
        <v>113</v>
      </c>
      <c r="F299" s="26">
        <v>111.103694</v>
      </c>
      <c r="G299" s="26">
        <v>-1.8963059999999961</v>
      </c>
      <c r="H299" s="26">
        <v>1.8963059999999961</v>
      </c>
      <c r="I299" s="26" t="s">
        <v>1230</v>
      </c>
      <c r="J299" s="26" t="s">
        <v>1231</v>
      </c>
      <c r="K299" s="26" t="b">
        <v>0</v>
      </c>
      <c r="L299" s="26">
        <v>2</v>
      </c>
    </row>
    <row r="300" spans="1:12" x14ac:dyDescent="0.25">
      <c r="A300" s="26" t="s">
        <v>853</v>
      </c>
      <c r="B300" s="26" t="s">
        <v>846</v>
      </c>
      <c r="C300" s="26" t="s">
        <v>1238</v>
      </c>
      <c r="D300" s="26" t="s">
        <v>527</v>
      </c>
      <c r="E300" s="26">
        <v>103</v>
      </c>
      <c r="F300" s="26">
        <v>101.731481</v>
      </c>
      <c r="G300" s="26">
        <v>-1.268518999999984</v>
      </c>
      <c r="H300" s="26">
        <v>1.268518999999984</v>
      </c>
      <c r="I300" s="26" t="s">
        <v>1230</v>
      </c>
      <c r="J300" s="26" t="s">
        <v>1231</v>
      </c>
      <c r="K300" s="26" t="b">
        <v>0</v>
      </c>
      <c r="L300" s="26">
        <v>3</v>
      </c>
    </row>
    <row r="301" spans="1:12" x14ac:dyDescent="0.25">
      <c r="A301" s="26" t="s">
        <v>854</v>
      </c>
      <c r="B301" s="26" t="s">
        <v>846</v>
      </c>
      <c r="C301" s="26" t="s">
        <v>1239</v>
      </c>
      <c r="D301" s="26" t="s">
        <v>527</v>
      </c>
      <c r="E301" s="26">
        <v>101</v>
      </c>
      <c r="F301" s="26">
        <v>99.863883000000001</v>
      </c>
      <c r="G301" s="26">
        <v>-1.1361169999999989</v>
      </c>
      <c r="H301" s="26">
        <v>1.1361169999999989</v>
      </c>
      <c r="I301" s="26" t="s">
        <v>1230</v>
      </c>
      <c r="J301" s="26" t="s">
        <v>1231</v>
      </c>
      <c r="K301" s="26" t="b">
        <v>0</v>
      </c>
      <c r="L301" s="26">
        <v>4</v>
      </c>
    </row>
    <row r="302" spans="1:12" x14ac:dyDescent="0.25">
      <c r="A302" s="26" t="s">
        <v>855</v>
      </c>
      <c r="B302" s="26" t="s">
        <v>846</v>
      </c>
      <c r="C302" s="26" t="s">
        <v>1240</v>
      </c>
      <c r="D302" s="26" t="s">
        <v>527</v>
      </c>
      <c r="E302" s="26">
        <v>98</v>
      </c>
      <c r="F302" s="26">
        <v>98.392294000000007</v>
      </c>
      <c r="G302" s="26">
        <v>0.3922940000000068</v>
      </c>
      <c r="H302" s="26">
        <v>0.3922940000000068</v>
      </c>
      <c r="I302" s="26" t="s">
        <v>1230</v>
      </c>
      <c r="J302" s="26" t="s">
        <v>1231</v>
      </c>
      <c r="K302" s="26" t="b">
        <v>0</v>
      </c>
      <c r="L302" s="26">
        <v>5</v>
      </c>
    </row>
    <row r="303" spans="1:12" x14ac:dyDescent="0.25">
      <c r="A303" s="26" t="s">
        <v>856</v>
      </c>
      <c r="B303" s="26" t="s">
        <v>857</v>
      </c>
      <c r="C303" s="26" t="s">
        <v>1229</v>
      </c>
      <c r="D303" s="26" t="s">
        <v>527</v>
      </c>
      <c r="E303" s="26">
        <v>89</v>
      </c>
      <c r="F303" s="26">
        <v>87.514268999999999</v>
      </c>
      <c r="G303" s="26">
        <v>-1.485731000000001</v>
      </c>
      <c r="H303" s="26">
        <v>1.485731000000001</v>
      </c>
      <c r="I303" s="26" t="s">
        <v>1230</v>
      </c>
      <c r="J303" s="26" t="s">
        <v>1231</v>
      </c>
      <c r="K303" s="26" t="b">
        <v>0</v>
      </c>
      <c r="L303" s="26">
        <v>1</v>
      </c>
    </row>
    <row r="304" spans="1:12" x14ac:dyDescent="0.25">
      <c r="A304" s="26" t="s">
        <v>858</v>
      </c>
      <c r="B304" s="26" t="s">
        <v>857</v>
      </c>
      <c r="C304" s="26" t="s">
        <v>1232</v>
      </c>
      <c r="D304" s="26" t="s">
        <v>527</v>
      </c>
      <c r="E304" s="26">
        <v>113</v>
      </c>
      <c r="F304" s="26">
        <v>113.56775</v>
      </c>
      <c r="G304" s="26">
        <v>0.56775000000000375</v>
      </c>
      <c r="H304" s="26">
        <v>0.56775000000000375</v>
      </c>
      <c r="I304" s="26" t="s">
        <v>1230</v>
      </c>
      <c r="J304" s="26" t="s">
        <v>1231</v>
      </c>
      <c r="K304" s="26" t="b">
        <v>0</v>
      </c>
      <c r="L304" s="26">
        <v>2</v>
      </c>
    </row>
    <row r="305" spans="1:12" x14ac:dyDescent="0.25">
      <c r="A305" s="26" t="s">
        <v>859</v>
      </c>
      <c r="B305" s="26" t="s">
        <v>857</v>
      </c>
      <c r="C305" s="26" t="s">
        <v>1233</v>
      </c>
      <c r="D305" s="26" t="s">
        <v>527</v>
      </c>
      <c r="E305" s="26">
        <v>93</v>
      </c>
      <c r="F305" s="26">
        <v>94.754878000000019</v>
      </c>
      <c r="G305" s="26">
        <v>1.754878000000019</v>
      </c>
      <c r="H305" s="26">
        <v>1.754878000000019</v>
      </c>
      <c r="I305" s="26" t="s">
        <v>1230</v>
      </c>
      <c r="J305" s="26" t="s">
        <v>1231</v>
      </c>
      <c r="K305" s="26" t="b">
        <v>0</v>
      </c>
      <c r="L305" s="26">
        <v>3</v>
      </c>
    </row>
    <row r="306" spans="1:12" x14ac:dyDescent="0.25">
      <c r="A306" s="26" t="s">
        <v>860</v>
      </c>
      <c r="B306" s="26" t="s">
        <v>857</v>
      </c>
      <c r="C306" s="26" t="s">
        <v>1234</v>
      </c>
      <c r="D306" s="26" t="s">
        <v>527</v>
      </c>
      <c r="E306" s="26">
        <v>123</v>
      </c>
      <c r="F306" s="26">
        <v>123.54131</v>
      </c>
      <c r="G306" s="26">
        <v>0.54131000000000995</v>
      </c>
      <c r="H306" s="26">
        <v>0.54131000000000995</v>
      </c>
      <c r="I306" s="26" t="s">
        <v>1230</v>
      </c>
      <c r="J306" s="26" t="s">
        <v>1231</v>
      </c>
      <c r="K306" s="26" t="b">
        <v>0</v>
      </c>
      <c r="L306" s="26">
        <v>4</v>
      </c>
    </row>
    <row r="307" spans="1:12" x14ac:dyDescent="0.25">
      <c r="A307" s="26" t="s">
        <v>861</v>
      </c>
      <c r="B307" s="26" t="s">
        <v>857</v>
      </c>
      <c r="C307" s="26" t="s">
        <v>1235</v>
      </c>
      <c r="D307" s="26" t="s">
        <v>527</v>
      </c>
      <c r="E307" s="26">
        <v>118</v>
      </c>
      <c r="F307" s="26">
        <v>114.64333000000001</v>
      </c>
      <c r="G307" s="26">
        <v>-3.356669999999994</v>
      </c>
      <c r="H307" s="26">
        <v>3.356669999999994</v>
      </c>
      <c r="I307" s="26" t="s">
        <v>1230</v>
      </c>
      <c r="J307" s="26" t="s">
        <v>1231</v>
      </c>
      <c r="K307" s="26" t="b">
        <v>0</v>
      </c>
      <c r="L307" s="26">
        <v>5</v>
      </c>
    </row>
    <row r="308" spans="1:12" x14ac:dyDescent="0.25">
      <c r="A308" s="26" t="s">
        <v>862</v>
      </c>
      <c r="B308" s="26" t="s">
        <v>857</v>
      </c>
      <c r="C308" s="26" t="s">
        <v>1236</v>
      </c>
      <c r="D308" s="26" t="s">
        <v>527</v>
      </c>
      <c r="E308" s="26">
        <v>100</v>
      </c>
      <c r="F308" s="26">
        <v>101.85859499999999</v>
      </c>
      <c r="G308" s="26">
        <v>1.858595000000008</v>
      </c>
      <c r="H308" s="26">
        <v>1.858595000000008</v>
      </c>
      <c r="I308" s="26" t="s">
        <v>1230</v>
      </c>
      <c r="J308" s="26" t="s">
        <v>1231</v>
      </c>
      <c r="K308" s="26" t="b">
        <v>0</v>
      </c>
      <c r="L308" s="26">
        <v>1</v>
      </c>
    </row>
    <row r="309" spans="1:12" x14ac:dyDescent="0.25">
      <c r="A309" s="26" t="s">
        <v>863</v>
      </c>
      <c r="B309" s="26" t="s">
        <v>857</v>
      </c>
      <c r="C309" s="26" t="s">
        <v>1237</v>
      </c>
      <c r="D309" s="26" t="s">
        <v>527</v>
      </c>
      <c r="E309" s="26">
        <v>97</v>
      </c>
      <c r="F309" s="26">
        <v>98.822526000000011</v>
      </c>
      <c r="G309" s="26">
        <v>1.822526000000011</v>
      </c>
      <c r="H309" s="26">
        <v>1.822526000000011</v>
      </c>
      <c r="I309" s="26" t="s">
        <v>1230</v>
      </c>
      <c r="J309" s="26" t="s">
        <v>1231</v>
      </c>
      <c r="K309" s="26" t="b">
        <v>0</v>
      </c>
      <c r="L309" s="26">
        <v>2</v>
      </c>
    </row>
    <row r="310" spans="1:12" x14ac:dyDescent="0.25">
      <c r="A310" s="26" t="s">
        <v>864</v>
      </c>
      <c r="B310" s="26" t="s">
        <v>857</v>
      </c>
      <c r="C310" s="26" t="s">
        <v>1238</v>
      </c>
      <c r="D310" s="26" t="s">
        <v>527</v>
      </c>
      <c r="E310" s="26">
        <v>101</v>
      </c>
      <c r="F310" s="26">
        <v>102.547944</v>
      </c>
      <c r="G310" s="26">
        <v>1.5479440000000011</v>
      </c>
      <c r="H310" s="26">
        <v>1.5479440000000011</v>
      </c>
      <c r="I310" s="26" t="s">
        <v>1230</v>
      </c>
      <c r="J310" s="26" t="s">
        <v>1231</v>
      </c>
      <c r="K310" s="26" t="b">
        <v>0</v>
      </c>
      <c r="L310" s="26">
        <v>3</v>
      </c>
    </row>
    <row r="311" spans="1:12" x14ac:dyDescent="0.25">
      <c r="A311" s="26" t="s">
        <v>865</v>
      </c>
      <c r="B311" s="26" t="s">
        <v>857</v>
      </c>
      <c r="C311" s="26" t="s">
        <v>1239</v>
      </c>
      <c r="D311" s="26" t="s">
        <v>527</v>
      </c>
      <c r="E311" s="26">
        <v>104</v>
      </c>
      <c r="F311" s="26">
        <v>104.684437</v>
      </c>
      <c r="G311" s="26">
        <v>0.68443700000000263</v>
      </c>
      <c r="H311" s="26">
        <v>0.68443700000000263</v>
      </c>
      <c r="I311" s="26" t="s">
        <v>1230</v>
      </c>
      <c r="J311" s="26" t="s">
        <v>1231</v>
      </c>
      <c r="K311" s="26" t="b">
        <v>0</v>
      </c>
      <c r="L311" s="26">
        <v>4</v>
      </c>
    </row>
    <row r="312" spans="1:12" x14ac:dyDescent="0.25">
      <c r="A312" s="26" t="s">
        <v>866</v>
      </c>
      <c r="B312" s="26" t="s">
        <v>857</v>
      </c>
      <c r="C312" s="26" t="s">
        <v>1240</v>
      </c>
      <c r="D312" s="26" t="s">
        <v>527</v>
      </c>
      <c r="E312" s="26">
        <v>102</v>
      </c>
      <c r="F312" s="26">
        <v>102.459942</v>
      </c>
      <c r="G312" s="26">
        <v>0.45994200000001229</v>
      </c>
      <c r="H312" s="26">
        <v>0.45994200000001229</v>
      </c>
      <c r="I312" s="26" t="s">
        <v>1230</v>
      </c>
      <c r="J312" s="26" t="s">
        <v>1231</v>
      </c>
      <c r="K312" s="26" t="b">
        <v>0</v>
      </c>
      <c r="L312" s="26">
        <v>5</v>
      </c>
    </row>
    <row r="313" spans="1:12" x14ac:dyDescent="0.25">
      <c r="A313" s="26" t="s">
        <v>867</v>
      </c>
      <c r="B313" s="26" t="s">
        <v>868</v>
      </c>
      <c r="C313" s="26" t="s">
        <v>1229</v>
      </c>
      <c r="D313" s="26" t="s">
        <v>527</v>
      </c>
      <c r="E313" s="26">
        <v>92</v>
      </c>
      <c r="F313" s="26">
        <v>94.099752000000009</v>
      </c>
      <c r="G313" s="26">
        <v>2.0997520000000089</v>
      </c>
      <c r="H313" s="26">
        <v>2.0997520000000089</v>
      </c>
      <c r="I313" s="26" t="s">
        <v>1230</v>
      </c>
      <c r="J313" s="26" t="s">
        <v>1231</v>
      </c>
      <c r="K313" s="26" t="b">
        <v>0</v>
      </c>
      <c r="L313" s="26">
        <v>1</v>
      </c>
    </row>
    <row r="314" spans="1:12" x14ac:dyDescent="0.25">
      <c r="A314" s="26" t="s">
        <v>869</v>
      </c>
      <c r="B314" s="26" t="s">
        <v>868</v>
      </c>
      <c r="C314" s="26" t="s">
        <v>1232</v>
      </c>
      <c r="D314" s="26" t="s">
        <v>527</v>
      </c>
      <c r="E314" s="26">
        <v>85</v>
      </c>
      <c r="F314" s="26">
        <v>88.804964999999996</v>
      </c>
      <c r="G314" s="26">
        <v>3.8049649999999962</v>
      </c>
      <c r="H314" s="26">
        <v>3.8049649999999962</v>
      </c>
      <c r="I314" s="26" t="s">
        <v>1230</v>
      </c>
      <c r="J314" s="26" t="s">
        <v>1231</v>
      </c>
      <c r="K314" s="26" t="b">
        <v>0</v>
      </c>
      <c r="L314" s="26">
        <v>2</v>
      </c>
    </row>
    <row r="315" spans="1:12" x14ac:dyDescent="0.25">
      <c r="A315" s="26" t="s">
        <v>870</v>
      </c>
      <c r="B315" s="26" t="s">
        <v>868</v>
      </c>
      <c r="C315" s="26" t="s">
        <v>1233</v>
      </c>
      <c r="D315" s="26" t="s">
        <v>527</v>
      </c>
      <c r="E315" s="26">
        <v>112</v>
      </c>
      <c r="F315" s="26">
        <v>110.199229</v>
      </c>
      <c r="G315" s="26">
        <v>-1.800770999999997</v>
      </c>
      <c r="H315" s="26">
        <v>1.800770999999997</v>
      </c>
      <c r="I315" s="26" t="s">
        <v>1230</v>
      </c>
      <c r="J315" s="26" t="s">
        <v>1231</v>
      </c>
      <c r="K315" s="26" t="b">
        <v>0</v>
      </c>
      <c r="L315" s="26">
        <v>3</v>
      </c>
    </row>
    <row r="316" spans="1:12" x14ac:dyDescent="0.25">
      <c r="A316" s="26" t="s">
        <v>871</v>
      </c>
      <c r="B316" s="26" t="s">
        <v>868</v>
      </c>
      <c r="C316" s="26" t="s">
        <v>1234</v>
      </c>
      <c r="D316" s="26" t="s">
        <v>527</v>
      </c>
      <c r="E316" s="26">
        <v>110</v>
      </c>
      <c r="F316" s="26">
        <v>111.77837599999999</v>
      </c>
      <c r="G316" s="26">
        <v>1.7783760000000091</v>
      </c>
      <c r="H316" s="26">
        <v>1.7783760000000091</v>
      </c>
      <c r="I316" s="26" t="s">
        <v>1230</v>
      </c>
      <c r="J316" s="26" t="s">
        <v>1231</v>
      </c>
      <c r="K316" s="26" t="b">
        <v>0</v>
      </c>
      <c r="L316" s="26">
        <v>4</v>
      </c>
    </row>
    <row r="317" spans="1:12" x14ac:dyDescent="0.25">
      <c r="A317" s="26" t="s">
        <v>872</v>
      </c>
      <c r="B317" s="26" t="s">
        <v>868</v>
      </c>
      <c r="C317" s="26" t="s">
        <v>1235</v>
      </c>
      <c r="D317" s="26" t="s">
        <v>527</v>
      </c>
      <c r="E317" s="26">
        <v>113</v>
      </c>
      <c r="F317" s="26">
        <v>112.682841</v>
      </c>
      <c r="G317" s="26">
        <v>-0.31715899999998948</v>
      </c>
      <c r="H317" s="26">
        <v>0.31715899999998948</v>
      </c>
      <c r="I317" s="26" t="s">
        <v>1230</v>
      </c>
      <c r="J317" s="26" t="s">
        <v>1231</v>
      </c>
      <c r="K317" s="26" t="b">
        <v>0</v>
      </c>
      <c r="L317" s="26">
        <v>5</v>
      </c>
    </row>
    <row r="318" spans="1:12" x14ac:dyDescent="0.25">
      <c r="A318" s="26" t="s">
        <v>873</v>
      </c>
      <c r="B318" s="26" t="s">
        <v>868</v>
      </c>
      <c r="C318" s="26" t="s">
        <v>1236</v>
      </c>
      <c r="D318" s="26" t="s">
        <v>527</v>
      </c>
      <c r="E318" s="26">
        <v>92</v>
      </c>
      <c r="F318" s="26">
        <v>92.075706000000011</v>
      </c>
      <c r="G318" s="26">
        <v>7.5706000000010931E-2</v>
      </c>
      <c r="H318" s="26">
        <v>7.5706000000010931E-2</v>
      </c>
      <c r="I318" s="26" t="s">
        <v>1230</v>
      </c>
      <c r="J318" s="26" t="s">
        <v>1231</v>
      </c>
      <c r="K318" s="26" t="b">
        <v>0</v>
      </c>
      <c r="L318" s="26">
        <v>1</v>
      </c>
    </row>
    <row r="319" spans="1:12" x14ac:dyDescent="0.25">
      <c r="A319" s="26" t="s">
        <v>874</v>
      </c>
      <c r="B319" s="26" t="s">
        <v>868</v>
      </c>
      <c r="C319" s="26" t="s">
        <v>1237</v>
      </c>
      <c r="D319" s="26" t="s">
        <v>527</v>
      </c>
      <c r="E319" s="26">
        <v>95</v>
      </c>
      <c r="F319" s="26">
        <v>92.559717000000006</v>
      </c>
      <c r="G319" s="26">
        <v>-2.4402829999999942</v>
      </c>
      <c r="H319" s="26">
        <v>2.4402829999999942</v>
      </c>
      <c r="I319" s="26" t="s">
        <v>1230</v>
      </c>
      <c r="J319" s="26" t="s">
        <v>1231</v>
      </c>
      <c r="K319" s="26" t="b">
        <v>0</v>
      </c>
      <c r="L319" s="26">
        <v>2</v>
      </c>
    </row>
    <row r="320" spans="1:12" x14ac:dyDescent="0.25">
      <c r="A320" s="26" t="s">
        <v>875</v>
      </c>
      <c r="B320" s="26" t="s">
        <v>868</v>
      </c>
      <c r="C320" s="26" t="s">
        <v>1238</v>
      </c>
      <c r="D320" s="26" t="s">
        <v>527</v>
      </c>
      <c r="E320" s="26">
        <v>109</v>
      </c>
      <c r="F320" s="26">
        <v>108.429411</v>
      </c>
      <c r="G320" s="26">
        <v>-0.57058899999998403</v>
      </c>
      <c r="H320" s="26">
        <v>0.57058899999998403</v>
      </c>
      <c r="I320" s="26" t="s">
        <v>1230</v>
      </c>
      <c r="J320" s="26" t="s">
        <v>1231</v>
      </c>
      <c r="K320" s="26" t="b">
        <v>0</v>
      </c>
      <c r="L320" s="26">
        <v>3</v>
      </c>
    </row>
    <row r="321" spans="1:12" x14ac:dyDescent="0.25">
      <c r="A321" s="26" t="s">
        <v>876</v>
      </c>
      <c r="B321" s="26" t="s">
        <v>868</v>
      </c>
      <c r="C321" s="26" t="s">
        <v>1239</v>
      </c>
      <c r="D321" s="26" t="s">
        <v>527</v>
      </c>
      <c r="E321" s="26">
        <v>104</v>
      </c>
      <c r="F321" s="26">
        <v>102.29860499999999</v>
      </c>
      <c r="G321" s="26">
        <v>-1.7013949999999911</v>
      </c>
      <c r="H321" s="26">
        <v>1.7013949999999911</v>
      </c>
      <c r="I321" s="26" t="s">
        <v>1230</v>
      </c>
      <c r="J321" s="26" t="s">
        <v>1231</v>
      </c>
      <c r="K321" s="26" t="b">
        <v>0</v>
      </c>
      <c r="L321" s="26">
        <v>4</v>
      </c>
    </row>
    <row r="322" spans="1:12" x14ac:dyDescent="0.25">
      <c r="A322" s="26" t="s">
        <v>877</v>
      </c>
      <c r="B322" s="26" t="s">
        <v>868</v>
      </c>
      <c r="C322" s="26" t="s">
        <v>1240</v>
      </c>
      <c r="D322" s="26" t="s">
        <v>527</v>
      </c>
      <c r="E322" s="26">
        <v>95</v>
      </c>
      <c r="F322" s="26">
        <v>94.427315000000007</v>
      </c>
      <c r="G322" s="26">
        <v>-0.57268499999999278</v>
      </c>
      <c r="H322" s="26">
        <v>0.57268499999999278</v>
      </c>
      <c r="I322" s="26" t="s">
        <v>1230</v>
      </c>
      <c r="J322" s="26" t="s">
        <v>1231</v>
      </c>
      <c r="K322" s="26" t="b">
        <v>0</v>
      </c>
      <c r="L322" s="26">
        <v>5</v>
      </c>
    </row>
    <row r="323" spans="1:12" x14ac:dyDescent="0.25">
      <c r="A323" s="26" t="s">
        <v>878</v>
      </c>
      <c r="B323" s="26" t="s">
        <v>879</v>
      </c>
      <c r="C323" s="26" t="s">
        <v>1229</v>
      </c>
      <c r="D323" s="26" t="s">
        <v>527</v>
      </c>
      <c r="E323" s="26">
        <v>116</v>
      </c>
      <c r="F323" s="26">
        <v>113.856201</v>
      </c>
      <c r="G323" s="26">
        <v>-2.1437989999999871</v>
      </c>
      <c r="H323" s="26">
        <v>2.1437989999999871</v>
      </c>
      <c r="I323" s="26" t="s">
        <v>1230</v>
      </c>
      <c r="J323" s="26" t="s">
        <v>1231</v>
      </c>
      <c r="K323" s="26" t="b">
        <v>0</v>
      </c>
      <c r="L323" s="26">
        <v>1</v>
      </c>
    </row>
    <row r="324" spans="1:12" x14ac:dyDescent="0.25">
      <c r="A324" s="26" t="s">
        <v>880</v>
      </c>
      <c r="B324" s="26" t="s">
        <v>879</v>
      </c>
      <c r="C324" s="26" t="s">
        <v>1232</v>
      </c>
      <c r="D324" s="26" t="s">
        <v>527</v>
      </c>
      <c r="E324" s="26">
        <v>110</v>
      </c>
      <c r="F324" s="26">
        <v>109.11875999999999</v>
      </c>
      <c r="G324" s="26">
        <v>-0.88123999999999114</v>
      </c>
      <c r="H324" s="26">
        <v>0.88123999999999114</v>
      </c>
      <c r="I324" s="26" t="s">
        <v>1230</v>
      </c>
      <c r="J324" s="26" t="s">
        <v>1231</v>
      </c>
      <c r="K324" s="26" t="b">
        <v>0</v>
      </c>
      <c r="L324" s="26">
        <v>2</v>
      </c>
    </row>
    <row r="325" spans="1:12" x14ac:dyDescent="0.25">
      <c r="A325" s="26" t="s">
        <v>881</v>
      </c>
      <c r="B325" s="26" t="s">
        <v>879</v>
      </c>
      <c r="C325" s="26" t="s">
        <v>1233</v>
      </c>
      <c r="D325" s="26" t="s">
        <v>527</v>
      </c>
      <c r="E325" s="26">
        <v>111</v>
      </c>
      <c r="F325" s="26">
        <v>110.169895</v>
      </c>
      <c r="G325" s="26">
        <v>-0.83010499999998899</v>
      </c>
      <c r="H325" s="26">
        <v>0.83010499999998899</v>
      </c>
      <c r="I325" s="26" t="s">
        <v>1230</v>
      </c>
      <c r="J325" s="26" t="s">
        <v>1231</v>
      </c>
      <c r="K325" s="26" t="b">
        <v>0</v>
      </c>
      <c r="L325" s="26">
        <v>3</v>
      </c>
    </row>
    <row r="326" spans="1:12" x14ac:dyDescent="0.25">
      <c r="A326" s="26" t="s">
        <v>882</v>
      </c>
      <c r="B326" s="26" t="s">
        <v>879</v>
      </c>
      <c r="C326" s="26" t="s">
        <v>1234</v>
      </c>
      <c r="D326" s="26" t="s">
        <v>527</v>
      </c>
      <c r="E326" s="26">
        <v>73</v>
      </c>
      <c r="F326" s="26">
        <v>73.888626000000002</v>
      </c>
      <c r="G326" s="26">
        <v>0.88862600000000214</v>
      </c>
      <c r="H326" s="26">
        <v>0.88862600000000214</v>
      </c>
      <c r="I326" s="26" t="s">
        <v>1230</v>
      </c>
      <c r="J326" s="26" t="s">
        <v>1231</v>
      </c>
      <c r="K326" s="26" t="b">
        <v>0</v>
      </c>
      <c r="L326" s="26">
        <v>4</v>
      </c>
    </row>
    <row r="327" spans="1:12" x14ac:dyDescent="0.25">
      <c r="A327" s="26" t="s">
        <v>883</v>
      </c>
      <c r="B327" s="26" t="s">
        <v>879</v>
      </c>
      <c r="C327" s="26" t="s">
        <v>1235</v>
      </c>
      <c r="D327" s="26" t="s">
        <v>527</v>
      </c>
      <c r="E327" s="26">
        <v>105</v>
      </c>
      <c r="F327" s="26">
        <v>102.20082499999999</v>
      </c>
      <c r="G327" s="26">
        <v>-2.7991749999999911</v>
      </c>
      <c r="H327" s="26">
        <v>2.7991749999999911</v>
      </c>
      <c r="I327" s="26" t="s">
        <v>1230</v>
      </c>
      <c r="J327" s="26" t="s">
        <v>1231</v>
      </c>
      <c r="K327" s="26" t="b">
        <v>0</v>
      </c>
      <c r="L327" s="26">
        <v>5</v>
      </c>
    </row>
    <row r="328" spans="1:12" x14ac:dyDescent="0.25">
      <c r="A328" s="26" t="s">
        <v>884</v>
      </c>
      <c r="B328" s="26" t="s">
        <v>879</v>
      </c>
      <c r="C328" s="26" t="s">
        <v>1236</v>
      </c>
      <c r="D328" s="26" t="s">
        <v>527</v>
      </c>
      <c r="E328" s="26">
        <v>101</v>
      </c>
      <c r="F328" s="26">
        <v>98.582965000000002</v>
      </c>
      <c r="G328" s="26">
        <v>-2.417034999999998</v>
      </c>
      <c r="H328" s="26">
        <v>2.417034999999998</v>
      </c>
      <c r="I328" s="26" t="s">
        <v>1230</v>
      </c>
      <c r="J328" s="26" t="s">
        <v>1231</v>
      </c>
      <c r="K328" s="26" t="b">
        <v>0</v>
      </c>
      <c r="L328" s="26">
        <v>1</v>
      </c>
    </row>
    <row r="329" spans="1:12" x14ac:dyDescent="0.25">
      <c r="A329" s="26" t="s">
        <v>885</v>
      </c>
      <c r="B329" s="26" t="s">
        <v>879</v>
      </c>
      <c r="C329" s="26" t="s">
        <v>1237</v>
      </c>
      <c r="D329" s="26" t="s">
        <v>527</v>
      </c>
      <c r="E329" s="26">
        <v>103</v>
      </c>
      <c r="F329" s="26">
        <v>103.68708100000001</v>
      </c>
      <c r="G329" s="26">
        <v>0.68708100000000627</v>
      </c>
      <c r="H329" s="26">
        <v>0.68708100000000627</v>
      </c>
      <c r="I329" s="26" t="s">
        <v>1230</v>
      </c>
      <c r="J329" s="26" t="s">
        <v>1231</v>
      </c>
      <c r="K329" s="26" t="b">
        <v>0</v>
      </c>
      <c r="L329" s="26">
        <v>2</v>
      </c>
    </row>
    <row r="330" spans="1:12" x14ac:dyDescent="0.25">
      <c r="A330" s="26" t="s">
        <v>886</v>
      </c>
      <c r="B330" s="26" t="s">
        <v>879</v>
      </c>
      <c r="C330" s="26" t="s">
        <v>1238</v>
      </c>
      <c r="D330" s="26" t="s">
        <v>527</v>
      </c>
      <c r="E330" s="26">
        <v>122</v>
      </c>
      <c r="F330" s="26">
        <v>120.24612399999999</v>
      </c>
      <c r="G330" s="26">
        <v>-1.7538759999999911</v>
      </c>
      <c r="H330" s="26">
        <v>1.7538759999999911</v>
      </c>
      <c r="I330" s="26" t="s">
        <v>1230</v>
      </c>
      <c r="J330" s="26" t="s">
        <v>1231</v>
      </c>
      <c r="K330" s="26" t="b">
        <v>0</v>
      </c>
      <c r="L330" s="26">
        <v>3</v>
      </c>
    </row>
    <row r="331" spans="1:12" x14ac:dyDescent="0.25">
      <c r="A331" s="26" t="s">
        <v>887</v>
      </c>
      <c r="B331" s="26" t="s">
        <v>879</v>
      </c>
      <c r="C331" s="26" t="s">
        <v>1239</v>
      </c>
      <c r="D331" s="26" t="s">
        <v>527</v>
      </c>
      <c r="E331" s="26">
        <v>96</v>
      </c>
      <c r="F331" s="26">
        <v>98.084287000000003</v>
      </c>
      <c r="G331" s="26">
        <v>2.0842870000000029</v>
      </c>
      <c r="H331" s="26">
        <v>2.0842870000000029</v>
      </c>
      <c r="I331" s="26" t="s">
        <v>1230</v>
      </c>
      <c r="J331" s="26" t="s">
        <v>1231</v>
      </c>
      <c r="K331" s="26" t="b">
        <v>0</v>
      </c>
      <c r="L331" s="26">
        <v>4</v>
      </c>
    </row>
    <row r="332" spans="1:12" x14ac:dyDescent="0.25">
      <c r="A332" s="26" t="s">
        <v>888</v>
      </c>
      <c r="B332" s="26" t="s">
        <v>879</v>
      </c>
      <c r="C332" s="26" t="s">
        <v>1240</v>
      </c>
      <c r="D332" s="26" t="s">
        <v>527</v>
      </c>
      <c r="E332" s="26">
        <v>105</v>
      </c>
      <c r="F332" s="26">
        <v>105.40312</v>
      </c>
      <c r="G332" s="26">
        <v>0.40312000000000131</v>
      </c>
      <c r="H332" s="26">
        <v>0.40312000000000131</v>
      </c>
      <c r="I332" s="26" t="s">
        <v>1230</v>
      </c>
      <c r="J332" s="26" t="s">
        <v>1231</v>
      </c>
      <c r="K332" s="26" t="b">
        <v>0</v>
      </c>
      <c r="L332" s="26">
        <v>5</v>
      </c>
    </row>
    <row r="333" spans="1:12" x14ac:dyDescent="0.25">
      <c r="A333" s="26" t="s">
        <v>889</v>
      </c>
      <c r="B333" s="26" t="s">
        <v>890</v>
      </c>
      <c r="C333" s="26" t="s">
        <v>1229</v>
      </c>
      <c r="D333" s="26" t="s">
        <v>527</v>
      </c>
      <c r="E333" s="26">
        <v>103</v>
      </c>
      <c r="F333" s="26">
        <v>104.112424</v>
      </c>
      <c r="G333" s="26">
        <v>1.1124240000000041</v>
      </c>
      <c r="H333" s="26">
        <v>1.1124240000000041</v>
      </c>
      <c r="I333" s="26" t="s">
        <v>1230</v>
      </c>
      <c r="J333" s="26" t="s">
        <v>1231</v>
      </c>
      <c r="K333" s="26" t="b">
        <v>0</v>
      </c>
      <c r="L333" s="26">
        <v>1</v>
      </c>
    </row>
    <row r="334" spans="1:12" x14ac:dyDescent="0.25">
      <c r="A334" s="26" t="s">
        <v>891</v>
      </c>
      <c r="B334" s="26" t="s">
        <v>890</v>
      </c>
      <c r="C334" s="26" t="s">
        <v>1232</v>
      </c>
      <c r="D334" s="26" t="s">
        <v>527</v>
      </c>
      <c r="E334" s="26">
        <v>108</v>
      </c>
      <c r="F334" s="26">
        <v>110.404567</v>
      </c>
      <c r="G334" s="26">
        <v>2.4045670000000139</v>
      </c>
      <c r="H334" s="26">
        <v>2.4045670000000139</v>
      </c>
      <c r="I334" s="26" t="s">
        <v>1230</v>
      </c>
      <c r="J334" s="26" t="s">
        <v>1231</v>
      </c>
      <c r="K334" s="26" t="b">
        <v>0</v>
      </c>
      <c r="L334" s="26">
        <v>2</v>
      </c>
    </row>
    <row r="335" spans="1:12" x14ac:dyDescent="0.25">
      <c r="A335" s="26" t="s">
        <v>892</v>
      </c>
      <c r="B335" s="26" t="s">
        <v>890</v>
      </c>
      <c r="C335" s="26" t="s">
        <v>1233</v>
      </c>
      <c r="D335" s="26" t="s">
        <v>527</v>
      </c>
      <c r="E335" s="26">
        <v>106</v>
      </c>
      <c r="F335" s="26">
        <v>105.45201</v>
      </c>
      <c r="G335" s="26">
        <v>-0.54798999999999864</v>
      </c>
      <c r="H335" s="26">
        <v>0.54798999999999864</v>
      </c>
      <c r="I335" s="26" t="s">
        <v>1230</v>
      </c>
      <c r="J335" s="26" t="s">
        <v>1231</v>
      </c>
      <c r="K335" s="26" t="b">
        <v>0</v>
      </c>
      <c r="L335" s="26">
        <v>3</v>
      </c>
    </row>
    <row r="336" spans="1:12" x14ac:dyDescent="0.25">
      <c r="A336" s="26" t="s">
        <v>893</v>
      </c>
      <c r="B336" s="26" t="s">
        <v>890</v>
      </c>
      <c r="C336" s="26" t="s">
        <v>1234</v>
      </c>
      <c r="D336" s="26" t="s">
        <v>527</v>
      </c>
      <c r="E336" s="26">
        <v>115</v>
      </c>
      <c r="F336" s="26">
        <v>113.787755</v>
      </c>
      <c r="G336" s="26">
        <v>-1.212244999999982</v>
      </c>
      <c r="H336" s="26">
        <v>1.212244999999982</v>
      </c>
      <c r="I336" s="26" t="s">
        <v>1230</v>
      </c>
      <c r="J336" s="26" t="s">
        <v>1231</v>
      </c>
      <c r="K336" s="26" t="b">
        <v>0</v>
      </c>
      <c r="L336" s="26">
        <v>4</v>
      </c>
    </row>
    <row r="337" spans="1:12" x14ac:dyDescent="0.25">
      <c r="A337" s="26" t="s">
        <v>894</v>
      </c>
      <c r="B337" s="26" t="s">
        <v>890</v>
      </c>
      <c r="C337" s="26" t="s">
        <v>1235</v>
      </c>
      <c r="D337" s="26" t="s">
        <v>527</v>
      </c>
      <c r="E337" s="26">
        <v>119</v>
      </c>
      <c r="F337" s="26">
        <v>120.22167899999999</v>
      </c>
      <c r="G337" s="26">
        <v>1.2216790000000091</v>
      </c>
      <c r="H337" s="26">
        <v>1.2216790000000091</v>
      </c>
      <c r="I337" s="26" t="s">
        <v>1230</v>
      </c>
      <c r="J337" s="26" t="s">
        <v>1231</v>
      </c>
      <c r="K337" s="26" t="b">
        <v>0</v>
      </c>
      <c r="L337" s="26">
        <v>5</v>
      </c>
    </row>
    <row r="338" spans="1:12" x14ac:dyDescent="0.25">
      <c r="A338" s="26" t="s">
        <v>895</v>
      </c>
      <c r="B338" s="26" t="s">
        <v>890</v>
      </c>
      <c r="C338" s="26" t="s">
        <v>1236</v>
      </c>
      <c r="D338" s="26" t="s">
        <v>527</v>
      </c>
      <c r="E338" s="26">
        <v>103</v>
      </c>
      <c r="F338" s="26">
        <v>103.946198</v>
      </c>
      <c r="G338" s="26">
        <v>0.94619800000000964</v>
      </c>
      <c r="H338" s="26">
        <v>0.94619800000000964</v>
      </c>
      <c r="I338" s="26" t="s">
        <v>1230</v>
      </c>
      <c r="J338" s="26" t="s">
        <v>1231</v>
      </c>
      <c r="K338" s="26" t="b">
        <v>0</v>
      </c>
      <c r="L338" s="26">
        <v>1</v>
      </c>
    </row>
    <row r="339" spans="1:12" x14ac:dyDescent="0.25">
      <c r="A339" s="26" t="s">
        <v>896</v>
      </c>
      <c r="B339" s="26" t="s">
        <v>890</v>
      </c>
      <c r="C339" s="26" t="s">
        <v>1237</v>
      </c>
      <c r="D339" s="26" t="s">
        <v>527</v>
      </c>
      <c r="E339" s="26">
        <v>100</v>
      </c>
      <c r="F339" s="26">
        <v>99.795437000000007</v>
      </c>
      <c r="G339" s="26">
        <v>-0.20456299999999319</v>
      </c>
      <c r="H339" s="26">
        <v>0.20456299999999319</v>
      </c>
      <c r="I339" s="26" t="s">
        <v>1230</v>
      </c>
      <c r="J339" s="26" t="s">
        <v>1231</v>
      </c>
      <c r="K339" s="26" t="b">
        <v>0</v>
      </c>
      <c r="L339" s="26">
        <v>2</v>
      </c>
    </row>
    <row r="340" spans="1:12" x14ac:dyDescent="0.25">
      <c r="A340" s="26" t="s">
        <v>897</v>
      </c>
      <c r="B340" s="26" t="s">
        <v>890</v>
      </c>
      <c r="C340" s="26" t="s">
        <v>1238</v>
      </c>
      <c r="D340" s="26" t="s">
        <v>527</v>
      </c>
      <c r="E340" s="26">
        <v>107</v>
      </c>
      <c r="F340" s="26">
        <v>109.392544</v>
      </c>
      <c r="G340" s="26">
        <v>2.3925440000000151</v>
      </c>
      <c r="H340" s="26">
        <v>2.3925440000000151</v>
      </c>
      <c r="I340" s="26" t="s">
        <v>1230</v>
      </c>
      <c r="J340" s="26" t="s">
        <v>1231</v>
      </c>
      <c r="K340" s="26" t="b">
        <v>0</v>
      </c>
      <c r="L340" s="26">
        <v>3</v>
      </c>
    </row>
    <row r="341" spans="1:12" x14ac:dyDescent="0.25">
      <c r="A341" s="26" t="s">
        <v>898</v>
      </c>
      <c r="B341" s="26" t="s">
        <v>890</v>
      </c>
      <c r="C341" s="26" t="s">
        <v>1239</v>
      </c>
      <c r="D341" s="26" t="s">
        <v>527</v>
      </c>
      <c r="E341" s="26">
        <v>112</v>
      </c>
      <c r="F341" s="26">
        <v>111.48503599999999</v>
      </c>
      <c r="G341" s="26">
        <v>-0.51496399999997777</v>
      </c>
      <c r="H341" s="26">
        <v>0.51496399999997777</v>
      </c>
      <c r="I341" s="26" t="s">
        <v>1230</v>
      </c>
      <c r="J341" s="26" t="s">
        <v>1231</v>
      </c>
      <c r="K341" s="26" t="b">
        <v>0</v>
      </c>
      <c r="L341" s="26">
        <v>4</v>
      </c>
    </row>
    <row r="342" spans="1:12" x14ac:dyDescent="0.25">
      <c r="A342" s="26" t="s">
        <v>899</v>
      </c>
      <c r="B342" s="26" t="s">
        <v>890</v>
      </c>
      <c r="C342" s="26" t="s">
        <v>1240</v>
      </c>
      <c r="D342" s="26" t="s">
        <v>527</v>
      </c>
      <c r="E342" s="26">
        <v>112</v>
      </c>
      <c r="F342" s="26">
        <v>111.915268</v>
      </c>
      <c r="G342" s="26">
        <v>-8.4732000000002472E-2</v>
      </c>
      <c r="H342" s="26">
        <v>8.4732000000002472E-2</v>
      </c>
      <c r="I342" s="26" t="s">
        <v>1230</v>
      </c>
      <c r="J342" s="26" t="s">
        <v>1231</v>
      </c>
      <c r="K342" s="26" t="b">
        <v>0</v>
      </c>
      <c r="L342" s="26">
        <v>5</v>
      </c>
    </row>
    <row r="343" spans="1:12" x14ac:dyDescent="0.25">
      <c r="A343" s="26" t="s">
        <v>900</v>
      </c>
      <c r="B343" s="26" t="s">
        <v>901</v>
      </c>
      <c r="C343" s="26" t="s">
        <v>1229</v>
      </c>
      <c r="D343" s="26" t="s">
        <v>527</v>
      </c>
      <c r="E343" s="26">
        <v>118</v>
      </c>
      <c r="F343" s="26">
        <v>117.762512</v>
      </c>
      <c r="G343" s="26">
        <v>-0.23748799999998479</v>
      </c>
      <c r="H343" s="26">
        <v>0.23748799999998479</v>
      </c>
      <c r="I343" s="26" t="s">
        <v>1230</v>
      </c>
      <c r="J343" s="26" t="s">
        <v>1231</v>
      </c>
      <c r="K343" s="26" t="b">
        <v>0</v>
      </c>
      <c r="L343" s="26">
        <v>1</v>
      </c>
    </row>
    <row r="344" spans="1:12" x14ac:dyDescent="0.25">
      <c r="A344" s="26" t="s">
        <v>902</v>
      </c>
      <c r="B344" s="26" t="s">
        <v>901</v>
      </c>
      <c r="C344" s="26" t="s">
        <v>1232</v>
      </c>
      <c r="D344" s="26" t="s">
        <v>527</v>
      </c>
      <c r="E344" s="26">
        <v>92</v>
      </c>
      <c r="F344" s="26">
        <v>90.672563000000011</v>
      </c>
      <c r="G344" s="26">
        <v>-1.3274369999999891</v>
      </c>
      <c r="H344" s="26">
        <v>1.3274369999999891</v>
      </c>
      <c r="I344" s="26" t="s">
        <v>1230</v>
      </c>
      <c r="J344" s="26" t="s">
        <v>1231</v>
      </c>
      <c r="K344" s="26" t="b">
        <v>0</v>
      </c>
      <c r="L344" s="26">
        <v>2</v>
      </c>
    </row>
    <row r="345" spans="1:12" x14ac:dyDescent="0.25">
      <c r="A345" s="26" t="s">
        <v>903</v>
      </c>
      <c r="B345" s="26" t="s">
        <v>901</v>
      </c>
      <c r="C345" s="26" t="s">
        <v>1233</v>
      </c>
      <c r="D345" s="26" t="s">
        <v>527</v>
      </c>
      <c r="E345" s="26">
        <v>122</v>
      </c>
      <c r="F345" s="26">
        <v>121.77149199999999</v>
      </c>
      <c r="G345" s="26">
        <v>-0.2285079999999908</v>
      </c>
      <c r="H345" s="26">
        <v>0.2285079999999908</v>
      </c>
      <c r="I345" s="26" t="s">
        <v>1230</v>
      </c>
      <c r="J345" s="26" t="s">
        <v>1231</v>
      </c>
      <c r="K345" s="26" t="b">
        <v>0</v>
      </c>
      <c r="L345" s="26">
        <v>3</v>
      </c>
    </row>
    <row r="346" spans="1:12" x14ac:dyDescent="0.25">
      <c r="A346" s="26" t="s">
        <v>904</v>
      </c>
      <c r="B346" s="26" t="s">
        <v>901</v>
      </c>
      <c r="C346" s="26" t="s">
        <v>1234</v>
      </c>
      <c r="D346" s="26" t="s">
        <v>527</v>
      </c>
      <c r="E346" s="26">
        <v>109</v>
      </c>
      <c r="F346" s="26">
        <v>111.357922</v>
      </c>
      <c r="G346" s="26">
        <v>2.3579220000000021</v>
      </c>
      <c r="H346" s="26">
        <v>2.3579220000000021</v>
      </c>
      <c r="I346" s="26" t="s">
        <v>1230</v>
      </c>
      <c r="J346" s="26" t="s">
        <v>1231</v>
      </c>
      <c r="K346" s="26" t="b">
        <v>0</v>
      </c>
      <c r="L346" s="26">
        <v>4</v>
      </c>
    </row>
    <row r="347" spans="1:12" x14ac:dyDescent="0.25">
      <c r="A347" s="26" t="s">
        <v>905</v>
      </c>
      <c r="B347" s="26" t="s">
        <v>901</v>
      </c>
      <c r="C347" s="26" t="s">
        <v>1235</v>
      </c>
      <c r="D347" s="26" t="s">
        <v>527</v>
      </c>
      <c r="E347" s="26">
        <v>96</v>
      </c>
      <c r="F347" s="26">
        <v>96.989151000000021</v>
      </c>
      <c r="G347" s="26">
        <v>0.98915100000002099</v>
      </c>
      <c r="H347" s="26">
        <v>0.98915100000002099</v>
      </c>
      <c r="I347" s="26" t="s">
        <v>1230</v>
      </c>
      <c r="J347" s="26" t="s">
        <v>1231</v>
      </c>
      <c r="K347" s="26" t="b">
        <v>0</v>
      </c>
      <c r="L347" s="26">
        <v>5</v>
      </c>
    </row>
    <row r="348" spans="1:12" x14ac:dyDescent="0.25">
      <c r="A348" s="26" t="s">
        <v>906</v>
      </c>
      <c r="B348" s="26" t="s">
        <v>901</v>
      </c>
      <c r="C348" s="26" t="s">
        <v>1236</v>
      </c>
      <c r="D348" s="26" t="s">
        <v>527</v>
      </c>
      <c r="E348" s="26">
        <v>102</v>
      </c>
      <c r="F348" s="26">
        <v>102.132379</v>
      </c>
      <c r="G348" s="26">
        <v>0.13237900000001451</v>
      </c>
      <c r="H348" s="26">
        <v>0.13237900000001451</v>
      </c>
      <c r="I348" s="26" t="s">
        <v>1230</v>
      </c>
      <c r="J348" s="26" t="s">
        <v>1231</v>
      </c>
      <c r="K348" s="26" t="b">
        <v>0</v>
      </c>
      <c r="L348" s="26">
        <v>1</v>
      </c>
    </row>
    <row r="349" spans="1:12" x14ac:dyDescent="0.25">
      <c r="A349" s="26" t="s">
        <v>907</v>
      </c>
      <c r="B349" s="26" t="s">
        <v>901</v>
      </c>
      <c r="C349" s="26" t="s">
        <v>1237</v>
      </c>
      <c r="D349" s="26" t="s">
        <v>527</v>
      </c>
      <c r="E349" s="26">
        <v>107</v>
      </c>
      <c r="F349" s="26">
        <v>106.684038</v>
      </c>
      <c r="G349" s="26">
        <v>-0.31596199999999902</v>
      </c>
      <c r="H349" s="26">
        <v>0.31596199999999902</v>
      </c>
      <c r="I349" s="26" t="s">
        <v>1230</v>
      </c>
      <c r="J349" s="26" t="s">
        <v>1231</v>
      </c>
      <c r="K349" s="26" t="b">
        <v>0</v>
      </c>
      <c r="L349" s="26">
        <v>2</v>
      </c>
    </row>
    <row r="350" spans="1:12" x14ac:dyDescent="0.25">
      <c r="A350" s="26" t="s">
        <v>908</v>
      </c>
      <c r="B350" s="26" t="s">
        <v>901</v>
      </c>
      <c r="C350" s="26" t="s">
        <v>1238</v>
      </c>
      <c r="D350" s="26" t="s">
        <v>527</v>
      </c>
      <c r="E350" s="26">
        <v>108</v>
      </c>
      <c r="F350" s="26">
        <v>108.522302</v>
      </c>
      <c r="G350" s="26">
        <v>0.52230200000001048</v>
      </c>
      <c r="H350" s="26">
        <v>0.52230200000001048</v>
      </c>
      <c r="I350" s="26" t="s">
        <v>1230</v>
      </c>
      <c r="J350" s="26" t="s">
        <v>1231</v>
      </c>
      <c r="K350" s="26" t="b">
        <v>0</v>
      </c>
      <c r="L350" s="26">
        <v>3</v>
      </c>
    </row>
    <row r="351" spans="1:12" x14ac:dyDescent="0.25">
      <c r="A351" s="26" t="s">
        <v>909</v>
      </c>
      <c r="B351" s="26" t="s">
        <v>901</v>
      </c>
      <c r="C351" s="26" t="s">
        <v>1239</v>
      </c>
      <c r="D351" s="26" t="s">
        <v>527</v>
      </c>
      <c r="E351" s="26">
        <v>112</v>
      </c>
      <c r="F351" s="26">
        <v>113.161963</v>
      </c>
      <c r="G351" s="26">
        <v>1.1619630000000141</v>
      </c>
      <c r="H351" s="26">
        <v>1.1619630000000141</v>
      </c>
      <c r="I351" s="26" t="s">
        <v>1230</v>
      </c>
      <c r="J351" s="26" t="s">
        <v>1231</v>
      </c>
      <c r="K351" s="26" t="b">
        <v>0</v>
      </c>
      <c r="L351" s="26">
        <v>4</v>
      </c>
    </row>
    <row r="352" spans="1:12" x14ac:dyDescent="0.25">
      <c r="A352" s="26" t="s">
        <v>910</v>
      </c>
      <c r="B352" s="26" t="s">
        <v>901</v>
      </c>
      <c r="C352" s="26" t="s">
        <v>1240</v>
      </c>
      <c r="D352" s="26" t="s">
        <v>527</v>
      </c>
      <c r="E352" s="26">
        <v>115</v>
      </c>
      <c r="F352" s="26">
        <v>115.85091300000001</v>
      </c>
      <c r="G352" s="26">
        <v>0.85091300000000558</v>
      </c>
      <c r="H352" s="26">
        <v>0.85091300000000558</v>
      </c>
      <c r="I352" s="26" t="s">
        <v>1230</v>
      </c>
      <c r="J352" s="26" t="s">
        <v>1231</v>
      </c>
      <c r="K352" s="26" t="b">
        <v>0</v>
      </c>
      <c r="L352" s="26">
        <v>5</v>
      </c>
    </row>
    <row r="353" spans="1:12" x14ac:dyDescent="0.25">
      <c r="A353" s="26" t="s">
        <v>911</v>
      </c>
      <c r="B353" s="26" t="s">
        <v>912</v>
      </c>
      <c r="C353" s="26" t="s">
        <v>1229</v>
      </c>
      <c r="D353" s="26" t="s">
        <v>527</v>
      </c>
      <c r="E353" s="26">
        <v>110</v>
      </c>
      <c r="F353" s="26">
        <v>109.32409800000001</v>
      </c>
      <c r="G353" s="26">
        <v>-0.67590199999997935</v>
      </c>
      <c r="H353" s="26">
        <v>0.67590199999997935</v>
      </c>
      <c r="I353" s="26" t="s">
        <v>1230</v>
      </c>
      <c r="J353" s="26" t="s">
        <v>1231</v>
      </c>
      <c r="K353" s="26" t="b">
        <v>0</v>
      </c>
      <c r="L353" s="26">
        <v>1</v>
      </c>
    </row>
    <row r="354" spans="1:12" x14ac:dyDescent="0.25">
      <c r="A354" s="26" t="s">
        <v>913</v>
      </c>
      <c r="B354" s="26" t="s">
        <v>912</v>
      </c>
      <c r="C354" s="26" t="s">
        <v>1232</v>
      </c>
      <c r="D354" s="26" t="s">
        <v>527</v>
      </c>
      <c r="E354" s="26">
        <v>121</v>
      </c>
      <c r="F354" s="26">
        <v>121.223924</v>
      </c>
      <c r="G354" s="26">
        <v>0.22392400000001089</v>
      </c>
      <c r="H354" s="26">
        <v>0.22392400000001089</v>
      </c>
      <c r="I354" s="26" t="s">
        <v>1230</v>
      </c>
      <c r="J354" s="26" t="s">
        <v>1231</v>
      </c>
      <c r="K354" s="26" t="b">
        <v>0</v>
      </c>
      <c r="L354" s="26">
        <v>2</v>
      </c>
    </row>
    <row r="355" spans="1:12" x14ac:dyDescent="0.25">
      <c r="A355" s="26" t="s">
        <v>914</v>
      </c>
      <c r="B355" s="26" t="s">
        <v>912</v>
      </c>
      <c r="C355" s="26" t="s">
        <v>1233</v>
      </c>
      <c r="D355" s="26" t="s">
        <v>527</v>
      </c>
      <c r="E355" s="26">
        <v>95</v>
      </c>
      <c r="F355" s="26">
        <v>96.070019000000002</v>
      </c>
      <c r="G355" s="26">
        <v>1.0700190000000021</v>
      </c>
      <c r="H355" s="26">
        <v>1.0700190000000021</v>
      </c>
      <c r="I355" s="26" t="s">
        <v>1230</v>
      </c>
      <c r="J355" s="26" t="s">
        <v>1231</v>
      </c>
      <c r="K355" s="26" t="b">
        <v>0</v>
      </c>
      <c r="L355" s="26">
        <v>3</v>
      </c>
    </row>
    <row r="356" spans="1:12" x14ac:dyDescent="0.25">
      <c r="A356" s="26" t="s">
        <v>915</v>
      </c>
      <c r="B356" s="26" t="s">
        <v>912</v>
      </c>
      <c r="C356" s="26" t="s">
        <v>1234</v>
      </c>
      <c r="D356" s="26" t="s">
        <v>527</v>
      </c>
      <c r="E356" s="26">
        <v>106</v>
      </c>
      <c r="F356" s="26">
        <v>104.234649</v>
      </c>
      <c r="G356" s="26">
        <v>-1.765350999999981</v>
      </c>
      <c r="H356" s="26">
        <v>1.765350999999981</v>
      </c>
      <c r="I356" s="26" t="s">
        <v>1230</v>
      </c>
      <c r="J356" s="26" t="s">
        <v>1231</v>
      </c>
      <c r="K356" s="26" t="b">
        <v>0</v>
      </c>
      <c r="L356" s="26">
        <v>4</v>
      </c>
    </row>
    <row r="357" spans="1:12" x14ac:dyDescent="0.25">
      <c r="A357" s="26" t="s">
        <v>916</v>
      </c>
      <c r="B357" s="26" t="s">
        <v>912</v>
      </c>
      <c r="C357" s="26" t="s">
        <v>1235</v>
      </c>
      <c r="D357" s="26" t="s">
        <v>527</v>
      </c>
      <c r="E357" s="26">
        <v>120</v>
      </c>
      <c r="F357" s="26">
        <v>119.97234</v>
      </c>
      <c r="G357" s="26">
        <v>-2.765999999999735E-2</v>
      </c>
      <c r="H357" s="26">
        <v>2.765999999999735E-2</v>
      </c>
      <c r="I357" s="26" t="s">
        <v>1230</v>
      </c>
      <c r="J357" s="26" t="s">
        <v>1231</v>
      </c>
      <c r="K357" s="26" t="b">
        <v>0</v>
      </c>
      <c r="L357" s="26">
        <v>5</v>
      </c>
    </row>
    <row r="358" spans="1:12" x14ac:dyDescent="0.25">
      <c r="A358" s="26" t="s">
        <v>917</v>
      </c>
      <c r="B358" s="26" t="s">
        <v>912</v>
      </c>
      <c r="C358" s="26" t="s">
        <v>1236</v>
      </c>
      <c r="D358" s="26" t="s">
        <v>527</v>
      </c>
      <c r="E358" s="26">
        <v>119</v>
      </c>
      <c r="F358" s="26">
        <v>114.93667000000001</v>
      </c>
      <c r="G358" s="26">
        <v>-4.0633299999999792</v>
      </c>
      <c r="H358" s="26">
        <v>4.0633299999999792</v>
      </c>
      <c r="I358" s="26" t="s">
        <v>1230</v>
      </c>
      <c r="J358" s="26" t="s">
        <v>1231</v>
      </c>
      <c r="K358" s="26" t="b">
        <v>0</v>
      </c>
      <c r="L358" s="26">
        <v>1</v>
      </c>
    </row>
    <row r="359" spans="1:12" x14ac:dyDescent="0.25">
      <c r="A359" s="26" t="s">
        <v>918</v>
      </c>
      <c r="B359" s="26" t="s">
        <v>912</v>
      </c>
      <c r="C359" s="26" t="s">
        <v>1237</v>
      </c>
      <c r="D359" s="26" t="s">
        <v>527</v>
      </c>
      <c r="E359" s="26">
        <v>133</v>
      </c>
      <c r="F359" s="26">
        <v>133.23130800000001</v>
      </c>
      <c r="G359" s="26">
        <v>0.2313079999999843</v>
      </c>
      <c r="H359" s="26">
        <v>0.2313079999999843</v>
      </c>
      <c r="I359" s="26" t="s">
        <v>1230</v>
      </c>
      <c r="J359" s="26" t="s">
        <v>1231</v>
      </c>
      <c r="K359" s="26" t="b">
        <v>0</v>
      </c>
      <c r="L359" s="26">
        <v>2</v>
      </c>
    </row>
    <row r="360" spans="1:12" x14ac:dyDescent="0.25">
      <c r="A360" s="26" t="s">
        <v>919</v>
      </c>
      <c r="B360" s="26" t="s">
        <v>912</v>
      </c>
      <c r="C360" s="26" t="s">
        <v>1238</v>
      </c>
      <c r="D360" s="26" t="s">
        <v>527</v>
      </c>
      <c r="E360" s="26">
        <v>107</v>
      </c>
      <c r="F360" s="26">
        <v>108.11651500000001</v>
      </c>
      <c r="G360" s="26">
        <v>1.116515000000021</v>
      </c>
      <c r="H360" s="26">
        <v>1.116515000000021</v>
      </c>
      <c r="I360" s="26" t="s">
        <v>1230</v>
      </c>
      <c r="J360" s="26" t="s">
        <v>1231</v>
      </c>
      <c r="K360" s="26" t="b">
        <v>0</v>
      </c>
      <c r="L360" s="26">
        <v>3</v>
      </c>
    </row>
    <row r="361" spans="1:12" x14ac:dyDescent="0.25">
      <c r="A361" s="26" t="s">
        <v>920</v>
      </c>
      <c r="B361" s="26" t="s">
        <v>912</v>
      </c>
      <c r="C361" s="26" t="s">
        <v>1239</v>
      </c>
      <c r="D361" s="26" t="s">
        <v>527</v>
      </c>
      <c r="E361" s="26">
        <v>110</v>
      </c>
      <c r="F361" s="26">
        <v>111.201474</v>
      </c>
      <c r="G361" s="26">
        <v>1.201474000000005</v>
      </c>
      <c r="H361" s="26">
        <v>1.201474000000005</v>
      </c>
      <c r="I361" s="26" t="s">
        <v>1230</v>
      </c>
      <c r="J361" s="26" t="s">
        <v>1231</v>
      </c>
      <c r="K361" s="26" t="b">
        <v>0</v>
      </c>
      <c r="L361" s="26">
        <v>4</v>
      </c>
    </row>
    <row r="362" spans="1:12" x14ac:dyDescent="0.25">
      <c r="A362" s="26" t="s">
        <v>921</v>
      </c>
      <c r="B362" s="26" t="s">
        <v>912</v>
      </c>
      <c r="C362" s="26" t="s">
        <v>1240</v>
      </c>
      <c r="D362" s="26" t="s">
        <v>527</v>
      </c>
      <c r="E362" s="26">
        <v>98</v>
      </c>
      <c r="F362" s="26">
        <v>97.478051000000008</v>
      </c>
      <c r="G362" s="26">
        <v>-0.52194899999999222</v>
      </c>
      <c r="H362" s="26">
        <v>0.52194899999999222</v>
      </c>
      <c r="I362" s="26" t="s">
        <v>1230</v>
      </c>
      <c r="J362" s="26" t="s">
        <v>1231</v>
      </c>
      <c r="K362" s="26" t="b">
        <v>0</v>
      </c>
      <c r="L362" s="26">
        <v>5</v>
      </c>
    </row>
    <row r="363" spans="1:12" x14ac:dyDescent="0.25">
      <c r="A363" s="26" t="s">
        <v>922</v>
      </c>
      <c r="B363" s="26" t="s">
        <v>923</v>
      </c>
      <c r="C363" s="26" t="s">
        <v>1229</v>
      </c>
      <c r="D363" s="26" t="s">
        <v>527</v>
      </c>
      <c r="E363" s="26">
        <v>93</v>
      </c>
      <c r="F363" s="26">
        <v>93.816190000000006</v>
      </c>
      <c r="G363" s="26">
        <v>0.81619000000000597</v>
      </c>
      <c r="H363" s="26">
        <v>0.81619000000000597</v>
      </c>
      <c r="I363" s="26" t="s">
        <v>1230</v>
      </c>
      <c r="J363" s="26" t="s">
        <v>1231</v>
      </c>
      <c r="K363" s="26" t="b">
        <v>0</v>
      </c>
      <c r="L363" s="26">
        <v>1</v>
      </c>
    </row>
    <row r="364" spans="1:12" x14ac:dyDescent="0.25">
      <c r="A364" s="26" t="s">
        <v>924</v>
      </c>
      <c r="B364" s="26" t="s">
        <v>923</v>
      </c>
      <c r="C364" s="26" t="s">
        <v>1232</v>
      </c>
      <c r="D364" s="26" t="s">
        <v>527</v>
      </c>
      <c r="E364" s="26">
        <v>89</v>
      </c>
      <c r="F364" s="26">
        <v>91.845922999999999</v>
      </c>
      <c r="G364" s="26">
        <v>2.8459229999999991</v>
      </c>
      <c r="H364" s="26">
        <v>2.8459229999999991</v>
      </c>
      <c r="I364" s="26" t="s">
        <v>1230</v>
      </c>
      <c r="J364" s="26" t="s">
        <v>1231</v>
      </c>
      <c r="K364" s="26" t="b">
        <v>0</v>
      </c>
      <c r="L364" s="26">
        <v>2</v>
      </c>
    </row>
    <row r="365" spans="1:12" x14ac:dyDescent="0.25">
      <c r="A365" s="26" t="s">
        <v>925</v>
      </c>
      <c r="B365" s="26" t="s">
        <v>923</v>
      </c>
      <c r="C365" s="26" t="s">
        <v>1233</v>
      </c>
      <c r="D365" s="26" t="s">
        <v>527</v>
      </c>
      <c r="E365" s="26">
        <v>94</v>
      </c>
      <c r="F365" s="26">
        <v>96.720256000000006</v>
      </c>
      <c r="G365" s="26">
        <v>2.7202560000000058</v>
      </c>
      <c r="H365" s="26">
        <v>2.7202560000000058</v>
      </c>
      <c r="I365" s="26" t="s">
        <v>1230</v>
      </c>
      <c r="J365" s="26" t="s">
        <v>1231</v>
      </c>
      <c r="K365" s="26" t="b">
        <v>0</v>
      </c>
      <c r="L365" s="26">
        <v>3</v>
      </c>
    </row>
    <row r="366" spans="1:12" x14ac:dyDescent="0.25">
      <c r="A366" s="26" t="s">
        <v>926</v>
      </c>
      <c r="B366" s="26" t="s">
        <v>923</v>
      </c>
      <c r="C366" s="26" t="s">
        <v>1234</v>
      </c>
      <c r="D366" s="26" t="s">
        <v>527</v>
      </c>
      <c r="E366" s="26">
        <v>117</v>
      </c>
      <c r="F366" s="26">
        <v>116.69671</v>
      </c>
      <c r="G366" s="26">
        <v>-0.30328999999998979</v>
      </c>
      <c r="H366" s="26">
        <v>0.30328999999998979</v>
      </c>
      <c r="I366" s="26" t="s">
        <v>1230</v>
      </c>
      <c r="J366" s="26" t="s">
        <v>1231</v>
      </c>
      <c r="K366" s="26" t="b">
        <v>0</v>
      </c>
      <c r="L366" s="26">
        <v>4</v>
      </c>
    </row>
    <row r="367" spans="1:12" x14ac:dyDescent="0.25">
      <c r="A367" s="26" t="s">
        <v>927</v>
      </c>
      <c r="B367" s="26" t="s">
        <v>923</v>
      </c>
      <c r="C367" s="26" t="s">
        <v>1235</v>
      </c>
      <c r="D367" s="26" t="s">
        <v>527</v>
      </c>
      <c r="E367" s="26">
        <v>93</v>
      </c>
      <c r="F367" s="26">
        <v>93.522850000000005</v>
      </c>
      <c r="G367" s="26">
        <v>0.52285000000000537</v>
      </c>
      <c r="H367" s="26">
        <v>0.52285000000000537</v>
      </c>
      <c r="I367" s="26" t="s">
        <v>1230</v>
      </c>
      <c r="J367" s="26" t="s">
        <v>1231</v>
      </c>
      <c r="K367" s="26" t="b">
        <v>0</v>
      </c>
      <c r="L367" s="26">
        <v>5</v>
      </c>
    </row>
    <row r="368" spans="1:12" x14ac:dyDescent="0.25">
      <c r="A368" s="26" t="s">
        <v>928</v>
      </c>
      <c r="B368" s="26" t="s">
        <v>923</v>
      </c>
      <c r="C368" s="26" t="s">
        <v>1236</v>
      </c>
      <c r="D368" s="26" t="s">
        <v>527</v>
      </c>
      <c r="E368" s="26">
        <v>100</v>
      </c>
      <c r="F368" s="26">
        <v>102.059044</v>
      </c>
      <c r="G368" s="26">
        <v>2.0590440000000139</v>
      </c>
      <c r="H368" s="26">
        <v>2.0590440000000139</v>
      </c>
      <c r="I368" s="26" t="s">
        <v>1230</v>
      </c>
      <c r="J368" s="26" t="s">
        <v>1231</v>
      </c>
      <c r="K368" s="26" t="b">
        <v>0</v>
      </c>
      <c r="L368" s="26">
        <v>1</v>
      </c>
    </row>
    <row r="369" spans="1:12" x14ac:dyDescent="0.25">
      <c r="A369" s="26" t="s">
        <v>929</v>
      </c>
      <c r="B369" s="26" t="s">
        <v>923</v>
      </c>
      <c r="C369" s="26" t="s">
        <v>1237</v>
      </c>
      <c r="D369" s="26" t="s">
        <v>527</v>
      </c>
      <c r="E369" s="26">
        <v>123</v>
      </c>
      <c r="F369" s="26">
        <v>119.996785</v>
      </c>
      <c r="G369" s="26">
        <v>-3.0032149999999831</v>
      </c>
      <c r="H369" s="26">
        <v>3.0032149999999831</v>
      </c>
      <c r="I369" s="26" t="s">
        <v>1230</v>
      </c>
      <c r="J369" s="26" t="s">
        <v>1231</v>
      </c>
      <c r="K369" s="26" t="b">
        <v>0</v>
      </c>
      <c r="L369" s="26">
        <v>2</v>
      </c>
    </row>
    <row r="370" spans="1:12" x14ac:dyDescent="0.25">
      <c r="A370" s="26" t="s">
        <v>930</v>
      </c>
      <c r="B370" s="26" t="s">
        <v>923</v>
      </c>
      <c r="C370" s="26" t="s">
        <v>1238</v>
      </c>
      <c r="D370" s="26" t="s">
        <v>527</v>
      </c>
      <c r="E370" s="26">
        <v>115</v>
      </c>
      <c r="F370" s="26">
        <v>114.22776500000001</v>
      </c>
      <c r="G370" s="26">
        <v>-0.77223499999998069</v>
      </c>
      <c r="H370" s="26">
        <v>0.77223499999998069</v>
      </c>
      <c r="I370" s="26" t="s">
        <v>1230</v>
      </c>
      <c r="J370" s="26" t="s">
        <v>1231</v>
      </c>
      <c r="K370" s="26" t="b">
        <v>0</v>
      </c>
      <c r="L370" s="26">
        <v>3</v>
      </c>
    </row>
    <row r="371" spans="1:12" x14ac:dyDescent="0.25">
      <c r="A371" s="26" t="s">
        <v>931</v>
      </c>
      <c r="B371" s="26" t="s">
        <v>923</v>
      </c>
      <c r="C371" s="26" t="s">
        <v>1239</v>
      </c>
      <c r="D371" s="26" t="s">
        <v>527</v>
      </c>
      <c r="E371" s="26">
        <v>112</v>
      </c>
      <c r="F371" s="26">
        <v>114.183764</v>
      </c>
      <c r="G371" s="26">
        <v>2.1837640000000111</v>
      </c>
      <c r="H371" s="26">
        <v>2.1837640000000111</v>
      </c>
      <c r="I371" s="26" t="s">
        <v>1230</v>
      </c>
      <c r="J371" s="26" t="s">
        <v>1231</v>
      </c>
      <c r="K371" s="26" t="b">
        <v>0</v>
      </c>
      <c r="L371" s="26">
        <v>4</v>
      </c>
    </row>
    <row r="372" spans="1:12" x14ac:dyDescent="0.25">
      <c r="A372" s="26" t="s">
        <v>932</v>
      </c>
      <c r="B372" s="26" t="s">
        <v>923</v>
      </c>
      <c r="C372" s="26" t="s">
        <v>1240</v>
      </c>
      <c r="D372" s="26" t="s">
        <v>527</v>
      </c>
      <c r="E372" s="26">
        <v>95</v>
      </c>
      <c r="F372" s="26">
        <v>96.930483000000009</v>
      </c>
      <c r="G372" s="26">
        <v>1.9304830000000091</v>
      </c>
      <c r="H372" s="26">
        <v>1.9304830000000091</v>
      </c>
      <c r="I372" s="26" t="s">
        <v>1230</v>
      </c>
      <c r="J372" s="26" t="s">
        <v>1231</v>
      </c>
      <c r="K372" s="26" t="b">
        <v>0</v>
      </c>
      <c r="L372" s="26">
        <v>5</v>
      </c>
    </row>
    <row r="373" spans="1:12" x14ac:dyDescent="0.25">
      <c r="A373" s="26" t="s">
        <v>933</v>
      </c>
      <c r="B373" s="26" t="s">
        <v>934</v>
      </c>
      <c r="C373" s="26" t="s">
        <v>1229</v>
      </c>
      <c r="D373" s="26" t="s">
        <v>527</v>
      </c>
      <c r="E373" s="26">
        <v>98</v>
      </c>
      <c r="F373" s="26">
        <v>98.812747999999999</v>
      </c>
      <c r="G373" s="26">
        <v>0.81274799999999914</v>
      </c>
      <c r="H373" s="26">
        <v>0.81274799999999914</v>
      </c>
      <c r="I373" s="26" t="s">
        <v>1230</v>
      </c>
      <c r="J373" s="26" t="s">
        <v>1231</v>
      </c>
      <c r="K373" s="26" t="b">
        <v>0</v>
      </c>
      <c r="L373" s="26">
        <v>1</v>
      </c>
    </row>
    <row r="374" spans="1:12" x14ac:dyDescent="0.25">
      <c r="A374" s="26" t="s">
        <v>935</v>
      </c>
      <c r="B374" s="26" t="s">
        <v>934</v>
      </c>
      <c r="C374" s="26" t="s">
        <v>1232</v>
      </c>
      <c r="D374" s="26" t="s">
        <v>527</v>
      </c>
      <c r="E374" s="26">
        <v>109</v>
      </c>
      <c r="F374" s="26">
        <v>106.302696</v>
      </c>
      <c r="G374" s="26">
        <v>-2.6973039999999879</v>
      </c>
      <c r="H374" s="26">
        <v>2.6973039999999879</v>
      </c>
      <c r="I374" s="26" t="s">
        <v>1230</v>
      </c>
      <c r="J374" s="26" t="s">
        <v>1231</v>
      </c>
      <c r="K374" s="26" t="b">
        <v>0</v>
      </c>
      <c r="L374" s="26">
        <v>2</v>
      </c>
    </row>
    <row r="375" spans="1:12" x14ac:dyDescent="0.25">
      <c r="A375" s="26" t="s">
        <v>936</v>
      </c>
      <c r="B375" s="26" t="s">
        <v>934</v>
      </c>
      <c r="C375" s="26" t="s">
        <v>1233</v>
      </c>
      <c r="D375" s="26" t="s">
        <v>527</v>
      </c>
      <c r="E375" s="26">
        <v>115</v>
      </c>
      <c r="F375" s="26">
        <v>114.701998</v>
      </c>
      <c r="G375" s="26">
        <v>-0.29800199999999682</v>
      </c>
      <c r="H375" s="26">
        <v>0.29800199999999682</v>
      </c>
      <c r="I375" s="26" t="s">
        <v>1230</v>
      </c>
      <c r="J375" s="26" t="s">
        <v>1231</v>
      </c>
      <c r="K375" s="26" t="b">
        <v>0</v>
      </c>
      <c r="L375" s="26">
        <v>3</v>
      </c>
    </row>
    <row r="376" spans="1:12" x14ac:dyDescent="0.25">
      <c r="A376" s="26" t="s">
        <v>937</v>
      </c>
      <c r="B376" s="26" t="s">
        <v>934</v>
      </c>
      <c r="C376" s="26" t="s">
        <v>1234</v>
      </c>
      <c r="D376" s="26" t="s">
        <v>527</v>
      </c>
      <c r="E376" s="26">
        <v>96</v>
      </c>
      <c r="F376" s="26">
        <v>95.185109999999995</v>
      </c>
      <c r="G376" s="26">
        <v>-0.81489000000000544</v>
      </c>
      <c r="H376" s="26">
        <v>0.81489000000000544</v>
      </c>
      <c r="I376" s="26" t="s">
        <v>1230</v>
      </c>
      <c r="J376" s="26" t="s">
        <v>1231</v>
      </c>
      <c r="K376" s="26" t="b">
        <v>0</v>
      </c>
      <c r="L376" s="26">
        <v>4</v>
      </c>
    </row>
    <row r="377" spans="1:12" x14ac:dyDescent="0.25">
      <c r="A377" s="26" t="s">
        <v>938</v>
      </c>
      <c r="B377" s="26" t="s">
        <v>934</v>
      </c>
      <c r="C377" s="26" t="s">
        <v>1235</v>
      </c>
      <c r="D377" s="26" t="s">
        <v>527</v>
      </c>
      <c r="E377" s="26">
        <v>91</v>
      </c>
      <c r="F377" s="26">
        <v>91.899702000000019</v>
      </c>
      <c r="G377" s="26">
        <v>0.8997020000000191</v>
      </c>
      <c r="H377" s="26">
        <v>0.8997020000000191</v>
      </c>
      <c r="I377" s="26" t="s">
        <v>1230</v>
      </c>
      <c r="J377" s="26" t="s">
        <v>1231</v>
      </c>
      <c r="K377" s="26" t="b">
        <v>0</v>
      </c>
      <c r="L377" s="26">
        <v>5</v>
      </c>
    </row>
    <row r="378" spans="1:12" x14ac:dyDescent="0.25">
      <c r="A378" s="26" t="s">
        <v>939</v>
      </c>
      <c r="B378" s="26" t="s">
        <v>934</v>
      </c>
      <c r="C378" s="26" t="s">
        <v>1236</v>
      </c>
      <c r="D378" s="26" t="s">
        <v>527</v>
      </c>
      <c r="E378" s="26">
        <v>95</v>
      </c>
      <c r="F378" s="26">
        <v>93.825968000000003</v>
      </c>
      <c r="G378" s="26">
        <v>-1.1740319999999971</v>
      </c>
      <c r="H378" s="26">
        <v>1.1740319999999971</v>
      </c>
      <c r="I378" s="26" t="s">
        <v>1230</v>
      </c>
      <c r="J378" s="26" t="s">
        <v>1231</v>
      </c>
      <c r="K378" s="26" t="b">
        <v>0</v>
      </c>
      <c r="L378" s="26">
        <v>1</v>
      </c>
    </row>
    <row r="379" spans="1:12" x14ac:dyDescent="0.25">
      <c r="A379" s="26" t="s">
        <v>940</v>
      </c>
      <c r="B379" s="26" t="s">
        <v>934</v>
      </c>
      <c r="C379" s="26" t="s">
        <v>1237</v>
      </c>
      <c r="D379" s="26" t="s">
        <v>527</v>
      </c>
      <c r="E379" s="26">
        <v>121</v>
      </c>
      <c r="F379" s="26">
        <v>118.872315</v>
      </c>
      <c r="G379" s="26">
        <v>-2.1276849999999849</v>
      </c>
      <c r="H379" s="26">
        <v>2.1276849999999849</v>
      </c>
      <c r="I379" s="26" t="s">
        <v>1230</v>
      </c>
      <c r="J379" s="26" t="s">
        <v>1231</v>
      </c>
      <c r="K379" s="26" t="b">
        <v>0</v>
      </c>
      <c r="L379" s="26">
        <v>2</v>
      </c>
    </row>
    <row r="380" spans="1:12" x14ac:dyDescent="0.25">
      <c r="A380" s="26" t="s">
        <v>941</v>
      </c>
      <c r="B380" s="26" t="s">
        <v>934</v>
      </c>
      <c r="C380" s="26" t="s">
        <v>1238</v>
      </c>
      <c r="D380" s="26" t="s">
        <v>527</v>
      </c>
      <c r="E380" s="26">
        <v>98</v>
      </c>
      <c r="F380" s="26">
        <v>94.569096000000016</v>
      </c>
      <c r="G380" s="26">
        <v>-3.430903999999984</v>
      </c>
      <c r="H380" s="26">
        <v>3.430903999999984</v>
      </c>
      <c r="I380" s="26" t="s">
        <v>1230</v>
      </c>
      <c r="J380" s="26" t="s">
        <v>1231</v>
      </c>
      <c r="K380" s="26" t="b">
        <v>0</v>
      </c>
      <c r="L380" s="26">
        <v>3</v>
      </c>
    </row>
    <row r="381" spans="1:12" x14ac:dyDescent="0.25">
      <c r="A381" s="26" t="s">
        <v>942</v>
      </c>
      <c r="B381" s="26" t="s">
        <v>934</v>
      </c>
      <c r="C381" s="26" t="s">
        <v>1239</v>
      </c>
      <c r="D381" s="26" t="s">
        <v>527</v>
      </c>
      <c r="E381" s="26">
        <v>99</v>
      </c>
      <c r="F381" s="26">
        <v>101.27191500000001</v>
      </c>
      <c r="G381" s="26">
        <v>2.271915000000007</v>
      </c>
      <c r="H381" s="26">
        <v>2.271915000000007</v>
      </c>
      <c r="I381" s="26" t="s">
        <v>1230</v>
      </c>
      <c r="J381" s="26" t="s">
        <v>1231</v>
      </c>
      <c r="K381" s="26" t="b">
        <v>0</v>
      </c>
      <c r="L381" s="26">
        <v>4</v>
      </c>
    </row>
    <row r="382" spans="1:12" x14ac:dyDescent="0.25">
      <c r="A382" s="26" t="s">
        <v>943</v>
      </c>
      <c r="B382" s="26" t="s">
        <v>934</v>
      </c>
      <c r="C382" s="26" t="s">
        <v>1240</v>
      </c>
      <c r="D382" s="26" t="s">
        <v>527</v>
      </c>
      <c r="E382" s="26">
        <v>108</v>
      </c>
      <c r="F382" s="26">
        <v>107.25116199999999</v>
      </c>
      <c r="G382" s="26">
        <v>-0.74883799999999212</v>
      </c>
      <c r="H382" s="26">
        <v>0.74883799999999212</v>
      </c>
      <c r="I382" s="26" t="s">
        <v>1230</v>
      </c>
      <c r="J382" s="26" t="s">
        <v>1231</v>
      </c>
      <c r="K382" s="26" t="b">
        <v>0</v>
      </c>
      <c r="L382" s="26">
        <v>5</v>
      </c>
    </row>
    <row r="383" spans="1:12" x14ac:dyDescent="0.25">
      <c r="A383" s="26" t="s">
        <v>944</v>
      </c>
      <c r="B383" s="26" t="s">
        <v>945</v>
      </c>
      <c r="C383" s="26" t="s">
        <v>1229</v>
      </c>
      <c r="D383" s="26" t="s">
        <v>527</v>
      </c>
      <c r="E383" s="26">
        <v>85</v>
      </c>
      <c r="F383" s="26">
        <v>85.729784000000009</v>
      </c>
      <c r="G383" s="26">
        <v>0.72978400000000931</v>
      </c>
      <c r="H383" s="26">
        <v>0.72978400000000931</v>
      </c>
      <c r="I383" s="26" t="s">
        <v>1230</v>
      </c>
      <c r="J383" s="26" t="s">
        <v>1231</v>
      </c>
      <c r="K383" s="26" t="b">
        <v>0</v>
      </c>
      <c r="L383" s="26">
        <v>1</v>
      </c>
    </row>
    <row r="384" spans="1:12" x14ac:dyDescent="0.25">
      <c r="A384" s="26" t="s">
        <v>946</v>
      </c>
      <c r="B384" s="26" t="s">
        <v>945</v>
      </c>
      <c r="C384" s="26" t="s">
        <v>1232</v>
      </c>
      <c r="D384" s="26" t="s">
        <v>527</v>
      </c>
      <c r="E384" s="26">
        <v>107</v>
      </c>
      <c r="F384" s="26">
        <v>106.962711</v>
      </c>
      <c r="G384" s="26">
        <v>-3.7288999999987027E-2</v>
      </c>
      <c r="H384" s="26">
        <v>3.7288999999987027E-2</v>
      </c>
      <c r="I384" s="26" t="s">
        <v>1230</v>
      </c>
      <c r="J384" s="26" t="s">
        <v>1231</v>
      </c>
      <c r="K384" s="26" t="b">
        <v>0</v>
      </c>
      <c r="L384" s="26">
        <v>2</v>
      </c>
    </row>
    <row r="385" spans="1:12" x14ac:dyDescent="0.25">
      <c r="A385" s="26" t="s">
        <v>947</v>
      </c>
      <c r="B385" s="26" t="s">
        <v>945</v>
      </c>
      <c r="C385" s="26" t="s">
        <v>1233</v>
      </c>
      <c r="D385" s="26" t="s">
        <v>527</v>
      </c>
      <c r="E385" s="26">
        <v>112</v>
      </c>
      <c r="F385" s="26">
        <v>109.99878</v>
      </c>
      <c r="G385" s="26">
        <v>-2.0012199999999889</v>
      </c>
      <c r="H385" s="26">
        <v>2.0012199999999889</v>
      </c>
      <c r="I385" s="26" t="s">
        <v>1230</v>
      </c>
      <c r="J385" s="26" t="s">
        <v>1231</v>
      </c>
      <c r="K385" s="26" t="b">
        <v>0</v>
      </c>
      <c r="L385" s="26">
        <v>3</v>
      </c>
    </row>
    <row r="386" spans="1:12" x14ac:dyDescent="0.25">
      <c r="A386" s="26" t="s">
        <v>948</v>
      </c>
      <c r="B386" s="26" t="s">
        <v>945</v>
      </c>
      <c r="C386" s="26" t="s">
        <v>1234</v>
      </c>
      <c r="D386" s="26" t="s">
        <v>527</v>
      </c>
      <c r="E386" s="26">
        <v>97</v>
      </c>
      <c r="F386" s="26">
        <v>94.994439000000014</v>
      </c>
      <c r="G386" s="26">
        <v>-2.0055609999999859</v>
      </c>
      <c r="H386" s="26">
        <v>2.0055609999999859</v>
      </c>
      <c r="I386" s="26" t="s">
        <v>1230</v>
      </c>
      <c r="J386" s="26" t="s">
        <v>1231</v>
      </c>
      <c r="K386" s="26" t="b">
        <v>0</v>
      </c>
      <c r="L386" s="26">
        <v>4</v>
      </c>
    </row>
    <row r="387" spans="1:12" x14ac:dyDescent="0.25">
      <c r="A387" s="26" t="s">
        <v>949</v>
      </c>
      <c r="B387" s="26" t="s">
        <v>945</v>
      </c>
      <c r="C387" s="26" t="s">
        <v>1235</v>
      </c>
      <c r="D387" s="26" t="s">
        <v>527</v>
      </c>
      <c r="E387" s="26">
        <v>107</v>
      </c>
      <c r="F387" s="26">
        <v>105.217338</v>
      </c>
      <c r="G387" s="26">
        <v>-1.782661999999988</v>
      </c>
      <c r="H387" s="26">
        <v>1.782661999999988</v>
      </c>
      <c r="I387" s="26" t="s">
        <v>1230</v>
      </c>
      <c r="J387" s="26" t="s">
        <v>1231</v>
      </c>
      <c r="K387" s="26" t="b">
        <v>0</v>
      </c>
      <c r="L387" s="26">
        <v>5</v>
      </c>
    </row>
    <row r="388" spans="1:12" x14ac:dyDescent="0.25">
      <c r="A388" s="26" t="s">
        <v>950</v>
      </c>
      <c r="B388" s="26" t="s">
        <v>945</v>
      </c>
      <c r="C388" s="26" t="s">
        <v>1236</v>
      </c>
      <c r="D388" s="26" t="s">
        <v>527</v>
      </c>
      <c r="E388" s="26">
        <v>107</v>
      </c>
      <c r="F388" s="26">
        <v>105.706238</v>
      </c>
      <c r="G388" s="26">
        <v>-1.293762000000001</v>
      </c>
      <c r="H388" s="26">
        <v>1.293762000000001</v>
      </c>
      <c r="I388" s="26" t="s">
        <v>1230</v>
      </c>
      <c r="J388" s="26" t="s">
        <v>1231</v>
      </c>
      <c r="K388" s="26" t="b">
        <v>0</v>
      </c>
      <c r="L388" s="26">
        <v>1</v>
      </c>
    </row>
    <row r="389" spans="1:12" x14ac:dyDescent="0.25">
      <c r="A389" s="26" t="s">
        <v>951</v>
      </c>
      <c r="B389" s="26" t="s">
        <v>945</v>
      </c>
      <c r="C389" s="26" t="s">
        <v>1237</v>
      </c>
      <c r="D389" s="26" t="s">
        <v>527</v>
      </c>
      <c r="E389" s="26">
        <v>97</v>
      </c>
      <c r="F389" s="26">
        <v>97.830059000000006</v>
      </c>
      <c r="G389" s="26">
        <v>0.83005900000000565</v>
      </c>
      <c r="H389" s="26">
        <v>0.83005900000000565</v>
      </c>
      <c r="I389" s="26" t="s">
        <v>1230</v>
      </c>
      <c r="J389" s="26" t="s">
        <v>1231</v>
      </c>
      <c r="K389" s="26" t="b">
        <v>0</v>
      </c>
      <c r="L389" s="26">
        <v>2</v>
      </c>
    </row>
    <row r="390" spans="1:12" x14ac:dyDescent="0.25">
      <c r="A390" s="26" t="s">
        <v>952</v>
      </c>
      <c r="B390" s="26" t="s">
        <v>945</v>
      </c>
      <c r="C390" s="26" t="s">
        <v>1238</v>
      </c>
      <c r="D390" s="26" t="s">
        <v>527</v>
      </c>
      <c r="E390" s="26">
        <v>113</v>
      </c>
      <c r="F390" s="26">
        <v>111.450813</v>
      </c>
      <c r="G390" s="26">
        <v>-1.549186999999989</v>
      </c>
      <c r="H390" s="26">
        <v>1.549186999999989</v>
      </c>
      <c r="I390" s="26" t="s">
        <v>1230</v>
      </c>
      <c r="J390" s="26" t="s">
        <v>1231</v>
      </c>
      <c r="K390" s="26" t="b">
        <v>0</v>
      </c>
      <c r="L390" s="26">
        <v>3</v>
      </c>
    </row>
    <row r="391" spans="1:12" x14ac:dyDescent="0.25">
      <c r="A391" s="26" t="s">
        <v>953</v>
      </c>
      <c r="B391" s="26" t="s">
        <v>945</v>
      </c>
      <c r="C391" s="26" t="s">
        <v>1239</v>
      </c>
      <c r="D391" s="26" t="s">
        <v>527</v>
      </c>
      <c r="E391" s="26">
        <v>100</v>
      </c>
      <c r="F391" s="26">
        <v>103.16395799999999</v>
      </c>
      <c r="G391" s="26">
        <v>3.163958000000008</v>
      </c>
      <c r="H391" s="26">
        <v>3.163958000000008</v>
      </c>
      <c r="I391" s="26" t="s">
        <v>1230</v>
      </c>
      <c r="J391" s="26" t="s">
        <v>1231</v>
      </c>
      <c r="K391" s="26" t="b">
        <v>0</v>
      </c>
      <c r="L391" s="26">
        <v>4</v>
      </c>
    </row>
    <row r="392" spans="1:12" x14ac:dyDescent="0.25">
      <c r="A392" s="26" t="s">
        <v>954</v>
      </c>
      <c r="B392" s="26" t="s">
        <v>945</v>
      </c>
      <c r="C392" s="26" t="s">
        <v>1240</v>
      </c>
      <c r="D392" s="26" t="s">
        <v>527</v>
      </c>
      <c r="E392" s="26">
        <v>102</v>
      </c>
      <c r="F392" s="26">
        <v>103.867974</v>
      </c>
      <c r="G392" s="26">
        <v>1.867974000000004</v>
      </c>
      <c r="H392" s="26">
        <v>1.867974000000004</v>
      </c>
      <c r="I392" s="26" t="s">
        <v>1230</v>
      </c>
      <c r="J392" s="26" t="s">
        <v>1231</v>
      </c>
      <c r="K392" s="26" t="b">
        <v>0</v>
      </c>
      <c r="L392" s="26">
        <v>5</v>
      </c>
    </row>
    <row r="393" spans="1:12" x14ac:dyDescent="0.25">
      <c r="A393" s="26" t="s">
        <v>955</v>
      </c>
      <c r="B393" s="26" t="s">
        <v>956</v>
      </c>
      <c r="C393" s="26" t="s">
        <v>1229</v>
      </c>
      <c r="D393" s="26" t="s">
        <v>527</v>
      </c>
      <c r="E393" s="26">
        <v>121</v>
      </c>
      <c r="F393" s="26">
        <v>122.064832</v>
      </c>
      <c r="G393" s="26">
        <v>1.06483200000001</v>
      </c>
      <c r="H393" s="26">
        <v>1.06483200000001</v>
      </c>
      <c r="I393" s="26" t="s">
        <v>1230</v>
      </c>
      <c r="J393" s="26" t="s">
        <v>1231</v>
      </c>
      <c r="K393" s="26" t="b">
        <v>0</v>
      </c>
      <c r="L393" s="26">
        <v>1</v>
      </c>
    </row>
    <row r="394" spans="1:12" x14ac:dyDescent="0.25">
      <c r="A394" s="26" t="s">
        <v>957</v>
      </c>
      <c r="B394" s="26" t="s">
        <v>956</v>
      </c>
      <c r="C394" s="26" t="s">
        <v>1232</v>
      </c>
      <c r="D394" s="26" t="s">
        <v>527</v>
      </c>
      <c r="E394" s="26">
        <v>110</v>
      </c>
      <c r="F394" s="26">
        <v>109.69077299999999</v>
      </c>
      <c r="G394" s="26">
        <v>-0.30922699999999281</v>
      </c>
      <c r="H394" s="26">
        <v>0.30922699999999281</v>
      </c>
      <c r="I394" s="26" t="s">
        <v>1230</v>
      </c>
      <c r="J394" s="26" t="s">
        <v>1231</v>
      </c>
      <c r="K394" s="26" t="b">
        <v>0</v>
      </c>
      <c r="L394" s="26">
        <v>2</v>
      </c>
    </row>
    <row r="395" spans="1:12" x14ac:dyDescent="0.25">
      <c r="A395" s="26" t="s">
        <v>958</v>
      </c>
      <c r="B395" s="26" t="s">
        <v>956</v>
      </c>
      <c r="C395" s="26" t="s">
        <v>1233</v>
      </c>
      <c r="D395" s="26" t="s">
        <v>527</v>
      </c>
      <c r="E395" s="26">
        <v>96</v>
      </c>
      <c r="F395" s="26">
        <v>98.846971000000011</v>
      </c>
      <c r="G395" s="26">
        <v>2.846971000000011</v>
      </c>
      <c r="H395" s="26">
        <v>2.846971000000011</v>
      </c>
      <c r="I395" s="26" t="s">
        <v>1230</v>
      </c>
      <c r="J395" s="26" t="s">
        <v>1231</v>
      </c>
      <c r="K395" s="26" t="b">
        <v>0</v>
      </c>
      <c r="L395" s="26">
        <v>3</v>
      </c>
    </row>
    <row r="396" spans="1:12" x14ac:dyDescent="0.25">
      <c r="A396" s="26" t="s">
        <v>959</v>
      </c>
      <c r="B396" s="26" t="s">
        <v>956</v>
      </c>
      <c r="C396" s="26" t="s">
        <v>1234</v>
      </c>
      <c r="D396" s="26" t="s">
        <v>527</v>
      </c>
      <c r="E396" s="26">
        <v>112</v>
      </c>
      <c r="F396" s="26">
        <v>111.475258</v>
      </c>
      <c r="G396" s="26">
        <v>-0.52474199999998916</v>
      </c>
      <c r="H396" s="26">
        <v>0.52474199999998916</v>
      </c>
      <c r="I396" s="26" t="s">
        <v>1230</v>
      </c>
      <c r="J396" s="26" t="s">
        <v>1231</v>
      </c>
      <c r="K396" s="26" t="b">
        <v>0</v>
      </c>
      <c r="L396" s="26">
        <v>4</v>
      </c>
    </row>
    <row r="397" spans="1:12" x14ac:dyDescent="0.25">
      <c r="A397" s="26" t="s">
        <v>960</v>
      </c>
      <c r="B397" s="26" t="s">
        <v>956</v>
      </c>
      <c r="C397" s="26" t="s">
        <v>1235</v>
      </c>
      <c r="D397" s="26" t="s">
        <v>527</v>
      </c>
      <c r="E397" s="26">
        <v>110</v>
      </c>
      <c r="F397" s="26">
        <v>109.847221</v>
      </c>
      <c r="G397" s="26">
        <v>-0.1527789999999811</v>
      </c>
      <c r="H397" s="26">
        <v>0.1527789999999811</v>
      </c>
      <c r="I397" s="26" t="s">
        <v>1230</v>
      </c>
      <c r="J397" s="26" t="s">
        <v>1231</v>
      </c>
      <c r="K397" s="26" t="b">
        <v>0</v>
      </c>
      <c r="L397" s="26">
        <v>5</v>
      </c>
    </row>
    <row r="398" spans="1:12" x14ac:dyDescent="0.25">
      <c r="A398" s="26" t="s">
        <v>961</v>
      </c>
      <c r="B398" s="26" t="s">
        <v>956</v>
      </c>
      <c r="C398" s="26" t="s">
        <v>1236</v>
      </c>
      <c r="D398" s="26" t="s">
        <v>527</v>
      </c>
      <c r="E398" s="26">
        <v>105</v>
      </c>
      <c r="F398" s="26">
        <v>105.31022900000001</v>
      </c>
      <c r="G398" s="26">
        <v>0.31022900000000669</v>
      </c>
      <c r="H398" s="26">
        <v>0.31022900000000669</v>
      </c>
      <c r="I398" s="26" t="s">
        <v>1230</v>
      </c>
      <c r="J398" s="26" t="s">
        <v>1231</v>
      </c>
      <c r="K398" s="26" t="b">
        <v>0</v>
      </c>
      <c r="L398" s="26">
        <v>1</v>
      </c>
    </row>
    <row r="399" spans="1:12" x14ac:dyDescent="0.25">
      <c r="A399" s="26" t="s">
        <v>962</v>
      </c>
      <c r="B399" s="26" t="s">
        <v>956</v>
      </c>
      <c r="C399" s="26" t="s">
        <v>1237</v>
      </c>
      <c r="D399" s="26" t="s">
        <v>527</v>
      </c>
      <c r="E399" s="26">
        <v>95</v>
      </c>
      <c r="F399" s="26">
        <v>96.456250000000011</v>
      </c>
      <c r="G399" s="26">
        <v>1.4562500000000109</v>
      </c>
      <c r="H399" s="26">
        <v>1.4562500000000109</v>
      </c>
      <c r="I399" s="26" t="s">
        <v>1230</v>
      </c>
      <c r="J399" s="26" t="s">
        <v>1231</v>
      </c>
      <c r="K399" s="26" t="b">
        <v>0</v>
      </c>
      <c r="L399" s="26">
        <v>2</v>
      </c>
    </row>
    <row r="400" spans="1:12" x14ac:dyDescent="0.25">
      <c r="A400" s="26" t="s">
        <v>963</v>
      </c>
      <c r="B400" s="26" t="s">
        <v>956</v>
      </c>
      <c r="C400" s="26" t="s">
        <v>1238</v>
      </c>
      <c r="D400" s="26" t="s">
        <v>527</v>
      </c>
      <c r="E400" s="26">
        <v>103</v>
      </c>
      <c r="F400" s="26">
        <v>104.166203</v>
      </c>
      <c r="G400" s="26">
        <v>1.1662030000000101</v>
      </c>
      <c r="H400" s="26">
        <v>1.1662030000000101</v>
      </c>
      <c r="I400" s="26" t="s">
        <v>1230</v>
      </c>
      <c r="J400" s="26" t="s">
        <v>1231</v>
      </c>
      <c r="K400" s="26" t="b">
        <v>0</v>
      </c>
      <c r="L400" s="26">
        <v>3</v>
      </c>
    </row>
    <row r="401" spans="1:12" x14ac:dyDescent="0.25">
      <c r="A401" s="26" t="s">
        <v>964</v>
      </c>
      <c r="B401" s="26" t="s">
        <v>956</v>
      </c>
      <c r="C401" s="26" t="s">
        <v>1239</v>
      </c>
      <c r="D401" s="26" t="s">
        <v>527</v>
      </c>
      <c r="E401" s="26">
        <v>85</v>
      </c>
      <c r="F401" s="26">
        <v>84.629759000000007</v>
      </c>
      <c r="G401" s="26">
        <v>-0.37024099999999288</v>
      </c>
      <c r="H401" s="26">
        <v>0.37024099999999288</v>
      </c>
      <c r="I401" s="26" t="s">
        <v>1230</v>
      </c>
      <c r="J401" s="26" t="s">
        <v>1231</v>
      </c>
      <c r="K401" s="26" t="b">
        <v>0</v>
      </c>
      <c r="L401" s="26">
        <v>4</v>
      </c>
    </row>
    <row r="402" spans="1:12" x14ac:dyDescent="0.25">
      <c r="A402" s="26" t="s">
        <v>965</v>
      </c>
      <c r="B402" s="26" t="s">
        <v>956</v>
      </c>
      <c r="C402" s="26" t="s">
        <v>1240</v>
      </c>
      <c r="D402" s="26" t="s">
        <v>527</v>
      </c>
      <c r="E402" s="26">
        <v>105</v>
      </c>
      <c r="F402" s="26">
        <v>104.08309</v>
      </c>
      <c r="G402" s="26">
        <v>-0.91691000000000145</v>
      </c>
      <c r="H402" s="26">
        <v>0.91691000000000145</v>
      </c>
      <c r="I402" s="26" t="s">
        <v>1230</v>
      </c>
      <c r="J402" s="26" t="s">
        <v>1231</v>
      </c>
      <c r="K402" s="26" t="b">
        <v>0</v>
      </c>
      <c r="L402" s="26">
        <v>5</v>
      </c>
    </row>
    <row r="403" spans="1:12" x14ac:dyDescent="0.25">
      <c r="A403" s="26" t="s">
        <v>966</v>
      </c>
      <c r="B403" s="26" t="s">
        <v>967</v>
      </c>
      <c r="C403" s="26" t="s">
        <v>1229</v>
      </c>
      <c r="D403" s="26" t="s">
        <v>527</v>
      </c>
      <c r="E403" s="26">
        <v>92</v>
      </c>
      <c r="F403" s="26">
        <v>93.415292000000008</v>
      </c>
      <c r="G403" s="26">
        <v>1.415292000000008</v>
      </c>
      <c r="H403" s="26">
        <v>1.415292000000008</v>
      </c>
      <c r="I403" s="26" t="s">
        <v>1230</v>
      </c>
      <c r="J403" s="26" t="s">
        <v>1231</v>
      </c>
      <c r="K403" s="26" t="b">
        <v>0</v>
      </c>
      <c r="L403" s="26">
        <v>1</v>
      </c>
    </row>
    <row r="404" spans="1:12" x14ac:dyDescent="0.25">
      <c r="A404" s="26" t="s">
        <v>968</v>
      </c>
      <c r="B404" s="26" t="s">
        <v>967</v>
      </c>
      <c r="C404" s="26" t="s">
        <v>1232</v>
      </c>
      <c r="D404" s="26" t="s">
        <v>527</v>
      </c>
      <c r="E404" s="26">
        <v>109</v>
      </c>
      <c r="F404" s="26">
        <v>110.169895</v>
      </c>
      <c r="G404" s="26">
        <v>1.169895000000011</v>
      </c>
      <c r="H404" s="26">
        <v>1.169895000000011</v>
      </c>
      <c r="I404" s="26" t="s">
        <v>1230</v>
      </c>
      <c r="J404" s="26" t="s">
        <v>1231</v>
      </c>
      <c r="K404" s="26" t="b">
        <v>0</v>
      </c>
      <c r="L404" s="26">
        <v>2</v>
      </c>
    </row>
    <row r="405" spans="1:12" x14ac:dyDescent="0.25">
      <c r="A405" s="26" t="s">
        <v>969</v>
      </c>
      <c r="B405" s="26" t="s">
        <v>967</v>
      </c>
      <c r="C405" s="26" t="s">
        <v>1233</v>
      </c>
      <c r="D405" s="26" t="s">
        <v>527</v>
      </c>
      <c r="E405" s="26">
        <v>121</v>
      </c>
      <c r="F405" s="26">
        <v>119.97234</v>
      </c>
      <c r="G405" s="26">
        <v>-1.0276599999999969</v>
      </c>
      <c r="H405" s="26">
        <v>1.0276599999999969</v>
      </c>
      <c r="I405" s="26" t="s">
        <v>1230</v>
      </c>
      <c r="J405" s="26" t="s">
        <v>1231</v>
      </c>
      <c r="K405" s="26" t="b">
        <v>0</v>
      </c>
      <c r="L405" s="26">
        <v>3</v>
      </c>
    </row>
    <row r="406" spans="1:12" x14ac:dyDescent="0.25">
      <c r="A406" s="26" t="s">
        <v>970</v>
      </c>
      <c r="B406" s="26" t="s">
        <v>967</v>
      </c>
      <c r="C406" s="26" t="s">
        <v>1234</v>
      </c>
      <c r="D406" s="26" t="s">
        <v>527</v>
      </c>
      <c r="E406" s="26">
        <v>116</v>
      </c>
      <c r="F406" s="26">
        <v>113.005515</v>
      </c>
      <c r="G406" s="26">
        <v>-2.9944849999999832</v>
      </c>
      <c r="H406" s="26">
        <v>2.9944849999999832</v>
      </c>
      <c r="I406" s="26" t="s">
        <v>1230</v>
      </c>
      <c r="J406" s="26" t="s">
        <v>1231</v>
      </c>
      <c r="K406" s="26" t="b">
        <v>0</v>
      </c>
      <c r="L406" s="26">
        <v>4</v>
      </c>
    </row>
    <row r="407" spans="1:12" x14ac:dyDescent="0.25">
      <c r="A407" s="26" t="s">
        <v>971</v>
      </c>
      <c r="B407" s="26" t="s">
        <v>967</v>
      </c>
      <c r="C407" s="26" t="s">
        <v>1235</v>
      </c>
      <c r="D407" s="26" t="s">
        <v>527</v>
      </c>
      <c r="E407" s="26">
        <v>129</v>
      </c>
      <c r="F407" s="26">
        <v>128.117414</v>
      </c>
      <c r="G407" s="26">
        <v>-0.88258600000000342</v>
      </c>
      <c r="H407" s="26">
        <v>0.88258600000000342</v>
      </c>
      <c r="I407" s="26" t="s">
        <v>1230</v>
      </c>
      <c r="J407" s="26" t="s">
        <v>1231</v>
      </c>
      <c r="K407" s="26" t="b">
        <v>0</v>
      </c>
      <c r="L407" s="26">
        <v>5</v>
      </c>
    </row>
    <row r="408" spans="1:12" x14ac:dyDescent="0.25">
      <c r="A408" s="26" t="s">
        <v>972</v>
      </c>
      <c r="B408" s="26" t="s">
        <v>967</v>
      </c>
      <c r="C408" s="26" t="s">
        <v>1236</v>
      </c>
      <c r="D408" s="26" t="s">
        <v>527</v>
      </c>
      <c r="E408" s="26">
        <v>102</v>
      </c>
      <c r="F408" s="26">
        <v>103.16395799999999</v>
      </c>
      <c r="G408" s="26">
        <v>1.163958000000008</v>
      </c>
      <c r="H408" s="26">
        <v>1.163958000000008</v>
      </c>
      <c r="I408" s="26" t="s">
        <v>1230</v>
      </c>
      <c r="J408" s="26" t="s">
        <v>1231</v>
      </c>
      <c r="K408" s="26" t="b">
        <v>0</v>
      </c>
      <c r="L408" s="26">
        <v>1</v>
      </c>
    </row>
    <row r="409" spans="1:12" x14ac:dyDescent="0.25">
      <c r="A409" s="26" t="s">
        <v>973</v>
      </c>
      <c r="B409" s="26" t="s">
        <v>967</v>
      </c>
      <c r="C409" s="26" t="s">
        <v>1237</v>
      </c>
      <c r="D409" s="26" t="s">
        <v>527</v>
      </c>
      <c r="E409" s="26">
        <v>113</v>
      </c>
      <c r="F409" s="26">
        <v>115.978027</v>
      </c>
      <c r="G409" s="26">
        <v>2.9780269999999969</v>
      </c>
      <c r="H409" s="26">
        <v>2.9780269999999969</v>
      </c>
      <c r="I409" s="26" t="s">
        <v>1230</v>
      </c>
      <c r="J409" s="26" t="s">
        <v>1231</v>
      </c>
      <c r="K409" s="26" t="b">
        <v>0</v>
      </c>
      <c r="L409" s="26">
        <v>2</v>
      </c>
    </row>
    <row r="410" spans="1:12" x14ac:dyDescent="0.25">
      <c r="A410" s="26" t="s">
        <v>974</v>
      </c>
      <c r="B410" s="26" t="s">
        <v>967</v>
      </c>
      <c r="C410" s="26" t="s">
        <v>1238</v>
      </c>
      <c r="D410" s="26" t="s">
        <v>527</v>
      </c>
      <c r="E410" s="26">
        <v>97</v>
      </c>
      <c r="F410" s="26">
        <v>95.101996999999997</v>
      </c>
      <c r="G410" s="26">
        <v>-1.898003000000003</v>
      </c>
      <c r="H410" s="26">
        <v>1.898003000000003</v>
      </c>
      <c r="I410" s="26" t="s">
        <v>1230</v>
      </c>
      <c r="J410" s="26" t="s">
        <v>1231</v>
      </c>
      <c r="K410" s="26" t="b">
        <v>0</v>
      </c>
      <c r="L410" s="26">
        <v>3</v>
      </c>
    </row>
    <row r="411" spans="1:12" x14ac:dyDescent="0.25">
      <c r="A411" s="26" t="s">
        <v>975</v>
      </c>
      <c r="B411" s="26" t="s">
        <v>967</v>
      </c>
      <c r="C411" s="26" t="s">
        <v>1239</v>
      </c>
      <c r="D411" s="26" t="s">
        <v>527</v>
      </c>
      <c r="E411" s="26">
        <v>122</v>
      </c>
      <c r="F411" s="26">
        <v>120.89147199999999</v>
      </c>
      <c r="G411" s="26">
        <v>-1.108527999999978</v>
      </c>
      <c r="H411" s="26">
        <v>1.108527999999978</v>
      </c>
      <c r="I411" s="26" t="s">
        <v>1230</v>
      </c>
      <c r="J411" s="26" t="s">
        <v>1231</v>
      </c>
      <c r="K411" s="26" t="b">
        <v>0</v>
      </c>
      <c r="L411" s="26">
        <v>4</v>
      </c>
    </row>
    <row r="412" spans="1:12" x14ac:dyDescent="0.25">
      <c r="A412" s="26" t="s">
        <v>976</v>
      </c>
      <c r="B412" s="26" t="s">
        <v>967</v>
      </c>
      <c r="C412" s="26" t="s">
        <v>1240</v>
      </c>
      <c r="D412" s="26" t="s">
        <v>527</v>
      </c>
      <c r="E412" s="26">
        <v>101</v>
      </c>
      <c r="F412" s="26">
        <v>100.421229</v>
      </c>
      <c r="G412" s="26">
        <v>-0.57877099999998904</v>
      </c>
      <c r="H412" s="26">
        <v>0.57877099999998904</v>
      </c>
      <c r="I412" s="26" t="s">
        <v>1230</v>
      </c>
      <c r="J412" s="26" t="s">
        <v>1231</v>
      </c>
      <c r="K412" s="26" t="b">
        <v>0</v>
      </c>
      <c r="L412" s="26">
        <v>5</v>
      </c>
    </row>
    <row r="413" spans="1:12" x14ac:dyDescent="0.25">
      <c r="A413" s="26" t="s">
        <v>977</v>
      </c>
      <c r="B413" s="26" t="s">
        <v>978</v>
      </c>
      <c r="C413" s="26" t="s">
        <v>1229</v>
      </c>
      <c r="D413" s="26" t="s">
        <v>527</v>
      </c>
      <c r="E413" s="26">
        <v>93</v>
      </c>
      <c r="F413" s="26">
        <v>95.639786999999998</v>
      </c>
      <c r="G413" s="26">
        <v>2.6397869999999979</v>
      </c>
      <c r="H413" s="26">
        <v>2.6397869999999979</v>
      </c>
      <c r="I413" s="26" t="s">
        <v>1230</v>
      </c>
      <c r="J413" s="26" t="s">
        <v>1231</v>
      </c>
      <c r="K413" s="26" t="b">
        <v>0</v>
      </c>
      <c r="L413" s="26">
        <v>1</v>
      </c>
    </row>
    <row r="414" spans="1:12" x14ac:dyDescent="0.25">
      <c r="A414" s="26" t="s">
        <v>979</v>
      </c>
      <c r="B414" s="26" t="s">
        <v>978</v>
      </c>
      <c r="C414" s="26" t="s">
        <v>1232</v>
      </c>
      <c r="D414" s="26" t="s">
        <v>527</v>
      </c>
      <c r="E414" s="26">
        <v>98</v>
      </c>
      <c r="F414" s="26">
        <v>98.108732000000018</v>
      </c>
      <c r="G414" s="26">
        <v>0.10873200000001761</v>
      </c>
      <c r="H414" s="26">
        <v>0.10873200000001761</v>
      </c>
      <c r="I414" s="26" t="s">
        <v>1230</v>
      </c>
      <c r="J414" s="26" t="s">
        <v>1231</v>
      </c>
      <c r="K414" s="26" t="b">
        <v>0</v>
      </c>
      <c r="L414" s="26">
        <v>2</v>
      </c>
    </row>
    <row r="415" spans="1:12" x14ac:dyDescent="0.25">
      <c r="A415" s="26" t="s">
        <v>980</v>
      </c>
      <c r="B415" s="26" t="s">
        <v>978</v>
      </c>
      <c r="C415" s="26" t="s">
        <v>1233</v>
      </c>
      <c r="D415" s="26" t="s">
        <v>527</v>
      </c>
      <c r="E415" s="26">
        <v>90</v>
      </c>
      <c r="F415" s="26">
        <v>88.765853000000007</v>
      </c>
      <c r="G415" s="26">
        <v>-1.234146999999993</v>
      </c>
      <c r="H415" s="26">
        <v>1.234146999999993</v>
      </c>
      <c r="I415" s="26" t="s">
        <v>1230</v>
      </c>
      <c r="J415" s="26" t="s">
        <v>1231</v>
      </c>
      <c r="K415" s="26" t="b">
        <v>0</v>
      </c>
      <c r="L415" s="26">
        <v>3</v>
      </c>
    </row>
    <row r="416" spans="1:12" x14ac:dyDescent="0.25">
      <c r="A416" s="26" t="s">
        <v>981</v>
      </c>
      <c r="B416" s="26" t="s">
        <v>978</v>
      </c>
      <c r="C416" s="26" t="s">
        <v>1234</v>
      </c>
      <c r="D416" s="26" t="s">
        <v>527</v>
      </c>
      <c r="E416" s="26">
        <v>88</v>
      </c>
      <c r="F416" s="26">
        <v>89.362311000000005</v>
      </c>
      <c r="G416" s="26">
        <v>1.3623110000000049</v>
      </c>
      <c r="H416" s="26">
        <v>1.3623110000000049</v>
      </c>
      <c r="I416" s="26" t="s">
        <v>1230</v>
      </c>
      <c r="J416" s="26" t="s">
        <v>1231</v>
      </c>
      <c r="K416" s="26" t="b">
        <v>0</v>
      </c>
      <c r="L416" s="26">
        <v>4</v>
      </c>
    </row>
    <row r="417" spans="1:12" x14ac:dyDescent="0.25">
      <c r="A417" s="26" t="s">
        <v>982</v>
      </c>
      <c r="B417" s="26" t="s">
        <v>978</v>
      </c>
      <c r="C417" s="26" t="s">
        <v>1235</v>
      </c>
      <c r="D417" s="26" t="s">
        <v>527</v>
      </c>
      <c r="E417" s="26">
        <v>96</v>
      </c>
      <c r="F417" s="26">
        <v>95.507784000000015</v>
      </c>
      <c r="G417" s="26">
        <v>-0.49221599999998489</v>
      </c>
      <c r="H417" s="26">
        <v>0.49221599999998489</v>
      </c>
      <c r="I417" s="26" t="s">
        <v>1230</v>
      </c>
      <c r="J417" s="26" t="s">
        <v>1231</v>
      </c>
      <c r="K417" s="26" t="b">
        <v>0</v>
      </c>
      <c r="L417" s="26">
        <v>5</v>
      </c>
    </row>
    <row r="418" spans="1:12" x14ac:dyDescent="0.25">
      <c r="A418" s="26" t="s">
        <v>983</v>
      </c>
      <c r="B418" s="26" t="s">
        <v>978</v>
      </c>
      <c r="C418" s="26" t="s">
        <v>1236</v>
      </c>
      <c r="D418" s="26" t="s">
        <v>527</v>
      </c>
      <c r="E418" s="26">
        <v>100</v>
      </c>
      <c r="F418" s="26">
        <v>97.991396000000009</v>
      </c>
      <c r="G418" s="26">
        <v>-2.0086039999999912</v>
      </c>
      <c r="H418" s="26">
        <v>2.0086039999999912</v>
      </c>
      <c r="I418" s="26" t="s">
        <v>1230</v>
      </c>
      <c r="J418" s="26" t="s">
        <v>1231</v>
      </c>
      <c r="K418" s="26" t="b">
        <v>0</v>
      </c>
      <c r="L418" s="26">
        <v>1</v>
      </c>
    </row>
    <row r="419" spans="1:12" x14ac:dyDescent="0.25">
      <c r="A419" s="26" t="s">
        <v>984</v>
      </c>
      <c r="B419" s="26" t="s">
        <v>978</v>
      </c>
      <c r="C419" s="26" t="s">
        <v>1237</v>
      </c>
      <c r="D419" s="26" t="s">
        <v>527</v>
      </c>
      <c r="E419" s="26">
        <v>74</v>
      </c>
      <c r="F419" s="26">
        <v>73.145498000000003</v>
      </c>
      <c r="G419" s="26">
        <v>-0.85450199999999654</v>
      </c>
      <c r="H419" s="26">
        <v>0.85450199999999654</v>
      </c>
      <c r="I419" s="26" t="s">
        <v>1230</v>
      </c>
      <c r="J419" s="26" t="s">
        <v>1231</v>
      </c>
      <c r="K419" s="26" t="b">
        <v>0</v>
      </c>
      <c r="L419" s="26">
        <v>2</v>
      </c>
    </row>
    <row r="420" spans="1:12" x14ac:dyDescent="0.25">
      <c r="A420" s="26" t="s">
        <v>985</v>
      </c>
      <c r="B420" s="26" t="s">
        <v>978</v>
      </c>
      <c r="C420" s="26" t="s">
        <v>1238</v>
      </c>
      <c r="D420" s="26" t="s">
        <v>527</v>
      </c>
      <c r="E420" s="26">
        <v>125</v>
      </c>
      <c r="F420" s="26">
        <v>127.58940200000001</v>
      </c>
      <c r="G420" s="26">
        <v>2.5894020000000069</v>
      </c>
      <c r="H420" s="26">
        <v>2.5894020000000069</v>
      </c>
      <c r="I420" s="26" t="s">
        <v>1230</v>
      </c>
      <c r="J420" s="26" t="s">
        <v>1231</v>
      </c>
      <c r="K420" s="26" t="b">
        <v>0</v>
      </c>
      <c r="L420" s="26">
        <v>3</v>
      </c>
    </row>
    <row r="421" spans="1:12" x14ac:dyDescent="0.25">
      <c r="A421" s="26" t="s">
        <v>986</v>
      </c>
      <c r="B421" s="26" t="s">
        <v>978</v>
      </c>
      <c r="C421" s="26" t="s">
        <v>1239</v>
      </c>
      <c r="D421" s="26" t="s">
        <v>527</v>
      </c>
      <c r="E421" s="26">
        <v>110</v>
      </c>
      <c r="F421" s="26">
        <v>110.57079299999999</v>
      </c>
      <c r="G421" s="26">
        <v>0.57079300000000899</v>
      </c>
      <c r="H421" s="26">
        <v>0.57079300000000899</v>
      </c>
      <c r="I421" s="26" t="s">
        <v>1230</v>
      </c>
      <c r="J421" s="26" t="s">
        <v>1231</v>
      </c>
      <c r="K421" s="26" t="b">
        <v>0</v>
      </c>
      <c r="L421" s="26">
        <v>4</v>
      </c>
    </row>
    <row r="422" spans="1:12" x14ac:dyDescent="0.25">
      <c r="A422" s="26" t="s">
        <v>987</v>
      </c>
      <c r="B422" s="26" t="s">
        <v>978</v>
      </c>
      <c r="C422" s="26" t="s">
        <v>1240</v>
      </c>
      <c r="D422" s="26" t="s">
        <v>527</v>
      </c>
      <c r="E422" s="26">
        <v>118</v>
      </c>
      <c r="F422" s="26">
        <v>117.909182</v>
      </c>
      <c r="G422" s="26">
        <v>-9.0817999999984522E-2</v>
      </c>
      <c r="H422" s="26">
        <v>9.0817999999984522E-2</v>
      </c>
      <c r="I422" s="26" t="s">
        <v>1230</v>
      </c>
      <c r="J422" s="26" t="s">
        <v>1231</v>
      </c>
      <c r="K422" s="26" t="b">
        <v>0</v>
      </c>
      <c r="L422" s="26">
        <v>5</v>
      </c>
    </row>
    <row r="423" spans="1:12" x14ac:dyDescent="0.25">
      <c r="A423" s="26" t="s">
        <v>988</v>
      </c>
      <c r="B423" s="26" t="s">
        <v>989</v>
      </c>
      <c r="C423" s="26" t="s">
        <v>1229</v>
      </c>
      <c r="D423" s="26" t="s">
        <v>527</v>
      </c>
      <c r="E423" s="26">
        <v>107</v>
      </c>
      <c r="F423" s="26">
        <v>106.532479</v>
      </c>
      <c r="G423" s="26">
        <v>-0.46752099999999069</v>
      </c>
      <c r="H423" s="26">
        <v>0.46752099999999069</v>
      </c>
      <c r="I423" s="26" t="s">
        <v>1230</v>
      </c>
      <c r="J423" s="26" t="s">
        <v>1231</v>
      </c>
      <c r="K423" s="26" t="b">
        <v>0</v>
      </c>
      <c r="L423" s="26">
        <v>1</v>
      </c>
    </row>
    <row r="424" spans="1:12" x14ac:dyDescent="0.25">
      <c r="A424" s="26" t="s">
        <v>990</v>
      </c>
      <c r="B424" s="26" t="s">
        <v>989</v>
      </c>
      <c r="C424" s="26" t="s">
        <v>1232</v>
      </c>
      <c r="D424" s="26" t="s">
        <v>527</v>
      </c>
      <c r="E424" s="26">
        <v>109</v>
      </c>
      <c r="F424" s="26">
        <v>109.431656</v>
      </c>
      <c r="G424" s="26">
        <v>0.43165600000000381</v>
      </c>
      <c r="H424" s="26">
        <v>0.43165600000000381</v>
      </c>
      <c r="I424" s="26" t="s">
        <v>1230</v>
      </c>
      <c r="J424" s="26" t="s">
        <v>1231</v>
      </c>
      <c r="K424" s="26" t="b">
        <v>0</v>
      </c>
      <c r="L424" s="26">
        <v>2</v>
      </c>
    </row>
    <row r="425" spans="1:12" x14ac:dyDescent="0.25">
      <c r="A425" s="26" t="s">
        <v>991</v>
      </c>
      <c r="B425" s="26" t="s">
        <v>989</v>
      </c>
      <c r="C425" s="26" t="s">
        <v>1233</v>
      </c>
      <c r="D425" s="26" t="s">
        <v>527</v>
      </c>
      <c r="E425" s="26">
        <v>101</v>
      </c>
      <c r="F425" s="26">
        <v>101.58969999999999</v>
      </c>
      <c r="G425" s="26">
        <v>0.58970000000000766</v>
      </c>
      <c r="H425" s="26">
        <v>0.58970000000000766</v>
      </c>
      <c r="I425" s="26" t="s">
        <v>1230</v>
      </c>
      <c r="J425" s="26" t="s">
        <v>1231</v>
      </c>
      <c r="K425" s="26" t="b">
        <v>0</v>
      </c>
      <c r="L425" s="26">
        <v>3</v>
      </c>
    </row>
    <row r="426" spans="1:12" x14ac:dyDescent="0.25">
      <c r="A426" s="26" t="s">
        <v>992</v>
      </c>
      <c r="B426" s="26" t="s">
        <v>989</v>
      </c>
      <c r="C426" s="26" t="s">
        <v>1234</v>
      </c>
      <c r="D426" s="26" t="s">
        <v>527</v>
      </c>
      <c r="E426" s="26">
        <v>115</v>
      </c>
      <c r="F426" s="26">
        <v>115.298456</v>
      </c>
      <c r="G426" s="26">
        <v>0.29845600000000161</v>
      </c>
      <c r="H426" s="26">
        <v>0.29845600000000161</v>
      </c>
      <c r="I426" s="26" t="s">
        <v>1230</v>
      </c>
      <c r="J426" s="26" t="s">
        <v>1231</v>
      </c>
      <c r="K426" s="26" t="b">
        <v>0</v>
      </c>
      <c r="L426" s="26">
        <v>4</v>
      </c>
    </row>
    <row r="427" spans="1:12" x14ac:dyDescent="0.25">
      <c r="A427" s="26" t="s">
        <v>993</v>
      </c>
      <c r="B427" s="26" t="s">
        <v>989</v>
      </c>
      <c r="C427" s="26" t="s">
        <v>1235</v>
      </c>
      <c r="D427" s="26" t="s">
        <v>527</v>
      </c>
      <c r="E427" s="26">
        <v>131</v>
      </c>
      <c r="F427" s="26">
        <v>130.63524899999999</v>
      </c>
      <c r="G427" s="26">
        <v>-0.36475100000001248</v>
      </c>
      <c r="H427" s="26">
        <v>0.36475100000001248</v>
      </c>
      <c r="I427" s="26" t="s">
        <v>1230</v>
      </c>
      <c r="J427" s="26" t="s">
        <v>1231</v>
      </c>
      <c r="K427" s="26" t="b">
        <v>0</v>
      </c>
      <c r="L427" s="26">
        <v>5</v>
      </c>
    </row>
    <row r="428" spans="1:12" x14ac:dyDescent="0.25">
      <c r="A428" s="26" t="s">
        <v>994</v>
      </c>
      <c r="B428" s="26" t="s">
        <v>989</v>
      </c>
      <c r="C428" s="26" t="s">
        <v>1236</v>
      </c>
      <c r="D428" s="26" t="s">
        <v>527</v>
      </c>
      <c r="E428" s="26">
        <v>104</v>
      </c>
      <c r="F428" s="26">
        <v>105.544901</v>
      </c>
      <c r="G428" s="26">
        <v>1.5449010000000101</v>
      </c>
      <c r="H428" s="26">
        <v>1.5449010000000101</v>
      </c>
      <c r="I428" s="26" t="s">
        <v>1230</v>
      </c>
      <c r="J428" s="26" t="s">
        <v>1231</v>
      </c>
      <c r="K428" s="26" t="b">
        <v>0</v>
      </c>
      <c r="L428" s="26">
        <v>1</v>
      </c>
    </row>
    <row r="429" spans="1:12" x14ac:dyDescent="0.25">
      <c r="A429" s="26" t="s">
        <v>995</v>
      </c>
      <c r="B429" s="26" t="s">
        <v>989</v>
      </c>
      <c r="C429" s="26" t="s">
        <v>1237</v>
      </c>
      <c r="D429" s="26" t="s">
        <v>527</v>
      </c>
      <c r="E429" s="26">
        <v>135</v>
      </c>
      <c r="F429" s="26">
        <v>134.38511199999999</v>
      </c>
      <c r="G429" s="26">
        <v>-0.61488800000000765</v>
      </c>
      <c r="H429" s="26">
        <v>0.61488800000000765</v>
      </c>
      <c r="I429" s="26" t="s">
        <v>1230</v>
      </c>
      <c r="J429" s="26" t="s">
        <v>1231</v>
      </c>
      <c r="K429" s="26" t="b">
        <v>0</v>
      </c>
      <c r="L429" s="26">
        <v>2</v>
      </c>
    </row>
    <row r="430" spans="1:12" x14ac:dyDescent="0.25">
      <c r="A430" s="26" t="s">
        <v>996</v>
      </c>
      <c r="B430" s="26" t="s">
        <v>989</v>
      </c>
      <c r="C430" s="26" t="s">
        <v>1238</v>
      </c>
      <c r="D430" s="26" t="s">
        <v>527</v>
      </c>
      <c r="E430" s="26">
        <v>76</v>
      </c>
      <c r="F430" s="26">
        <v>74.954428000000007</v>
      </c>
      <c r="G430" s="26">
        <v>-1.0455719999999931</v>
      </c>
      <c r="H430" s="26">
        <v>1.0455719999999931</v>
      </c>
      <c r="I430" s="26" t="s">
        <v>1230</v>
      </c>
      <c r="J430" s="26" t="s">
        <v>1231</v>
      </c>
      <c r="K430" s="26" t="b">
        <v>0</v>
      </c>
      <c r="L430" s="26">
        <v>3</v>
      </c>
    </row>
    <row r="431" spans="1:12" x14ac:dyDescent="0.25">
      <c r="A431" s="26" t="s">
        <v>997</v>
      </c>
      <c r="B431" s="26" t="s">
        <v>989</v>
      </c>
      <c r="C431" s="26" t="s">
        <v>1239</v>
      </c>
      <c r="D431" s="26" t="s">
        <v>527</v>
      </c>
      <c r="E431" s="26">
        <v>108</v>
      </c>
      <c r="F431" s="26">
        <v>106.879598</v>
      </c>
      <c r="G431" s="26">
        <v>-1.1204019999999839</v>
      </c>
      <c r="H431" s="26">
        <v>1.1204019999999839</v>
      </c>
      <c r="I431" s="26" t="s">
        <v>1230</v>
      </c>
      <c r="J431" s="26" t="s">
        <v>1231</v>
      </c>
      <c r="K431" s="26" t="b">
        <v>0</v>
      </c>
      <c r="L431" s="26">
        <v>4</v>
      </c>
    </row>
    <row r="432" spans="1:12" x14ac:dyDescent="0.25">
      <c r="A432" s="26" t="s">
        <v>998</v>
      </c>
      <c r="B432" s="26" t="s">
        <v>989</v>
      </c>
      <c r="C432" s="26" t="s">
        <v>1240</v>
      </c>
      <c r="D432" s="26" t="s">
        <v>527</v>
      </c>
      <c r="E432" s="26">
        <v>86</v>
      </c>
      <c r="F432" s="26">
        <v>82.987055000000012</v>
      </c>
      <c r="G432" s="26">
        <v>-3.0129449999999882</v>
      </c>
      <c r="H432" s="26">
        <v>3.0129449999999882</v>
      </c>
      <c r="I432" s="26" t="s">
        <v>1230</v>
      </c>
      <c r="J432" s="26" t="s">
        <v>1231</v>
      </c>
      <c r="K432" s="26" t="b">
        <v>0</v>
      </c>
      <c r="L432" s="26">
        <v>5</v>
      </c>
    </row>
    <row r="433" spans="1:12" x14ac:dyDescent="0.25">
      <c r="A433" s="26" t="s">
        <v>999</v>
      </c>
      <c r="B433" s="26" t="s">
        <v>1000</v>
      </c>
      <c r="C433" s="26" t="s">
        <v>1229</v>
      </c>
      <c r="D433" s="26" t="s">
        <v>527</v>
      </c>
      <c r="E433" s="26">
        <v>109</v>
      </c>
      <c r="F433" s="26">
        <v>112.453058</v>
      </c>
      <c r="G433" s="26">
        <v>3.4530579999999991</v>
      </c>
      <c r="H433" s="26">
        <v>3.4530579999999991</v>
      </c>
      <c r="I433" s="26" t="s">
        <v>1230</v>
      </c>
      <c r="J433" s="26" t="s">
        <v>1231</v>
      </c>
      <c r="K433" s="26" t="b">
        <v>0</v>
      </c>
      <c r="L433" s="26">
        <v>1</v>
      </c>
    </row>
    <row r="434" spans="1:12" x14ac:dyDescent="0.25">
      <c r="A434" s="26" t="s">
        <v>1001</v>
      </c>
      <c r="B434" s="26" t="s">
        <v>1000</v>
      </c>
      <c r="C434" s="26" t="s">
        <v>1232</v>
      </c>
      <c r="D434" s="26" t="s">
        <v>527</v>
      </c>
      <c r="E434" s="26">
        <v>79</v>
      </c>
      <c r="F434" s="26">
        <v>81.090123000000006</v>
      </c>
      <c r="G434" s="26">
        <v>2.0901230000000059</v>
      </c>
      <c r="H434" s="26">
        <v>2.0901230000000059</v>
      </c>
      <c r="I434" s="26" t="s">
        <v>1230</v>
      </c>
      <c r="J434" s="26" t="s">
        <v>1231</v>
      </c>
      <c r="K434" s="26" t="b">
        <v>0</v>
      </c>
      <c r="L434" s="26">
        <v>2</v>
      </c>
    </row>
    <row r="435" spans="1:12" x14ac:dyDescent="0.25">
      <c r="A435" s="26" t="s">
        <v>1002</v>
      </c>
      <c r="B435" s="26" t="s">
        <v>1000</v>
      </c>
      <c r="C435" s="26" t="s">
        <v>1233</v>
      </c>
      <c r="D435" s="26" t="s">
        <v>527</v>
      </c>
      <c r="E435" s="26">
        <v>97</v>
      </c>
      <c r="F435" s="26">
        <v>95.742456000000004</v>
      </c>
      <c r="G435" s="26">
        <v>-1.257543999999996</v>
      </c>
      <c r="H435" s="26">
        <v>1.257543999999996</v>
      </c>
      <c r="I435" s="26" t="s">
        <v>1230</v>
      </c>
      <c r="J435" s="26" t="s">
        <v>1231</v>
      </c>
      <c r="K435" s="26" t="b">
        <v>0</v>
      </c>
      <c r="L435" s="26">
        <v>3</v>
      </c>
    </row>
    <row r="436" spans="1:12" x14ac:dyDescent="0.25">
      <c r="A436" s="26" t="s">
        <v>1003</v>
      </c>
      <c r="B436" s="26" t="s">
        <v>1000</v>
      </c>
      <c r="C436" s="26" t="s">
        <v>1234</v>
      </c>
      <c r="D436" s="26" t="s">
        <v>527</v>
      </c>
      <c r="E436" s="26">
        <v>83</v>
      </c>
      <c r="F436" s="26">
        <v>83.011500000000012</v>
      </c>
      <c r="G436" s="26">
        <v>1.150000000001228E-2</v>
      </c>
      <c r="H436" s="26">
        <v>1.150000000001228E-2</v>
      </c>
      <c r="I436" s="26" t="s">
        <v>1230</v>
      </c>
      <c r="J436" s="26" t="s">
        <v>1231</v>
      </c>
      <c r="K436" s="26" t="b">
        <v>0</v>
      </c>
      <c r="L436" s="26">
        <v>4</v>
      </c>
    </row>
    <row r="437" spans="1:12" x14ac:dyDescent="0.25">
      <c r="A437" s="26" t="s">
        <v>1004</v>
      </c>
      <c r="B437" s="26" t="s">
        <v>1000</v>
      </c>
      <c r="C437" s="26" t="s">
        <v>1235</v>
      </c>
      <c r="D437" s="26" t="s">
        <v>527</v>
      </c>
      <c r="E437" s="26">
        <v>119</v>
      </c>
      <c r="F437" s="26">
        <v>117.591397</v>
      </c>
      <c r="G437" s="26">
        <v>-1.408602999999985</v>
      </c>
      <c r="H437" s="26">
        <v>1.408602999999985</v>
      </c>
      <c r="I437" s="26" t="s">
        <v>1230</v>
      </c>
      <c r="J437" s="26" t="s">
        <v>1231</v>
      </c>
      <c r="K437" s="26" t="b">
        <v>0</v>
      </c>
      <c r="L437" s="26">
        <v>5</v>
      </c>
    </row>
    <row r="438" spans="1:12" x14ac:dyDescent="0.25">
      <c r="A438" s="26" t="s">
        <v>1005</v>
      </c>
      <c r="B438" s="26" t="s">
        <v>1000</v>
      </c>
      <c r="C438" s="26" t="s">
        <v>1236</v>
      </c>
      <c r="D438" s="26" t="s">
        <v>527</v>
      </c>
      <c r="E438" s="26">
        <v>122</v>
      </c>
      <c r="F438" s="26">
        <v>124.31866100000001</v>
      </c>
      <c r="G438" s="26">
        <v>2.3186610000000201</v>
      </c>
      <c r="H438" s="26">
        <v>2.3186610000000201</v>
      </c>
      <c r="I438" s="26" t="s">
        <v>1230</v>
      </c>
      <c r="J438" s="26" t="s">
        <v>1231</v>
      </c>
      <c r="K438" s="26" t="b">
        <v>0</v>
      </c>
      <c r="L438" s="26">
        <v>1</v>
      </c>
    </row>
    <row r="439" spans="1:12" x14ac:dyDescent="0.25">
      <c r="A439" s="26" t="s">
        <v>1006</v>
      </c>
      <c r="B439" s="26" t="s">
        <v>1000</v>
      </c>
      <c r="C439" s="26" t="s">
        <v>1237</v>
      </c>
      <c r="D439" s="26" t="s">
        <v>527</v>
      </c>
      <c r="E439" s="26">
        <v>130</v>
      </c>
      <c r="F439" s="26">
        <v>126.983166</v>
      </c>
      <c r="G439" s="26">
        <v>-3.0168339999999891</v>
      </c>
      <c r="H439" s="26">
        <v>3.0168339999999891</v>
      </c>
      <c r="I439" s="26" t="s">
        <v>1230</v>
      </c>
      <c r="J439" s="26" t="s">
        <v>1231</v>
      </c>
      <c r="K439" s="26" t="b">
        <v>0</v>
      </c>
      <c r="L439" s="26">
        <v>2</v>
      </c>
    </row>
    <row r="440" spans="1:12" x14ac:dyDescent="0.25">
      <c r="A440" s="26" t="s">
        <v>1007</v>
      </c>
      <c r="B440" s="26" t="s">
        <v>1000</v>
      </c>
      <c r="C440" s="26" t="s">
        <v>1238</v>
      </c>
      <c r="D440" s="26" t="s">
        <v>527</v>
      </c>
      <c r="E440" s="26">
        <v>99</v>
      </c>
      <c r="F440" s="26">
        <v>99.345649000000009</v>
      </c>
      <c r="G440" s="26">
        <v>0.34564900000000881</v>
      </c>
      <c r="H440" s="26">
        <v>0.34564900000000881</v>
      </c>
      <c r="I440" s="26" t="s">
        <v>1230</v>
      </c>
      <c r="J440" s="26" t="s">
        <v>1231</v>
      </c>
      <c r="K440" s="26" t="b">
        <v>0</v>
      </c>
      <c r="L440" s="26">
        <v>3</v>
      </c>
    </row>
    <row r="441" spans="1:12" x14ac:dyDescent="0.25">
      <c r="A441" s="26" t="s">
        <v>1008</v>
      </c>
      <c r="B441" s="26" t="s">
        <v>1000</v>
      </c>
      <c r="C441" s="26" t="s">
        <v>1239</v>
      </c>
      <c r="D441" s="26" t="s">
        <v>527</v>
      </c>
      <c r="E441" s="26">
        <v>94</v>
      </c>
      <c r="F441" s="26">
        <v>94.065528999999998</v>
      </c>
      <c r="G441" s="26">
        <v>6.552899999999795E-2</v>
      </c>
      <c r="H441" s="26">
        <v>6.552899999999795E-2</v>
      </c>
      <c r="I441" s="26" t="s">
        <v>1230</v>
      </c>
      <c r="J441" s="26" t="s">
        <v>1231</v>
      </c>
      <c r="K441" s="26" t="b">
        <v>0</v>
      </c>
      <c r="L441" s="26">
        <v>4</v>
      </c>
    </row>
    <row r="442" spans="1:12" x14ac:dyDescent="0.25">
      <c r="A442" s="26" t="s">
        <v>1009</v>
      </c>
      <c r="B442" s="26" t="s">
        <v>1000</v>
      </c>
      <c r="C442" s="26" t="s">
        <v>1240</v>
      </c>
      <c r="D442" s="26" t="s">
        <v>527</v>
      </c>
      <c r="E442" s="26">
        <v>88</v>
      </c>
      <c r="F442" s="26">
        <v>89.831655000000012</v>
      </c>
      <c r="G442" s="26">
        <v>1.831655000000012</v>
      </c>
      <c r="H442" s="26">
        <v>1.831655000000012</v>
      </c>
      <c r="I442" s="26" t="s">
        <v>1230</v>
      </c>
      <c r="J442" s="26" t="s">
        <v>1231</v>
      </c>
      <c r="K442" s="26" t="b">
        <v>0</v>
      </c>
      <c r="L442" s="26">
        <v>5</v>
      </c>
    </row>
    <row r="443" spans="1:12" x14ac:dyDescent="0.25">
      <c r="A443" s="26" t="s">
        <v>1010</v>
      </c>
      <c r="B443" s="26" t="s">
        <v>1011</v>
      </c>
      <c r="C443" s="26" t="s">
        <v>1229</v>
      </c>
      <c r="D443" s="26" t="s">
        <v>527</v>
      </c>
      <c r="E443" s="26">
        <v>109</v>
      </c>
      <c r="F443" s="26">
        <v>108.742307</v>
      </c>
      <c r="G443" s="26">
        <v>-0.25769299999998913</v>
      </c>
      <c r="H443" s="26">
        <v>0.25769299999998913</v>
      </c>
      <c r="I443" s="26" t="s">
        <v>1230</v>
      </c>
      <c r="J443" s="26" t="s">
        <v>1231</v>
      </c>
      <c r="K443" s="26" t="b">
        <v>0</v>
      </c>
      <c r="L443" s="26">
        <v>1</v>
      </c>
    </row>
    <row r="444" spans="1:12" x14ac:dyDescent="0.25">
      <c r="A444" s="26" t="s">
        <v>1012</v>
      </c>
      <c r="B444" s="26" t="s">
        <v>1011</v>
      </c>
      <c r="C444" s="26" t="s">
        <v>1232</v>
      </c>
      <c r="D444" s="26" t="s">
        <v>527</v>
      </c>
      <c r="E444" s="26">
        <v>114</v>
      </c>
      <c r="F444" s="26">
        <v>110.75168600000001</v>
      </c>
      <c r="G444" s="26">
        <v>-3.248313999999993</v>
      </c>
      <c r="H444" s="26">
        <v>3.248313999999993</v>
      </c>
      <c r="I444" s="26" t="s">
        <v>1230</v>
      </c>
      <c r="J444" s="26" t="s">
        <v>1231</v>
      </c>
      <c r="K444" s="26" t="b">
        <v>0</v>
      </c>
      <c r="L444" s="26">
        <v>2</v>
      </c>
    </row>
    <row r="445" spans="1:12" x14ac:dyDescent="0.25">
      <c r="A445" s="26" t="s">
        <v>1013</v>
      </c>
      <c r="B445" s="26" t="s">
        <v>1011</v>
      </c>
      <c r="C445" s="26" t="s">
        <v>1233</v>
      </c>
      <c r="D445" s="26" t="s">
        <v>527</v>
      </c>
      <c r="E445" s="26">
        <v>117</v>
      </c>
      <c r="F445" s="26">
        <v>116.310479</v>
      </c>
      <c r="G445" s="26">
        <v>-0.68952099999998495</v>
      </c>
      <c r="H445" s="26">
        <v>0.68952099999998495</v>
      </c>
      <c r="I445" s="26" t="s">
        <v>1230</v>
      </c>
      <c r="J445" s="26" t="s">
        <v>1231</v>
      </c>
      <c r="K445" s="26" t="b">
        <v>0</v>
      </c>
      <c r="L445" s="26">
        <v>3</v>
      </c>
    </row>
    <row r="446" spans="1:12" x14ac:dyDescent="0.25">
      <c r="A446" s="26" t="s">
        <v>1014</v>
      </c>
      <c r="B446" s="26" t="s">
        <v>1011</v>
      </c>
      <c r="C446" s="26" t="s">
        <v>1234</v>
      </c>
      <c r="D446" s="26" t="s">
        <v>527</v>
      </c>
      <c r="E446" s="26">
        <v>114</v>
      </c>
      <c r="F446" s="26">
        <v>112.120606</v>
      </c>
      <c r="G446" s="26">
        <v>-1.8793939999999909</v>
      </c>
      <c r="H446" s="26">
        <v>1.8793939999999909</v>
      </c>
      <c r="I446" s="26" t="s">
        <v>1230</v>
      </c>
      <c r="J446" s="26" t="s">
        <v>1231</v>
      </c>
      <c r="K446" s="26" t="b">
        <v>0</v>
      </c>
      <c r="L446" s="26">
        <v>4</v>
      </c>
    </row>
    <row r="447" spans="1:12" x14ac:dyDescent="0.25">
      <c r="A447" s="26" t="s">
        <v>1015</v>
      </c>
      <c r="B447" s="26" t="s">
        <v>1011</v>
      </c>
      <c r="C447" s="26" t="s">
        <v>1235</v>
      </c>
      <c r="D447" s="26" t="s">
        <v>527</v>
      </c>
      <c r="E447" s="26">
        <v>104</v>
      </c>
      <c r="F447" s="26">
        <v>104.171092</v>
      </c>
      <c r="G447" s="26">
        <v>0.1710920000000016</v>
      </c>
      <c r="H447" s="26">
        <v>0.1710920000000016</v>
      </c>
      <c r="I447" s="26" t="s">
        <v>1230</v>
      </c>
      <c r="J447" s="26" t="s">
        <v>1231</v>
      </c>
      <c r="K447" s="26" t="b">
        <v>0</v>
      </c>
      <c r="L447" s="26">
        <v>5</v>
      </c>
    </row>
    <row r="448" spans="1:12" x14ac:dyDescent="0.25">
      <c r="A448" s="26" t="s">
        <v>1016</v>
      </c>
      <c r="B448" s="26" t="s">
        <v>1011</v>
      </c>
      <c r="C448" s="26" t="s">
        <v>1236</v>
      </c>
      <c r="D448" s="26" t="s">
        <v>527</v>
      </c>
      <c r="E448" s="26">
        <v>136</v>
      </c>
      <c r="F448" s="26">
        <v>137.822079</v>
      </c>
      <c r="G448" s="26">
        <v>1.822079000000002</v>
      </c>
      <c r="H448" s="26">
        <v>1.822079000000002</v>
      </c>
      <c r="I448" s="26" t="s">
        <v>1230</v>
      </c>
      <c r="J448" s="26" t="s">
        <v>1231</v>
      </c>
      <c r="K448" s="26" t="b">
        <v>0</v>
      </c>
      <c r="L448" s="26">
        <v>1</v>
      </c>
    </row>
    <row r="449" spans="1:12" x14ac:dyDescent="0.25">
      <c r="A449" s="26" t="s">
        <v>1017</v>
      </c>
      <c r="B449" s="26" t="s">
        <v>1011</v>
      </c>
      <c r="C449" s="26" t="s">
        <v>1237</v>
      </c>
      <c r="D449" s="26" t="s">
        <v>527</v>
      </c>
      <c r="E449" s="26">
        <v>103</v>
      </c>
      <c r="F449" s="26">
        <v>100.02522</v>
      </c>
      <c r="G449" s="26">
        <v>-2.974779999999996</v>
      </c>
      <c r="H449" s="26">
        <v>2.974779999999996</v>
      </c>
      <c r="I449" s="26" t="s">
        <v>1230</v>
      </c>
      <c r="J449" s="26" t="s">
        <v>1231</v>
      </c>
      <c r="K449" s="26" t="b">
        <v>0</v>
      </c>
      <c r="L449" s="26">
        <v>2</v>
      </c>
    </row>
    <row r="450" spans="1:12" x14ac:dyDescent="0.25">
      <c r="A450" s="26" t="s">
        <v>1018</v>
      </c>
      <c r="B450" s="26" t="s">
        <v>1011</v>
      </c>
      <c r="C450" s="26" t="s">
        <v>1238</v>
      </c>
      <c r="D450" s="26" t="s">
        <v>527</v>
      </c>
      <c r="E450" s="26">
        <v>103</v>
      </c>
      <c r="F450" s="26">
        <v>101.66303499999999</v>
      </c>
      <c r="G450" s="26">
        <v>-1.336964999999992</v>
      </c>
      <c r="H450" s="26">
        <v>1.336964999999992</v>
      </c>
      <c r="I450" s="26" t="s">
        <v>1230</v>
      </c>
      <c r="J450" s="26" t="s">
        <v>1231</v>
      </c>
      <c r="K450" s="26" t="b">
        <v>0</v>
      </c>
      <c r="L450" s="26">
        <v>3</v>
      </c>
    </row>
    <row r="451" spans="1:12" x14ac:dyDescent="0.25">
      <c r="A451" s="26" t="s">
        <v>1019</v>
      </c>
      <c r="B451" s="26" t="s">
        <v>1011</v>
      </c>
      <c r="C451" s="26" t="s">
        <v>1239</v>
      </c>
      <c r="D451" s="26" t="s">
        <v>527</v>
      </c>
      <c r="E451" s="26">
        <v>100</v>
      </c>
      <c r="F451" s="26">
        <v>99.159867000000006</v>
      </c>
      <c r="G451" s="26">
        <v>-0.84013299999999447</v>
      </c>
      <c r="H451" s="26">
        <v>0.84013299999999447</v>
      </c>
      <c r="I451" s="26" t="s">
        <v>1230</v>
      </c>
      <c r="J451" s="26" t="s">
        <v>1231</v>
      </c>
      <c r="K451" s="26" t="b">
        <v>0</v>
      </c>
      <c r="L451" s="26">
        <v>4</v>
      </c>
    </row>
    <row r="452" spans="1:12" x14ac:dyDescent="0.25">
      <c r="A452" s="26" t="s">
        <v>1020</v>
      </c>
      <c r="B452" s="26" t="s">
        <v>1011</v>
      </c>
      <c r="C452" s="26" t="s">
        <v>1240</v>
      </c>
      <c r="D452" s="26" t="s">
        <v>527</v>
      </c>
      <c r="E452" s="26">
        <v>84</v>
      </c>
      <c r="F452" s="26">
        <v>83.813296000000008</v>
      </c>
      <c r="G452" s="26">
        <v>-0.18670399999999179</v>
      </c>
      <c r="H452" s="26">
        <v>0.18670399999999179</v>
      </c>
      <c r="I452" s="26" t="s">
        <v>1230</v>
      </c>
      <c r="J452" s="26" t="s">
        <v>1231</v>
      </c>
      <c r="K452" s="26" t="b">
        <v>0</v>
      </c>
      <c r="L452" s="26">
        <v>5</v>
      </c>
    </row>
    <row r="453" spans="1:12" x14ac:dyDescent="0.25">
      <c r="A453" s="26" t="s">
        <v>1021</v>
      </c>
      <c r="B453" s="26" t="s">
        <v>1022</v>
      </c>
      <c r="C453" s="26" t="s">
        <v>1229</v>
      </c>
      <c r="D453" s="26" t="s">
        <v>527</v>
      </c>
      <c r="E453" s="26">
        <v>123</v>
      </c>
      <c r="F453" s="26">
        <v>123.90309600000001</v>
      </c>
      <c r="G453" s="26">
        <v>0.90309600000001922</v>
      </c>
      <c r="H453" s="26">
        <v>0.90309600000001922</v>
      </c>
      <c r="I453" s="26" t="s">
        <v>1230</v>
      </c>
      <c r="J453" s="26" t="s">
        <v>1231</v>
      </c>
      <c r="K453" s="26" t="b">
        <v>0</v>
      </c>
      <c r="L453" s="26">
        <v>1</v>
      </c>
    </row>
    <row r="454" spans="1:12" x14ac:dyDescent="0.25">
      <c r="A454" s="26" t="s">
        <v>1023</v>
      </c>
      <c r="B454" s="26" t="s">
        <v>1022</v>
      </c>
      <c r="C454" s="26" t="s">
        <v>1232</v>
      </c>
      <c r="D454" s="26" t="s">
        <v>527</v>
      </c>
      <c r="E454" s="26">
        <v>101</v>
      </c>
      <c r="F454" s="26">
        <v>100.79768199999999</v>
      </c>
      <c r="G454" s="26">
        <v>-0.20231799999997691</v>
      </c>
      <c r="H454" s="26">
        <v>0.20231799999997691</v>
      </c>
      <c r="I454" s="26" t="s">
        <v>1230</v>
      </c>
      <c r="J454" s="26" t="s">
        <v>1231</v>
      </c>
      <c r="K454" s="26" t="b">
        <v>0</v>
      </c>
      <c r="L454" s="26">
        <v>2</v>
      </c>
    </row>
    <row r="455" spans="1:12" x14ac:dyDescent="0.25">
      <c r="A455" s="26" t="s">
        <v>1024</v>
      </c>
      <c r="B455" s="26" t="s">
        <v>1022</v>
      </c>
      <c r="C455" s="26" t="s">
        <v>1233</v>
      </c>
      <c r="D455" s="26" t="s">
        <v>527</v>
      </c>
      <c r="E455" s="26">
        <v>100</v>
      </c>
      <c r="F455" s="26">
        <v>100.84657199999999</v>
      </c>
      <c r="G455" s="26">
        <v>0.84657200000000898</v>
      </c>
      <c r="H455" s="26">
        <v>0.84657200000000898</v>
      </c>
      <c r="I455" s="26" t="s">
        <v>1230</v>
      </c>
      <c r="J455" s="26" t="s">
        <v>1231</v>
      </c>
      <c r="K455" s="26" t="b">
        <v>0</v>
      </c>
      <c r="L455" s="26">
        <v>3</v>
      </c>
    </row>
    <row r="456" spans="1:12" x14ac:dyDescent="0.25">
      <c r="A456" s="26" t="s">
        <v>1025</v>
      </c>
      <c r="B456" s="26" t="s">
        <v>1022</v>
      </c>
      <c r="C456" s="26" t="s">
        <v>1234</v>
      </c>
      <c r="D456" s="26" t="s">
        <v>527</v>
      </c>
      <c r="E456" s="26">
        <v>110</v>
      </c>
      <c r="F456" s="26">
        <v>108.81075300000001</v>
      </c>
      <c r="G456" s="26">
        <v>-1.18924699999998</v>
      </c>
      <c r="H456" s="26">
        <v>1.18924699999998</v>
      </c>
      <c r="I456" s="26" t="s">
        <v>1230</v>
      </c>
      <c r="J456" s="26" t="s">
        <v>1231</v>
      </c>
      <c r="K456" s="26" t="b">
        <v>0</v>
      </c>
      <c r="L456" s="26">
        <v>4</v>
      </c>
    </row>
    <row r="457" spans="1:12" x14ac:dyDescent="0.25">
      <c r="A457" s="26" t="s">
        <v>1026</v>
      </c>
      <c r="B457" s="26" t="s">
        <v>1022</v>
      </c>
      <c r="C457" s="26" t="s">
        <v>1235</v>
      </c>
      <c r="D457" s="26" t="s">
        <v>527</v>
      </c>
      <c r="E457" s="26">
        <v>108</v>
      </c>
      <c r="F457" s="26">
        <v>108.346298</v>
      </c>
      <c r="G457" s="26">
        <v>0.34629800000000438</v>
      </c>
      <c r="H457" s="26">
        <v>0.34629800000000438</v>
      </c>
      <c r="I457" s="26" t="s">
        <v>1230</v>
      </c>
      <c r="J457" s="26" t="s">
        <v>1231</v>
      </c>
      <c r="K457" s="26" t="b">
        <v>0</v>
      </c>
      <c r="L457" s="26">
        <v>5</v>
      </c>
    </row>
    <row r="458" spans="1:12" x14ac:dyDescent="0.25">
      <c r="A458" s="26" t="s">
        <v>1027</v>
      </c>
      <c r="B458" s="26" t="s">
        <v>1022</v>
      </c>
      <c r="C458" s="26" t="s">
        <v>1236</v>
      </c>
      <c r="D458" s="26" t="s">
        <v>527</v>
      </c>
      <c r="E458" s="26">
        <v>109</v>
      </c>
      <c r="F458" s="26">
        <v>107.647171</v>
      </c>
      <c r="G458" s="26">
        <v>-1.3528289999999861</v>
      </c>
      <c r="H458" s="26">
        <v>1.3528289999999861</v>
      </c>
      <c r="I458" s="26" t="s">
        <v>1230</v>
      </c>
      <c r="J458" s="26" t="s">
        <v>1231</v>
      </c>
      <c r="K458" s="26" t="b">
        <v>0</v>
      </c>
      <c r="L458" s="26">
        <v>1</v>
      </c>
    </row>
    <row r="459" spans="1:12" x14ac:dyDescent="0.25">
      <c r="A459" s="26" t="s">
        <v>1028</v>
      </c>
      <c r="B459" s="26" t="s">
        <v>1022</v>
      </c>
      <c r="C459" s="26" t="s">
        <v>1237</v>
      </c>
      <c r="D459" s="26" t="s">
        <v>527</v>
      </c>
      <c r="E459" s="26">
        <v>97</v>
      </c>
      <c r="F459" s="26">
        <v>98.548742000000018</v>
      </c>
      <c r="G459" s="26">
        <v>1.548742000000018</v>
      </c>
      <c r="H459" s="26">
        <v>1.548742000000018</v>
      </c>
      <c r="I459" s="26" t="s">
        <v>1230</v>
      </c>
      <c r="J459" s="26" t="s">
        <v>1231</v>
      </c>
      <c r="K459" s="26" t="b">
        <v>0</v>
      </c>
      <c r="L459" s="26">
        <v>2</v>
      </c>
    </row>
    <row r="460" spans="1:12" x14ac:dyDescent="0.25">
      <c r="A460" s="26" t="s">
        <v>1029</v>
      </c>
      <c r="B460" s="26" t="s">
        <v>1022</v>
      </c>
      <c r="C460" s="26" t="s">
        <v>1238</v>
      </c>
      <c r="D460" s="26" t="s">
        <v>527</v>
      </c>
      <c r="E460" s="26">
        <v>118</v>
      </c>
      <c r="F460" s="26">
        <v>117.81629100000001</v>
      </c>
      <c r="G460" s="26">
        <v>-0.18370899999999321</v>
      </c>
      <c r="H460" s="26">
        <v>0.18370899999999321</v>
      </c>
      <c r="I460" s="26" t="s">
        <v>1230</v>
      </c>
      <c r="J460" s="26" t="s">
        <v>1231</v>
      </c>
      <c r="K460" s="26" t="b">
        <v>0</v>
      </c>
      <c r="L460" s="26">
        <v>3</v>
      </c>
    </row>
    <row r="461" spans="1:12" x14ac:dyDescent="0.25">
      <c r="A461" s="26" t="s">
        <v>1030</v>
      </c>
      <c r="B461" s="26" t="s">
        <v>1022</v>
      </c>
      <c r="C461" s="26" t="s">
        <v>1239</v>
      </c>
      <c r="D461" s="26" t="s">
        <v>527</v>
      </c>
      <c r="E461" s="26">
        <v>95</v>
      </c>
      <c r="F461" s="26">
        <v>97.05270800000001</v>
      </c>
      <c r="G461" s="26">
        <v>2.0527080000000102</v>
      </c>
      <c r="H461" s="26">
        <v>2.0527080000000102</v>
      </c>
      <c r="I461" s="26" t="s">
        <v>1230</v>
      </c>
      <c r="J461" s="26" t="s">
        <v>1231</v>
      </c>
      <c r="K461" s="26" t="b">
        <v>0</v>
      </c>
      <c r="L461" s="26">
        <v>4</v>
      </c>
    </row>
    <row r="462" spans="1:12" x14ac:dyDescent="0.25">
      <c r="A462" s="26" t="s">
        <v>1031</v>
      </c>
      <c r="B462" s="26" t="s">
        <v>1022</v>
      </c>
      <c r="C462" s="26" t="s">
        <v>1240</v>
      </c>
      <c r="D462" s="26" t="s">
        <v>527</v>
      </c>
      <c r="E462" s="26">
        <v>95</v>
      </c>
      <c r="F462" s="26">
        <v>94.881992000000011</v>
      </c>
      <c r="G462" s="26">
        <v>-0.118007999999989</v>
      </c>
      <c r="H462" s="26">
        <v>0.118007999999989</v>
      </c>
      <c r="I462" s="26" t="s">
        <v>1230</v>
      </c>
      <c r="J462" s="26" t="s">
        <v>1231</v>
      </c>
      <c r="K462" s="26" t="b">
        <v>0</v>
      </c>
      <c r="L462" s="26">
        <v>5</v>
      </c>
    </row>
    <row r="463" spans="1:12" x14ac:dyDescent="0.25">
      <c r="A463" s="26" t="s">
        <v>1032</v>
      </c>
      <c r="B463" s="26" t="s">
        <v>1033</v>
      </c>
      <c r="C463" s="26" t="s">
        <v>1229</v>
      </c>
      <c r="D463" s="26" t="s">
        <v>527</v>
      </c>
      <c r="E463" s="26">
        <v>98</v>
      </c>
      <c r="F463" s="26">
        <v>98.832304000000008</v>
      </c>
      <c r="G463" s="26">
        <v>0.8323040000000077</v>
      </c>
      <c r="H463" s="26">
        <v>0.8323040000000077</v>
      </c>
      <c r="I463" s="26" t="s">
        <v>1230</v>
      </c>
      <c r="J463" s="26" t="s">
        <v>1231</v>
      </c>
      <c r="K463" s="26" t="b">
        <v>0</v>
      </c>
      <c r="L463" s="26">
        <v>1</v>
      </c>
    </row>
    <row r="464" spans="1:12" x14ac:dyDescent="0.25">
      <c r="A464" s="26" t="s">
        <v>1034</v>
      </c>
      <c r="B464" s="26" t="s">
        <v>1033</v>
      </c>
      <c r="C464" s="26" t="s">
        <v>1232</v>
      </c>
      <c r="D464" s="26" t="s">
        <v>527</v>
      </c>
      <c r="E464" s="26">
        <v>130</v>
      </c>
      <c r="F464" s="26">
        <v>129.388554</v>
      </c>
      <c r="G464" s="26">
        <v>-0.61144600000000082</v>
      </c>
      <c r="H464" s="26">
        <v>0.61144600000000082</v>
      </c>
      <c r="I464" s="26" t="s">
        <v>1230</v>
      </c>
      <c r="J464" s="26" t="s">
        <v>1231</v>
      </c>
      <c r="K464" s="26" t="b">
        <v>0</v>
      </c>
      <c r="L464" s="26">
        <v>2</v>
      </c>
    </row>
    <row r="465" spans="1:12" x14ac:dyDescent="0.25">
      <c r="A465" s="26" t="s">
        <v>1035</v>
      </c>
      <c r="B465" s="26" t="s">
        <v>1033</v>
      </c>
      <c r="C465" s="26" t="s">
        <v>1233</v>
      </c>
      <c r="D465" s="26" t="s">
        <v>527</v>
      </c>
      <c r="E465" s="26">
        <v>97</v>
      </c>
      <c r="F465" s="26">
        <v>97.023374000000004</v>
      </c>
      <c r="G465" s="26">
        <v>2.3374000000003999E-2</v>
      </c>
      <c r="H465" s="26">
        <v>2.3374000000003999E-2</v>
      </c>
      <c r="I465" s="26" t="s">
        <v>1230</v>
      </c>
      <c r="J465" s="26" t="s">
        <v>1231</v>
      </c>
      <c r="K465" s="26" t="b">
        <v>0</v>
      </c>
      <c r="L465" s="26">
        <v>3</v>
      </c>
    </row>
    <row r="466" spans="1:12" x14ac:dyDescent="0.25">
      <c r="A466" s="26" t="s">
        <v>1036</v>
      </c>
      <c r="B466" s="26" t="s">
        <v>1033</v>
      </c>
      <c r="C466" s="26" t="s">
        <v>1234</v>
      </c>
      <c r="D466" s="26" t="s">
        <v>527</v>
      </c>
      <c r="E466" s="26">
        <v>114</v>
      </c>
      <c r="F466" s="26">
        <v>114.261988</v>
      </c>
      <c r="G466" s="26">
        <v>0.26198800000000227</v>
      </c>
      <c r="H466" s="26">
        <v>0.26198800000000227</v>
      </c>
      <c r="I466" s="26" t="s">
        <v>1230</v>
      </c>
      <c r="J466" s="26" t="s">
        <v>1231</v>
      </c>
      <c r="K466" s="26" t="b">
        <v>0</v>
      </c>
      <c r="L466" s="26">
        <v>4</v>
      </c>
    </row>
    <row r="467" spans="1:12" x14ac:dyDescent="0.25">
      <c r="A467" s="26" t="s">
        <v>1037</v>
      </c>
      <c r="B467" s="26" t="s">
        <v>1033</v>
      </c>
      <c r="C467" s="26" t="s">
        <v>1235</v>
      </c>
      <c r="D467" s="26" t="s">
        <v>527</v>
      </c>
      <c r="E467" s="26">
        <v>119</v>
      </c>
      <c r="F467" s="26">
        <v>119.63499899999999</v>
      </c>
      <c r="G467" s="26">
        <v>0.63499900000000764</v>
      </c>
      <c r="H467" s="26">
        <v>0.63499900000000764</v>
      </c>
      <c r="I467" s="26" t="s">
        <v>1230</v>
      </c>
      <c r="J467" s="26" t="s">
        <v>1231</v>
      </c>
      <c r="K467" s="26" t="b">
        <v>0</v>
      </c>
      <c r="L467" s="26">
        <v>5</v>
      </c>
    </row>
    <row r="468" spans="1:12" x14ac:dyDescent="0.25">
      <c r="A468" s="26" t="s">
        <v>1038</v>
      </c>
      <c r="B468" s="26" t="s">
        <v>1033</v>
      </c>
      <c r="C468" s="26" t="s">
        <v>1236</v>
      </c>
      <c r="D468" s="26" t="s">
        <v>527</v>
      </c>
      <c r="E468" s="26">
        <v>91</v>
      </c>
      <c r="F468" s="26">
        <v>89.147194999999996</v>
      </c>
      <c r="G468" s="26">
        <v>-1.852805000000004</v>
      </c>
      <c r="H468" s="26">
        <v>1.852805000000004</v>
      </c>
      <c r="I468" s="26" t="s">
        <v>1230</v>
      </c>
      <c r="J468" s="26" t="s">
        <v>1231</v>
      </c>
      <c r="K468" s="26" t="b">
        <v>0</v>
      </c>
      <c r="L468" s="26">
        <v>1</v>
      </c>
    </row>
    <row r="469" spans="1:12" x14ac:dyDescent="0.25">
      <c r="A469" s="26" t="s">
        <v>1039</v>
      </c>
      <c r="B469" s="26" t="s">
        <v>1033</v>
      </c>
      <c r="C469" s="26" t="s">
        <v>1237</v>
      </c>
      <c r="D469" s="26" t="s">
        <v>527</v>
      </c>
      <c r="E469" s="26">
        <v>105</v>
      </c>
      <c r="F469" s="26">
        <v>107.510279</v>
      </c>
      <c r="G469" s="26">
        <v>2.5102790000000108</v>
      </c>
      <c r="H469" s="26">
        <v>2.5102790000000108</v>
      </c>
      <c r="I469" s="26" t="s">
        <v>1230</v>
      </c>
      <c r="J469" s="26" t="s">
        <v>1231</v>
      </c>
      <c r="K469" s="26" t="b">
        <v>0</v>
      </c>
      <c r="L469" s="26">
        <v>2</v>
      </c>
    </row>
    <row r="470" spans="1:12" x14ac:dyDescent="0.25">
      <c r="A470" s="26" t="s">
        <v>1040</v>
      </c>
      <c r="B470" s="26" t="s">
        <v>1033</v>
      </c>
      <c r="C470" s="26" t="s">
        <v>1238</v>
      </c>
      <c r="D470" s="26" t="s">
        <v>527</v>
      </c>
      <c r="E470" s="26">
        <v>91</v>
      </c>
      <c r="F470" s="26">
        <v>88.086282000000011</v>
      </c>
      <c r="G470" s="26">
        <v>-2.9137179999999891</v>
      </c>
      <c r="H470" s="26">
        <v>2.9137179999999891</v>
      </c>
      <c r="I470" s="26" t="s">
        <v>1230</v>
      </c>
      <c r="J470" s="26" t="s">
        <v>1231</v>
      </c>
      <c r="K470" s="26" t="b">
        <v>0</v>
      </c>
      <c r="L470" s="26">
        <v>3</v>
      </c>
    </row>
    <row r="471" spans="1:12" x14ac:dyDescent="0.25">
      <c r="A471" s="26" t="s">
        <v>1041</v>
      </c>
      <c r="B471" s="26" t="s">
        <v>1033</v>
      </c>
      <c r="C471" s="26" t="s">
        <v>1239</v>
      </c>
      <c r="D471" s="26" t="s">
        <v>527</v>
      </c>
      <c r="E471" s="26">
        <v>126</v>
      </c>
      <c r="F471" s="26">
        <v>124.352884</v>
      </c>
      <c r="G471" s="26">
        <v>-1.6471159999999969</v>
      </c>
      <c r="H471" s="26">
        <v>1.6471159999999969</v>
      </c>
      <c r="I471" s="26" t="s">
        <v>1230</v>
      </c>
      <c r="J471" s="26" t="s">
        <v>1231</v>
      </c>
      <c r="K471" s="26" t="b">
        <v>0</v>
      </c>
      <c r="L471" s="26">
        <v>4</v>
      </c>
    </row>
    <row r="472" spans="1:12" x14ac:dyDescent="0.25">
      <c r="A472" s="26" t="s">
        <v>1042</v>
      </c>
      <c r="B472" s="26" t="s">
        <v>1033</v>
      </c>
      <c r="C472" s="26" t="s">
        <v>1240</v>
      </c>
      <c r="D472" s="26" t="s">
        <v>527</v>
      </c>
      <c r="E472" s="26">
        <v>96</v>
      </c>
      <c r="F472" s="26">
        <v>96.045574000000016</v>
      </c>
      <c r="G472" s="26">
        <v>4.5574000000016213E-2</v>
      </c>
      <c r="H472" s="26">
        <v>4.5574000000016213E-2</v>
      </c>
      <c r="I472" s="26" t="s">
        <v>1230</v>
      </c>
      <c r="J472" s="26" t="s">
        <v>1231</v>
      </c>
      <c r="K472" s="26" t="b">
        <v>0</v>
      </c>
      <c r="L472" s="26">
        <v>5</v>
      </c>
    </row>
    <row r="473" spans="1:12" x14ac:dyDescent="0.25">
      <c r="A473" s="26" t="s">
        <v>1043</v>
      </c>
      <c r="B473" s="26" t="s">
        <v>1044</v>
      </c>
      <c r="C473" s="26" t="s">
        <v>1229</v>
      </c>
      <c r="D473" s="26" t="s">
        <v>527</v>
      </c>
      <c r="E473" s="26">
        <v>112</v>
      </c>
      <c r="F473" s="26">
        <v>112.575283</v>
      </c>
      <c r="G473" s="26">
        <v>0.57528300000001309</v>
      </c>
      <c r="H473" s="26">
        <v>0.57528300000001309</v>
      </c>
      <c r="I473" s="26" t="s">
        <v>1230</v>
      </c>
      <c r="J473" s="26" t="s">
        <v>1231</v>
      </c>
      <c r="K473" s="26" t="b">
        <v>0</v>
      </c>
      <c r="L473" s="26">
        <v>1</v>
      </c>
    </row>
    <row r="474" spans="1:12" x14ac:dyDescent="0.25">
      <c r="A474" s="26" t="s">
        <v>1045</v>
      </c>
      <c r="B474" s="26" t="s">
        <v>1044</v>
      </c>
      <c r="C474" s="26" t="s">
        <v>1232</v>
      </c>
      <c r="D474" s="26" t="s">
        <v>527</v>
      </c>
      <c r="E474" s="26">
        <v>104</v>
      </c>
      <c r="F474" s="26">
        <v>106.776929</v>
      </c>
      <c r="G474" s="26">
        <v>2.7769290000000102</v>
      </c>
      <c r="H474" s="26">
        <v>2.7769290000000102</v>
      </c>
      <c r="I474" s="26" t="s">
        <v>1230</v>
      </c>
      <c r="J474" s="26" t="s">
        <v>1231</v>
      </c>
      <c r="K474" s="26" t="b">
        <v>0</v>
      </c>
      <c r="L474" s="26">
        <v>2</v>
      </c>
    </row>
    <row r="475" spans="1:12" x14ac:dyDescent="0.25">
      <c r="A475" s="26" t="s">
        <v>1046</v>
      </c>
      <c r="B475" s="26" t="s">
        <v>1044</v>
      </c>
      <c r="C475" s="26" t="s">
        <v>1233</v>
      </c>
      <c r="D475" s="26" t="s">
        <v>527</v>
      </c>
      <c r="E475" s="26">
        <v>107</v>
      </c>
      <c r="F475" s="26">
        <v>103.731082</v>
      </c>
      <c r="G475" s="26">
        <v>-3.2689179999999989</v>
      </c>
      <c r="H475" s="26">
        <v>3.2689179999999989</v>
      </c>
      <c r="I475" s="26" t="s">
        <v>1230</v>
      </c>
      <c r="J475" s="26" t="s">
        <v>1231</v>
      </c>
      <c r="K475" s="26" t="b">
        <v>0</v>
      </c>
      <c r="L475" s="26">
        <v>3</v>
      </c>
    </row>
    <row r="476" spans="1:12" x14ac:dyDescent="0.25">
      <c r="A476" s="26" t="s">
        <v>1047</v>
      </c>
      <c r="B476" s="26" t="s">
        <v>1044</v>
      </c>
      <c r="C476" s="26" t="s">
        <v>1234</v>
      </c>
      <c r="D476" s="26" t="s">
        <v>527</v>
      </c>
      <c r="E476" s="26">
        <v>98</v>
      </c>
      <c r="F476" s="26">
        <v>97.282491000000007</v>
      </c>
      <c r="G476" s="26">
        <v>-0.71750899999999262</v>
      </c>
      <c r="H476" s="26">
        <v>0.71750899999999262</v>
      </c>
      <c r="I476" s="26" t="s">
        <v>1230</v>
      </c>
      <c r="J476" s="26" t="s">
        <v>1231</v>
      </c>
      <c r="K476" s="26" t="b">
        <v>0</v>
      </c>
      <c r="L476" s="26">
        <v>4</v>
      </c>
    </row>
    <row r="477" spans="1:12" x14ac:dyDescent="0.25">
      <c r="A477" s="26" t="s">
        <v>1048</v>
      </c>
      <c r="B477" s="26" t="s">
        <v>1044</v>
      </c>
      <c r="C477" s="26" t="s">
        <v>1235</v>
      </c>
      <c r="D477" s="26" t="s">
        <v>527</v>
      </c>
      <c r="E477" s="26">
        <v>83</v>
      </c>
      <c r="F477" s="26">
        <v>79.794538000000003</v>
      </c>
      <c r="G477" s="26">
        <v>-3.2054619999999971</v>
      </c>
      <c r="H477" s="26">
        <v>3.2054619999999971</v>
      </c>
      <c r="I477" s="26" t="s">
        <v>1230</v>
      </c>
      <c r="J477" s="26" t="s">
        <v>1231</v>
      </c>
      <c r="K477" s="26" t="b">
        <v>0</v>
      </c>
      <c r="L477" s="26">
        <v>5</v>
      </c>
    </row>
    <row r="478" spans="1:12" x14ac:dyDescent="0.25">
      <c r="A478" s="26" t="s">
        <v>1049</v>
      </c>
      <c r="B478" s="26" t="s">
        <v>1044</v>
      </c>
      <c r="C478" s="26" t="s">
        <v>1236</v>
      </c>
      <c r="D478" s="26" t="s">
        <v>527</v>
      </c>
      <c r="E478" s="26">
        <v>114</v>
      </c>
      <c r="F478" s="26">
        <v>113.865979</v>
      </c>
      <c r="G478" s="26">
        <v>-0.13402099999999001</v>
      </c>
      <c r="H478" s="26">
        <v>0.13402099999999001</v>
      </c>
      <c r="I478" s="26" t="s">
        <v>1230</v>
      </c>
      <c r="J478" s="26" t="s">
        <v>1231</v>
      </c>
      <c r="K478" s="26" t="b">
        <v>0</v>
      </c>
      <c r="L478" s="26">
        <v>1</v>
      </c>
    </row>
    <row r="479" spans="1:12" x14ac:dyDescent="0.25">
      <c r="A479" s="26" t="s">
        <v>1050</v>
      </c>
      <c r="B479" s="26" t="s">
        <v>1044</v>
      </c>
      <c r="C479" s="26" t="s">
        <v>1237</v>
      </c>
      <c r="D479" s="26" t="s">
        <v>527</v>
      </c>
      <c r="E479" s="26">
        <v>105</v>
      </c>
      <c r="F479" s="26">
        <v>105.486233</v>
      </c>
      <c r="G479" s="26">
        <v>0.48623300000001279</v>
      </c>
      <c r="H479" s="26">
        <v>0.48623300000001279</v>
      </c>
      <c r="I479" s="26" t="s">
        <v>1230</v>
      </c>
      <c r="J479" s="26" t="s">
        <v>1231</v>
      </c>
      <c r="K479" s="26" t="b">
        <v>0</v>
      </c>
      <c r="L479" s="26">
        <v>2</v>
      </c>
    </row>
    <row r="480" spans="1:12" x14ac:dyDescent="0.25">
      <c r="A480" s="26" t="s">
        <v>1051</v>
      </c>
      <c r="B480" s="26" t="s">
        <v>1044</v>
      </c>
      <c r="C480" s="26" t="s">
        <v>1238</v>
      </c>
      <c r="D480" s="26" t="s">
        <v>527</v>
      </c>
      <c r="E480" s="26">
        <v>106</v>
      </c>
      <c r="F480" s="26">
        <v>108.76186300000001</v>
      </c>
      <c r="G480" s="26">
        <v>2.7618630000000048</v>
      </c>
      <c r="H480" s="26">
        <v>2.7618630000000048</v>
      </c>
      <c r="I480" s="26" t="s">
        <v>1230</v>
      </c>
      <c r="J480" s="26" t="s">
        <v>1231</v>
      </c>
      <c r="K480" s="26" t="b">
        <v>0</v>
      </c>
      <c r="L480" s="26">
        <v>3</v>
      </c>
    </row>
    <row r="481" spans="1:12" x14ac:dyDescent="0.25">
      <c r="A481" s="26" t="s">
        <v>1052</v>
      </c>
      <c r="B481" s="26" t="s">
        <v>1044</v>
      </c>
      <c r="C481" s="26" t="s">
        <v>1239</v>
      </c>
      <c r="D481" s="26" t="s">
        <v>527</v>
      </c>
      <c r="E481" s="26">
        <v>126</v>
      </c>
      <c r="F481" s="26">
        <v>125.756027</v>
      </c>
      <c r="G481" s="26">
        <v>-0.24397299999999689</v>
      </c>
      <c r="H481" s="26">
        <v>0.24397299999999689</v>
      </c>
      <c r="I481" s="26" t="s">
        <v>1230</v>
      </c>
      <c r="J481" s="26" t="s">
        <v>1231</v>
      </c>
      <c r="K481" s="26" t="b">
        <v>0</v>
      </c>
      <c r="L481" s="26">
        <v>4</v>
      </c>
    </row>
    <row r="482" spans="1:12" x14ac:dyDescent="0.25">
      <c r="A482" s="26" t="s">
        <v>1053</v>
      </c>
      <c r="B482" s="26" t="s">
        <v>1044</v>
      </c>
      <c r="C482" s="26" t="s">
        <v>1240</v>
      </c>
      <c r="D482" s="26" t="s">
        <v>527</v>
      </c>
      <c r="E482" s="26">
        <v>101</v>
      </c>
      <c r="F482" s="26">
        <v>102.91950799999999</v>
      </c>
      <c r="G482" s="26">
        <v>1.919508000000008</v>
      </c>
      <c r="H482" s="26">
        <v>1.919508000000008</v>
      </c>
      <c r="I482" s="26" t="s">
        <v>1230</v>
      </c>
      <c r="J482" s="26" t="s">
        <v>1231</v>
      </c>
      <c r="K482" s="26" t="b">
        <v>0</v>
      </c>
      <c r="L482" s="26">
        <v>5</v>
      </c>
    </row>
    <row r="483" spans="1:12" x14ac:dyDescent="0.25">
      <c r="A483" s="26" t="s">
        <v>1054</v>
      </c>
      <c r="B483" s="26" t="s">
        <v>1055</v>
      </c>
      <c r="C483" s="26" t="s">
        <v>1229</v>
      </c>
      <c r="D483" s="26" t="s">
        <v>527</v>
      </c>
      <c r="E483" s="26">
        <v>86</v>
      </c>
      <c r="F483" s="26">
        <v>87.45071200000001</v>
      </c>
      <c r="G483" s="26">
        <v>1.45071200000001</v>
      </c>
      <c r="H483" s="26">
        <v>1.45071200000001</v>
      </c>
      <c r="I483" s="26" t="s">
        <v>1230</v>
      </c>
      <c r="J483" s="26" t="s">
        <v>1231</v>
      </c>
      <c r="K483" s="26" t="b">
        <v>0</v>
      </c>
      <c r="L483" s="26">
        <v>1</v>
      </c>
    </row>
    <row r="484" spans="1:12" x14ac:dyDescent="0.25">
      <c r="A484" s="26" t="s">
        <v>1056</v>
      </c>
      <c r="B484" s="26" t="s">
        <v>1055</v>
      </c>
      <c r="C484" s="26" t="s">
        <v>1232</v>
      </c>
      <c r="D484" s="26" t="s">
        <v>527</v>
      </c>
      <c r="E484" s="26">
        <v>101</v>
      </c>
      <c r="F484" s="26">
        <v>100.34300500000001</v>
      </c>
      <c r="G484" s="26">
        <v>-0.65699499999998068</v>
      </c>
      <c r="H484" s="26">
        <v>0.65699499999998068</v>
      </c>
      <c r="I484" s="26" t="s">
        <v>1230</v>
      </c>
      <c r="J484" s="26" t="s">
        <v>1231</v>
      </c>
      <c r="K484" s="26" t="b">
        <v>0</v>
      </c>
      <c r="L484" s="26">
        <v>2</v>
      </c>
    </row>
    <row r="485" spans="1:12" x14ac:dyDescent="0.25">
      <c r="A485" s="26" t="s">
        <v>1057</v>
      </c>
      <c r="B485" s="26" t="s">
        <v>1055</v>
      </c>
      <c r="C485" s="26" t="s">
        <v>1233</v>
      </c>
      <c r="D485" s="26" t="s">
        <v>527</v>
      </c>
      <c r="E485" s="26">
        <v>124</v>
      </c>
      <c r="F485" s="26">
        <v>121.13592199999999</v>
      </c>
      <c r="G485" s="26">
        <v>-2.8640780000000059</v>
      </c>
      <c r="H485" s="26">
        <v>2.8640780000000059</v>
      </c>
      <c r="I485" s="26" t="s">
        <v>1230</v>
      </c>
      <c r="J485" s="26" t="s">
        <v>1231</v>
      </c>
      <c r="K485" s="26" t="b">
        <v>0</v>
      </c>
      <c r="L485" s="26">
        <v>3</v>
      </c>
    </row>
    <row r="486" spans="1:12" x14ac:dyDescent="0.25">
      <c r="A486" s="26" t="s">
        <v>1058</v>
      </c>
      <c r="B486" s="26" t="s">
        <v>1055</v>
      </c>
      <c r="C486" s="26" t="s">
        <v>1234</v>
      </c>
      <c r="D486" s="26" t="s">
        <v>527</v>
      </c>
      <c r="E486" s="26">
        <v>120</v>
      </c>
      <c r="F486" s="26">
        <v>120.15812200000001</v>
      </c>
      <c r="G486" s="26">
        <v>0.1581220000000059</v>
      </c>
      <c r="H486" s="26">
        <v>0.1581220000000059</v>
      </c>
      <c r="I486" s="26" t="s">
        <v>1230</v>
      </c>
      <c r="J486" s="26" t="s">
        <v>1231</v>
      </c>
      <c r="K486" s="26" t="b">
        <v>0</v>
      </c>
      <c r="L486" s="26">
        <v>4</v>
      </c>
    </row>
    <row r="487" spans="1:12" x14ac:dyDescent="0.25">
      <c r="A487" s="26" t="s">
        <v>1059</v>
      </c>
      <c r="B487" s="26" t="s">
        <v>1055</v>
      </c>
      <c r="C487" s="26" t="s">
        <v>1235</v>
      </c>
      <c r="D487" s="26" t="s">
        <v>527</v>
      </c>
      <c r="E487" s="26">
        <v>117</v>
      </c>
      <c r="F487" s="26">
        <v>114.14465199999999</v>
      </c>
      <c r="G487" s="26">
        <v>-2.8553479999999918</v>
      </c>
      <c r="H487" s="26">
        <v>2.8553479999999918</v>
      </c>
      <c r="I487" s="26" t="s">
        <v>1230</v>
      </c>
      <c r="J487" s="26" t="s">
        <v>1231</v>
      </c>
      <c r="K487" s="26" t="b">
        <v>0</v>
      </c>
      <c r="L487" s="26">
        <v>5</v>
      </c>
    </row>
    <row r="488" spans="1:12" x14ac:dyDescent="0.25">
      <c r="A488" s="26" t="s">
        <v>1060</v>
      </c>
      <c r="B488" s="26" t="s">
        <v>1055</v>
      </c>
      <c r="C488" s="26" t="s">
        <v>1236</v>
      </c>
      <c r="D488" s="26" t="s">
        <v>527</v>
      </c>
      <c r="E488" s="26">
        <v>121</v>
      </c>
      <c r="F488" s="26">
        <v>122.910629</v>
      </c>
      <c r="G488" s="26">
        <v>1.9106290000000139</v>
      </c>
      <c r="H488" s="26">
        <v>1.9106290000000139</v>
      </c>
      <c r="I488" s="26" t="s">
        <v>1230</v>
      </c>
      <c r="J488" s="26" t="s">
        <v>1231</v>
      </c>
      <c r="K488" s="26" t="b">
        <v>0</v>
      </c>
      <c r="L488" s="26">
        <v>1</v>
      </c>
    </row>
    <row r="489" spans="1:12" x14ac:dyDescent="0.25">
      <c r="A489" s="26" t="s">
        <v>1061</v>
      </c>
      <c r="B489" s="26" t="s">
        <v>1055</v>
      </c>
      <c r="C489" s="26" t="s">
        <v>1237</v>
      </c>
      <c r="D489" s="26" t="s">
        <v>527</v>
      </c>
      <c r="E489" s="26">
        <v>106</v>
      </c>
      <c r="F489" s="26">
        <v>105.706238</v>
      </c>
      <c r="G489" s="26">
        <v>-0.29376200000000102</v>
      </c>
      <c r="H489" s="26">
        <v>0.29376200000000102</v>
      </c>
      <c r="I489" s="26" t="s">
        <v>1230</v>
      </c>
      <c r="J489" s="26" t="s">
        <v>1231</v>
      </c>
      <c r="K489" s="26" t="b">
        <v>0</v>
      </c>
      <c r="L489" s="26">
        <v>2</v>
      </c>
    </row>
    <row r="490" spans="1:12" x14ac:dyDescent="0.25">
      <c r="A490" s="26" t="s">
        <v>1062</v>
      </c>
      <c r="B490" s="26" t="s">
        <v>1055</v>
      </c>
      <c r="C490" s="26" t="s">
        <v>1238</v>
      </c>
      <c r="D490" s="26" t="s">
        <v>527</v>
      </c>
      <c r="E490" s="26">
        <v>97</v>
      </c>
      <c r="F490" s="26">
        <v>99.272314000000009</v>
      </c>
      <c r="G490" s="26">
        <v>2.272314000000009</v>
      </c>
      <c r="H490" s="26">
        <v>2.272314000000009</v>
      </c>
      <c r="I490" s="26" t="s">
        <v>1230</v>
      </c>
      <c r="J490" s="26" t="s">
        <v>1231</v>
      </c>
      <c r="K490" s="26" t="b">
        <v>0</v>
      </c>
      <c r="L490" s="26">
        <v>3</v>
      </c>
    </row>
    <row r="491" spans="1:12" x14ac:dyDescent="0.25">
      <c r="A491" s="26" t="s">
        <v>1063</v>
      </c>
      <c r="B491" s="26" t="s">
        <v>1055</v>
      </c>
      <c r="C491" s="26" t="s">
        <v>1239</v>
      </c>
      <c r="D491" s="26" t="s">
        <v>527</v>
      </c>
      <c r="E491" s="26">
        <v>112</v>
      </c>
      <c r="F491" s="26">
        <v>111.02058100000001</v>
      </c>
      <c r="G491" s="26">
        <v>-0.97941899999999293</v>
      </c>
      <c r="H491" s="26">
        <v>0.97941899999999293</v>
      </c>
      <c r="I491" s="26" t="s">
        <v>1230</v>
      </c>
      <c r="J491" s="26" t="s">
        <v>1231</v>
      </c>
      <c r="K491" s="26" t="b">
        <v>0</v>
      </c>
      <c r="L491" s="26">
        <v>4</v>
      </c>
    </row>
    <row r="492" spans="1:12" x14ac:dyDescent="0.25">
      <c r="A492" s="26" t="s">
        <v>1064</v>
      </c>
      <c r="B492" s="26" t="s">
        <v>1055</v>
      </c>
      <c r="C492" s="26" t="s">
        <v>1240</v>
      </c>
      <c r="D492" s="26" t="s">
        <v>527</v>
      </c>
      <c r="E492" s="26">
        <v>96</v>
      </c>
      <c r="F492" s="26">
        <v>96.681144000000003</v>
      </c>
      <c r="G492" s="26">
        <v>0.6811440000000033</v>
      </c>
      <c r="H492" s="26">
        <v>0.6811440000000033</v>
      </c>
      <c r="I492" s="26" t="s">
        <v>1230</v>
      </c>
      <c r="J492" s="26" t="s">
        <v>1231</v>
      </c>
      <c r="K492" s="26" t="b">
        <v>0</v>
      </c>
      <c r="L492" s="26">
        <v>5</v>
      </c>
    </row>
    <row r="493" spans="1:12" x14ac:dyDescent="0.25">
      <c r="A493" s="26" t="s">
        <v>1065</v>
      </c>
      <c r="B493" s="26" t="s">
        <v>1066</v>
      </c>
      <c r="C493" s="26" t="s">
        <v>1229</v>
      </c>
      <c r="D493" s="26" t="s">
        <v>527</v>
      </c>
      <c r="E493" s="26">
        <v>88</v>
      </c>
      <c r="F493" s="26">
        <v>88.75607500000001</v>
      </c>
      <c r="G493" s="26">
        <v>0.75607500000000982</v>
      </c>
      <c r="H493" s="26">
        <v>0.75607500000000982</v>
      </c>
      <c r="I493" s="26" t="s">
        <v>1230</v>
      </c>
      <c r="J493" s="26" t="s">
        <v>1231</v>
      </c>
      <c r="K493" s="26" t="b">
        <v>0</v>
      </c>
      <c r="L493" s="26">
        <v>1</v>
      </c>
    </row>
    <row r="494" spans="1:12" x14ac:dyDescent="0.25">
      <c r="A494" s="26" t="s">
        <v>1067</v>
      </c>
      <c r="B494" s="26" t="s">
        <v>1066</v>
      </c>
      <c r="C494" s="26" t="s">
        <v>1232</v>
      </c>
      <c r="D494" s="26" t="s">
        <v>527</v>
      </c>
      <c r="E494" s="26">
        <v>106</v>
      </c>
      <c r="F494" s="26">
        <v>105.911576</v>
      </c>
      <c r="G494" s="26">
        <v>-8.8423999999989178E-2</v>
      </c>
      <c r="H494" s="26">
        <v>8.8423999999989178E-2</v>
      </c>
      <c r="I494" s="26" t="s">
        <v>1230</v>
      </c>
      <c r="J494" s="26" t="s">
        <v>1231</v>
      </c>
      <c r="K494" s="26" t="b">
        <v>0</v>
      </c>
      <c r="L494" s="26">
        <v>2</v>
      </c>
    </row>
    <row r="495" spans="1:12" x14ac:dyDescent="0.25">
      <c r="A495" s="26" t="s">
        <v>1068</v>
      </c>
      <c r="B495" s="26" t="s">
        <v>1066</v>
      </c>
      <c r="C495" s="26" t="s">
        <v>1233</v>
      </c>
      <c r="D495" s="26" t="s">
        <v>527</v>
      </c>
      <c r="E495" s="26">
        <v>99</v>
      </c>
      <c r="F495" s="26">
        <v>98.392294000000007</v>
      </c>
      <c r="G495" s="26">
        <v>-0.6077059999999932</v>
      </c>
      <c r="H495" s="26">
        <v>0.6077059999999932</v>
      </c>
      <c r="I495" s="26" t="s">
        <v>1230</v>
      </c>
      <c r="J495" s="26" t="s">
        <v>1231</v>
      </c>
      <c r="K495" s="26" t="b">
        <v>0</v>
      </c>
      <c r="L495" s="26">
        <v>3</v>
      </c>
    </row>
    <row r="496" spans="1:12" x14ac:dyDescent="0.25">
      <c r="A496" s="26" t="s">
        <v>1069</v>
      </c>
      <c r="B496" s="26" t="s">
        <v>1066</v>
      </c>
      <c r="C496" s="26" t="s">
        <v>1234</v>
      </c>
      <c r="D496" s="26" t="s">
        <v>527</v>
      </c>
      <c r="E496" s="26">
        <v>102</v>
      </c>
      <c r="F496" s="26">
        <v>102.76306</v>
      </c>
      <c r="G496" s="26">
        <v>0.76306000000001006</v>
      </c>
      <c r="H496" s="26">
        <v>0.76306000000001006</v>
      </c>
      <c r="I496" s="26" t="s">
        <v>1230</v>
      </c>
      <c r="J496" s="26" t="s">
        <v>1231</v>
      </c>
      <c r="K496" s="26" t="b">
        <v>0</v>
      </c>
      <c r="L496" s="26">
        <v>4</v>
      </c>
    </row>
    <row r="497" spans="1:12" x14ac:dyDescent="0.25">
      <c r="A497" s="26" t="s">
        <v>1070</v>
      </c>
      <c r="B497" s="26" t="s">
        <v>1066</v>
      </c>
      <c r="C497" s="26" t="s">
        <v>1235</v>
      </c>
      <c r="D497" s="26" t="s">
        <v>527</v>
      </c>
      <c r="E497" s="26">
        <v>100</v>
      </c>
      <c r="F497" s="26">
        <v>98.509630000000016</v>
      </c>
      <c r="G497" s="26">
        <v>-1.490369999999984</v>
      </c>
      <c r="H497" s="26">
        <v>1.490369999999984</v>
      </c>
      <c r="I497" s="26" t="s">
        <v>1230</v>
      </c>
      <c r="J497" s="26" t="s">
        <v>1231</v>
      </c>
      <c r="K497" s="26" t="b">
        <v>0</v>
      </c>
      <c r="L497" s="26">
        <v>5</v>
      </c>
    </row>
    <row r="498" spans="1:12" x14ac:dyDescent="0.25">
      <c r="A498" s="26" t="s">
        <v>1071</v>
      </c>
      <c r="B498" s="26" t="s">
        <v>1066</v>
      </c>
      <c r="C498" s="26" t="s">
        <v>1236</v>
      </c>
      <c r="D498" s="26" t="s">
        <v>527</v>
      </c>
      <c r="E498" s="26">
        <v>112</v>
      </c>
      <c r="F498" s="26">
        <v>109.749441</v>
      </c>
      <c r="G498" s="26">
        <v>-2.2505589999999809</v>
      </c>
      <c r="H498" s="26">
        <v>2.2505589999999809</v>
      </c>
      <c r="I498" s="26" t="s">
        <v>1230</v>
      </c>
      <c r="J498" s="26" t="s">
        <v>1231</v>
      </c>
      <c r="K498" s="26" t="b">
        <v>0</v>
      </c>
      <c r="L498" s="26">
        <v>1</v>
      </c>
    </row>
    <row r="499" spans="1:12" x14ac:dyDescent="0.25">
      <c r="A499" s="26" t="s">
        <v>1072</v>
      </c>
      <c r="B499" s="26" t="s">
        <v>1066</v>
      </c>
      <c r="C499" s="26" t="s">
        <v>1237</v>
      </c>
      <c r="D499" s="26" t="s">
        <v>527</v>
      </c>
      <c r="E499" s="26">
        <v>94</v>
      </c>
      <c r="F499" s="26">
        <v>96.422027</v>
      </c>
      <c r="G499" s="26">
        <v>2.4220269999999999</v>
      </c>
      <c r="H499" s="26">
        <v>2.4220269999999999</v>
      </c>
      <c r="I499" s="26" t="s">
        <v>1230</v>
      </c>
      <c r="J499" s="26" t="s">
        <v>1231</v>
      </c>
      <c r="K499" s="26" t="b">
        <v>0</v>
      </c>
      <c r="L499" s="26">
        <v>2</v>
      </c>
    </row>
    <row r="500" spans="1:12" x14ac:dyDescent="0.25">
      <c r="A500" s="26" t="s">
        <v>1073</v>
      </c>
      <c r="B500" s="26" t="s">
        <v>1066</v>
      </c>
      <c r="C500" s="26" t="s">
        <v>1238</v>
      </c>
      <c r="D500" s="26" t="s">
        <v>527</v>
      </c>
      <c r="E500" s="26">
        <v>105</v>
      </c>
      <c r="F500" s="26">
        <v>106.278251</v>
      </c>
      <c r="G500" s="26">
        <v>1.278251000000012</v>
      </c>
      <c r="H500" s="26">
        <v>1.278251000000012</v>
      </c>
      <c r="I500" s="26" t="s">
        <v>1230</v>
      </c>
      <c r="J500" s="26" t="s">
        <v>1231</v>
      </c>
      <c r="K500" s="26" t="b">
        <v>0</v>
      </c>
      <c r="L500" s="26">
        <v>3</v>
      </c>
    </row>
    <row r="501" spans="1:12" x14ac:dyDescent="0.25">
      <c r="A501" s="26" t="s">
        <v>1074</v>
      </c>
      <c r="B501" s="26" t="s">
        <v>1066</v>
      </c>
      <c r="C501" s="26" t="s">
        <v>1239</v>
      </c>
      <c r="D501" s="26" t="s">
        <v>527</v>
      </c>
      <c r="E501" s="26">
        <v>98</v>
      </c>
      <c r="F501" s="26">
        <v>98.279847000000018</v>
      </c>
      <c r="G501" s="26">
        <v>0.27984700000001789</v>
      </c>
      <c r="H501" s="26">
        <v>0.27984700000001789</v>
      </c>
      <c r="I501" s="26" t="s">
        <v>1230</v>
      </c>
      <c r="J501" s="26" t="s">
        <v>1231</v>
      </c>
      <c r="K501" s="26" t="b">
        <v>0</v>
      </c>
      <c r="L501" s="26">
        <v>4</v>
      </c>
    </row>
    <row r="502" spans="1:12" x14ac:dyDescent="0.25">
      <c r="A502" s="26" t="s">
        <v>1075</v>
      </c>
      <c r="B502" s="26" t="s">
        <v>1066</v>
      </c>
      <c r="C502" s="26" t="s">
        <v>1240</v>
      </c>
      <c r="D502" s="26" t="s">
        <v>527</v>
      </c>
      <c r="E502" s="26">
        <v>92</v>
      </c>
      <c r="F502" s="26">
        <v>95.199776999999997</v>
      </c>
      <c r="G502" s="26">
        <v>3.199776999999997</v>
      </c>
      <c r="H502" s="26">
        <v>3.199776999999997</v>
      </c>
      <c r="I502" s="26" t="s">
        <v>1230</v>
      </c>
      <c r="J502" s="26" t="s">
        <v>1231</v>
      </c>
      <c r="K502" s="26" t="b">
        <v>0</v>
      </c>
      <c r="L502" s="26">
        <v>5</v>
      </c>
    </row>
    <row r="503" spans="1:12" x14ac:dyDescent="0.25">
      <c r="A503" s="26" t="s">
        <v>525</v>
      </c>
      <c r="B503" s="26" t="s">
        <v>526</v>
      </c>
      <c r="C503" s="26" t="s">
        <v>1238</v>
      </c>
      <c r="D503" s="26" t="s">
        <v>1076</v>
      </c>
      <c r="E503" s="26">
        <v>248</v>
      </c>
      <c r="F503" s="26">
        <v>245.04061999999999</v>
      </c>
      <c r="G503" s="26">
        <v>-2.9593800000000101</v>
      </c>
      <c r="H503" s="26">
        <v>2.9593800000000101</v>
      </c>
      <c r="I503" s="26" t="s">
        <v>1230</v>
      </c>
      <c r="J503" s="26" t="s">
        <v>1231</v>
      </c>
      <c r="K503" s="26" t="b">
        <v>0</v>
      </c>
      <c r="L503" s="26">
        <v>1</v>
      </c>
    </row>
    <row r="504" spans="1:12" x14ac:dyDescent="0.25">
      <c r="A504" s="26" t="s">
        <v>528</v>
      </c>
      <c r="B504" s="26" t="s">
        <v>526</v>
      </c>
      <c r="C504" s="26" t="s">
        <v>1241</v>
      </c>
      <c r="D504" s="26" t="s">
        <v>1076</v>
      </c>
      <c r="E504" s="26">
        <v>342</v>
      </c>
      <c r="F504" s="26">
        <v>342.89075000000003</v>
      </c>
      <c r="G504" s="26">
        <v>0.89075000000002547</v>
      </c>
      <c r="H504" s="26">
        <v>0.89075000000002547</v>
      </c>
      <c r="I504" s="26" t="s">
        <v>1230</v>
      </c>
      <c r="J504" s="26" t="s">
        <v>1231</v>
      </c>
      <c r="K504" s="26" t="b">
        <v>0</v>
      </c>
      <c r="L504" s="26">
        <v>2</v>
      </c>
    </row>
    <row r="505" spans="1:12" x14ac:dyDescent="0.25">
      <c r="A505" s="26" t="s">
        <v>529</v>
      </c>
      <c r="B505" s="26" t="s">
        <v>526</v>
      </c>
      <c r="C505" s="26" t="s">
        <v>1242</v>
      </c>
      <c r="D505" s="26" t="s">
        <v>1076</v>
      </c>
      <c r="E505" s="26">
        <v>243</v>
      </c>
      <c r="F505" s="26">
        <v>246.55839</v>
      </c>
      <c r="G505" s="26">
        <v>3.5583900000000028</v>
      </c>
      <c r="H505" s="26">
        <v>3.5583900000000028</v>
      </c>
      <c r="I505" s="26" t="s">
        <v>1230</v>
      </c>
      <c r="J505" s="26" t="s">
        <v>1231</v>
      </c>
      <c r="K505" s="26" t="b">
        <v>0</v>
      </c>
      <c r="L505" s="26">
        <v>3</v>
      </c>
    </row>
    <row r="506" spans="1:12" x14ac:dyDescent="0.25">
      <c r="A506" s="26" t="s">
        <v>530</v>
      </c>
      <c r="B506" s="26" t="s">
        <v>526</v>
      </c>
      <c r="C506" s="26" t="s">
        <v>1243</v>
      </c>
      <c r="D506" s="26" t="s">
        <v>1076</v>
      </c>
      <c r="E506" s="26">
        <v>230</v>
      </c>
      <c r="F506" s="26">
        <v>229.56</v>
      </c>
      <c r="G506" s="26">
        <v>-0.43999999999999773</v>
      </c>
      <c r="H506" s="26">
        <v>0.43999999999999773</v>
      </c>
      <c r="I506" s="26" t="s">
        <v>1230</v>
      </c>
      <c r="J506" s="26" t="s">
        <v>1231</v>
      </c>
      <c r="K506" s="26" t="b">
        <v>0</v>
      </c>
      <c r="L506" s="26">
        <v>4</v>
      </c>
    </row>
    <row r="507" spans="1:12" x14ac:dyDescent="0.25">
      <c r="A507" s="26" t="s">
        <v>531</v>
      </c>
      <c r="B507" s="26" t="s">
        <v>526</v>
      </c>
      <c r="C507" s="26" t="s">
        <v>1244</v>
      </c>
      <c r="D507" s="26" t="s">
        <v>1076</v>
      </c>
      <c r="E507" s="26">
        <v>229</v>
      </c>
      <c r="F507" s="26">
        <v>231.3250300000002</v>
      </c>
      <c r="G507" s="26">
        <v>2.3250300000001971</v>
      </c>
      <c r="H507" s="26">
        <v>2.3250300000001971</v>
      </c>
      <c r="I507" s="26" t="s">
        <v>1230</v>
      </c>
      <c r="J507" s="26" t="s">
        <v>1231</v>
      </c>
      <c r="K507" s="26" t="b">
        <v>0</v>
      </c>
      <c r="L507" s="26">
        <v>5</v>
      </c>
    </row>
    <row r="508" spans="1:12" x14ac:dyDescent="0.25">
      <c r="A508" s="26" t="s">
        <v>532</v>
      </c>
      <c r="B508" s="26" t="s">
        <v>526</v>
      </c>
      <c r="C508" s="26" t="s">
        <v>1245</v>
      </c>
      <c r="D508" s="26" t="s">
        <v>1076</v>
      </c>
      <c r="E508" s="26">
        <v>246</v>
      </c>
      <c r="F508" s="26">
        <v>247.5603400000002</v>
      </c>
      <c r="G508" s="26">
        <v>1.5603400000002241</v>
      </c>
      <c r="H508" s="26">
        <v>1.5603400000002241</v>
      </c>
      <c r="I508" s="26" t="s">
        <v>1230</v>
      </c>
      <c r="J508" s="26" t="s">
        <v>1231</v>
      </c>
      <c r="K508" s="26" t="b">
        <v>0</v>
      </c>
      <c r="L508" s="26">
        <v>1</v>
      </c>
    </row>
    <row r="509" spans="1:12" x14ac:dyDescent="0.25">
      <c r="A509" s="26" t="s">
        <v>533</v>
      </c>
      <c r="B509" s="26" t="s">
        <v>526</v>
      </c>
      <c r="C509" s="26" t="s">
        <v>1246</v>
      </c>
      <c r="D509" s="26" t="s">
        <v>1076</v>
      </c>
      <c r="E509" s="26">
        <v>263</v>
      </c>
      <c r="F509" s="26">
        <v>262.51</v>
      </c>
      <c r="G509" s="26">
        <v>-0.49000000000000909</v>
      </c>
      <c r="H509" s="26">
        <v>0.49000000000000909</v>
      </c>
      <c r="I509" s="26" t="s">
        <v>1230</v>
      </c>
      <c r="J509" s="26" t="s">
        <v>1231</v>
      </c>
      <c r="K509" s="26" t="b">
        <v>0</v>
      </c>
      <c r="L509" s="26">
        <v>2</v>
      </c>
    </row>
    <row r="510" spans="1:12" x14ac:dyDescent="0.25">
      <c r="A510" s="26" t="s">
        <v>534</v>
      </c>
      <c r="B510" s="26" t="s">
        <v>526</v>
      </c>
      <c r="C510" s="26" t="s">
        <v>1247</v>
      </c>
      <c r="D510" s="26" t="s">
        <v>1076</v>
      </c>
      <c r="E510" s="26">
        <v>300</v>
      </c>
      <c r="F510" s="26">
        <v>299.22230999999999</v>
      </c>
      <c r="G510" s="26">
        <v>-0.77769000000000688</v>
      </c>
      <c r="H510" s="26">
        <v>0.77769000000000688</v>
      </c>
      <c r="I510" s="26" t="s">
        <v>1230</v>
      </c>
      <c r="J510" s="26" t="s">
        <v>1231</v>
      </c>
      <c r="K510" s="26" t="b">
        <v>0</v>
      </c>
      <c r="L510" s="26">
        <v>3</v>
      </c>
    </row>
    <row r="511" spans="1:12" x14ac:dyDescent="0.25">
      <c r="A511" s="26" t="s">
        <v>535</v>
      </c>
      <c r="B511" s="26" t="s">
        <v>526</v>
      </c>
      <c r="C511" s="26" t="s">
        <v>1248</v>
      </c>
      <c r="D511" s="26" t="s">
        <v>1076</v>
      </c>
      <c r="E511" s="26">
        <v>218</v>
      </c>
      <c r="F511" s="26">
        <v>221.28559000000001</v>
      </c>
      <c r="G511" s="26">
        <v>3.2855900000000129</v>
      </c>
      <c r="H511" s="26">
        <v>3.2855900000000129</v>
      </c>
      <c r="I511" s="26" t="s">
        <v>1230</v>
      </c>
      <c r="J511" s="26" t="s">
        <v>1231</v>
      </c>
      <c r="K511" s="26" t="b">
        <v>0</v>
      </c>
      <c r="L511" s="26">
        <v>4</v>
      </c>
    </row>
    <row r="512" spans="1:12" x14ac:dyDescent="0.25">
      <c r="A512" s="26" t="s">
        <v>536</v>
      </c>
      <c r="B512" s="26" t="s">
        <v>526</v>
      </c>
      <c r="C512" s="26" t="s">
        <v>1249</v>
      </c>
      <c r="D512" s="26" t="s">
        <v>1076</v>
      </c>
      <c r="E512" s="26">
        <v>322</v>
      </c>
      <c r="F512" s="26">
        <v>321.48606999999998</v>
      </c>
      <c r="G512" s="26">
        <v>-0.51393000000001621</v>
      </c>
      <c r="H512" s="26">
        <v>0.51393000000001621</v>
      </c>
      <c r="I512" s="26" t="s">
        <v>1230</v>
      </c>
      <c r="J512" s="26" t="s">
        <v>1231</v>
      </c>
      <c r="K512" s="26" t="b">
        <v>0</v>
      </c>
      <c r="L512" s="26">
        <v>5</v>
      </c>
    </row>
    <row r="513" spans="1:12" x14ac:dyDescent="0.25">
      <c r="A513" s="26" t="s">
        <v>537</v>
      </c>
      <c r="B513" s="26" t="s">
        <v>538</v>
      </c>
      <c r="C513" s="26" t="s">
        <v>1238</v>
      </c>
      <c r="D513" s="26" t="s">
        <v>1076</v>
      </c>
      <c r="E513" s="26">
        <v>227</v>
      </c>
      <c r="F513" s="26">
        <v>230.9682100000002</v>
      </c>
      <c r="G513" s="26">
        <v>3.9682100000002269</v>
      </c>
      <c r="H513" s="26">
        <v>3.9682100000002269</v>
      </c>
      <c r="I513" s="26" t="s">
        <v>1230</v>
      </c>
      <c r="J513" s="26" t="s">
        <v>1231</v>
      </c>
      <c r="K513" s="26" t="b">
        <v>0</v>
      </c>
      <c r="L513" s="26">
        <v>1</v>
      </c>
    </row>
    <row r="514" spans="1:12" x14ac:dyDescent="0.25">
      <c r="A514" s="26" t="s">
        <v>539</v>
      </c>
      <c r="B514" s="26" t="s">
        <v>538</v>
      </c>
      <c r="C514" s="26" t="s">
        <v>1241</v>
      </c>
      <c r="D514" s="26" t="s">
        <v>1076</v>
      </c>
      <c r="E514" s="26">
        <v>325</v>
      </c>
      <c r="F514" s="26">
        <v>327.21265</v>
      </c>
      <c r="G514" s="26">
        <v>2.212649999999996</v>
      </c>
      <c r="H514" s="26">
        <v>2.212649999999996</v>
      </c>
      <c r="I514" s="26" t="s">
        <v>1230</v>
      </c>
      <c r="J514" s="26" t="s">
        <v>1231</v>
      </c>
      <c r="K514" s="26" t="b">
        <v>0</v>
      </c>
      <c r="L514" s="26">
        <v>2</v>
      </c>
    </row>
    <row r="515" spans="1:12" x14ac:dyDescent="0.25">
      <c r="A515" s="26" t="s">
        <v>540</v>
      </c>
      <c r="B515" s="26" t="s">
        <v>538</v>
      </c>
      <c r="C515" s="26" t="s">
        <v>1242</v>
      </c>
      <c r="D515" s="26" t="s">
        <v>1076</v>
      </c>
      <c r="E515" s="26">
        <v>171</v>
      </c>
      <c r="F515" s="26">
        <v>168.58418000000029</v>
      </c>
      <c r="G515" s="26">
        <v>-2.4158199999997119</v>
      </c>
      <c r="H515" s="26">
        <v>2.4158199999997119</v>
      </c>
      <c r="I515" s="26" t="s">
        <v>1230</v>
      </c>
      <c r="J515" s="26" t="s">
        <v>1231</v>
      </c>
      <c r="K515" s="26" t="b">
        <v>0</v>
      </c>
      <c r="L515" s="26">
        <v>3</v>
      </c>
    </row>
    <row r="516" spans="1:12" x14ac:dyDescent="0.25">
      <c r="A516" s="26" t="s">
        <v>541</v>
      </c>
      <c r="B516" s="26" t="s">
        <v>538</v>
      </c>
      <c r="C516" s="26" t="s">
        <v>1243</v>
      </c>
      <c r="D516" s="26" t="s">
        <v>1076</v>
      </c>
      <c r="E516" s="26">
        <v>316</v>
      </c>
      <c r="F516" s="26">
        <v>315.52</v>
      </c>
      <c r="G516" s="26">
        <v>-0.48000000000001819</v>
      </c>
      <c r="H516" s="26">
        <v>0.48000000000001819</v>
      </c>
      <c r="I516" s="26" t="s">
        <v>1230</v>
      </c>
      <c r="J516" s="26" t="s">
        <v>1231</v>
      </c>
      <c r="K516" s="26" t="b">
        <v>0</v>
      </c>
      <c r="L516" s="26">
        <v>4</v>
      </c>
    </row>
    <row r="517" spans="1:12" x14ac:dyDescent="0.25">
      <c r="A517" s="26" t="s">
        <v>542</v>
      </c>
      <c r="B517" s="26" t="s">
        <v>538</v>
      </c>
      <c r="C517" s="26" t="s">
        <v>1244</v>
      </c>
      <c r="D517" s="26" t="s">
        <v>1076</v>
      </c>
      <c r="E517" s="26">
        <v>251</v>
      </c>
      <c r="F517" s="26">
        <v>251.69</v>
      </c>
      <c r="G517" s="26">
        <v>0.68999999999999773</v>
      </c>
      <c r="H517" s="26">
        <v>0.68999999999999773</v>
      </c>
      <c r="I517" s="26" t="s">
        <v>1230</v>
      </c>
      <c r="J517" s="26" t="s">
        <v>1231</v>
      </c>
      <c r="K517" s="26" t="b">
        <v>0</v>
      </c>
      <c r="L517" s="26">
        <v>5</v>
      </c>
    </row>
    <row r="518" spans="1:12" x14ac:dyDescent="0.25">
      <c r="A518" s="26" t="s">
        <v>543</v>
      </c>
      <c r="B518" s="26" t="s">
        <v>538</v>
      </c>
      <c r="C518" s="26" t="s">
        <v>1245</v>
      </c>
      <c r="D518" s="26" t="s">
        <v>1076</v>
      </c>
      <c r="E518" s="26">
        <v>287</v>
      </c>
      <c r="F518" s="26">
        <v>290.56814000000003</v>
      </c>
      <c r="G518" s="26">
        <v>3.5681400000000281</v>
      </c>
      <c r="H518" s="26">
        <v>3.5681400000000281</v>
      </c>
      <c r="I518" s="26" t="s">
        <v>1230</v>
      </c>
      <c r="J518" s="26" t="s">
        <v>1231</v>
      </c>
      <c r="K518" s="26" t="b">
        <v>0</v>
      </c>
      <c r="L518" s="26">
        <v>1</v>
      </c>
    </row>
    <row r="519" spans="1:12" x14ac:dyDescent="0.25">
      <c r="A519" s="26" t="s">
        <v>544</v>
      </c>
      <c r="B519" s="26" t="s">
        <v>538</v>
      </c>
      <c r="C519" s="26" t="s">
        <v>1246</v>
      </c>
      <c r="D519" s="26" t="s">
        <v>1076</v>
      </c>
      <c r="E519" s="26">
        <v>155</v>
      </c>
      <c r="F519" s="26">
        <v>154.77809999999999</v>
      </c>
      <c r="G519" s="26">
        <v>-0.22190000000000509</v>
      </c>
      <c r="H519" s="26">
        <v>0.22190000000000509</v>
      </c>
      <c r="I519" s="26" t="s">
        <v>1230</v>
      </c>
      <c r="J519" s="26" t="s">
        <v>1231</v>
      </c>
      <c r="K519" s="26" t="b">
        <v>0</v>
      </c>
      <c r="L519" s="26">
        <v>2</v>
      </c>
    </row>
    <row r="520" spans="1:12" x14ac:dyDescent="0.25">
      <c r="A520" s="26" t="s">
        <v>545</v>
      </c>
      <c r="B520" s="26" t="s">
        <v>538</v>
      </c>
      <c r="C520" s="26" t="s">
        <v>1247</v>
      </c>
      <c r="D520" s="26" t="s">
        <v>1076</v>
      </c>
      <c r="E520" s="26">
        <v>209</v>
      </c>
      <c r="F520" s="26">
        <v>206.1097500000003</v>
      </c>
      <c r="G520" s="26">
        <v>-2.8902499999996958</v>
      </c>
      <c r="H520" s="26">
        <v>2.8902499999996958</v>
      </c>
      <c r="I520" s="26" t="s">
        <v>1230</v>
      </c>
      <c r="J520" s="26" t="s">
        <v>1231</v>
      </c>
      <c r="K520" s="26" t="b">
        <v>0</v>
      </c>
      <c r="L520" s="26">
        <v>3</v>
      </c>
    </row>
    <row r="521" spans="1:12" x14ac:dyDescent="0.25">
      <c r="A521" s="26" t="s">
        <v>546</v>
      </c>
      <c r="B521" s="26" t="s">
        <v>538</v>
      </c>
      <c r="C521" s="26" t="s">
        <v>1248</v>
      </c>
      <c r="D521" s="26" t="s">
        <v>1076</v>
      </c>
      <c r="E521" s="26">
        <v>343</v>
      </c>
      <c r="F521" s="26">
        <v>344.51389999999998</v>
      </c>
      <c r="G521" s="26">
        <v>1.513899999999978</v>
      </c>
      <c r="H521" s="26">
        <v>1.513899999999978</v>
      </c>
      <c r="I521" s="26" t="s">
        <v>1230</v>
      </c>
      <c r="J521" s="26" t="s">
        <v>1231</v>
      </c>
      <c r="K521" s="26" t="b">
        <v>0</v>
      </c>
      <c r="L521" s="26">
        <v>4</v>
      </c>
    </row>
    <row r="522" spans="1:12" x14ac:dyDescent="0.25">
      <c r="A522" s="26" t="s">
        <v>547</v>
      </c>
      <c r="B522" s="26" t="s">
        <v>538</v>
      </c>
      <c r="C522" s="26" t="s">
        <v>1249</v>
      </c>
      <c r="D522" s="26" t="s">
        <v>1076</v>
      </c>
      <c r="E522" s="26">
        <v>389</v>
      </c>
      <c r="F522" s="26">
        <v>389.30128000000002</v>
      </c>
      <c r="G522" s="26">
        <v>0.30128000000001981</v>
      </c>
      <c r="H522" s="26">
        <v>0.30128000000001981</v>
      </c>
      <c r="I522" s="26" t="s">
        <v>1230</v>
      </c>
      <c r="J522" s="26" t="s">
        <v>1231</v>
      </c>
      <c r="K522" s="26" t="b">
        <v>0</v>
      </c>
      <c r="L522" s="26">
        <v>5</v>
      </c>
    </row>
    <row r="523" spans="1:12" x14ac:dyDescent="0.25">
      <c r="A523" s="26" t="s">
        <v>548</v>
      </c>
      <c r="B523" s="26" t="s">
        <v>549</v>
      </c>
      <c r="C523" s="26" t="s">
        <v>1238</v>
      </c>
      <c r="D523" s="26" t="s">
        <v>1076</v>
      </c>
      <c r="E523" s="26">
        <v>279</v>
      </c>
      <c r="F523" s="26">
        <v>278.52</v>
      </c>
      <c r="G523" s="26">
        <v>-0.48000000000001819</v>
      </c>
      <c r="H523" s="26">
        <v>0.48000000000001819</v>
      </c>
      <c r="I523" s="26" t="s">
        <v>1230</v>
      </c>
      <c r="J523" s="26" t="s">
        <v>1231</v>
      </c>
      <c r="K523" s="26" t="b">
        <v>0</v>
      </c>
      <c r="L523" s="26">
        <v>1</v>
      </c>
    </row>
    <row r="524" spans="1:12" x14ac:dyDescent="0.25">
      <c r="A524" s="26" t="s">
        <v>550</v>
      </c>
      <c r="B524" s="26" t="s">
        <v>549</v>
      </c>
      <c r="C524" s="26" t="s">
        <v>1241</v>
      </c>
      <c r="D524" s="26" t="s">
        <v>1076</v>
      </c>
      <c r="E524" s="26">
        <v>316</v>
      </c>
      <c r="F524" s="26">
        <v>317.55653000000029</v>
      </c>
      <c r="G524" s="26">
        <v>1.556530000000294</v>
      </c>
      <c r="H524" s="26">
        <v>1.556530000000294</v>
      </c>
      <c r="I524" s="26" t="s">
        <v>1230</v>
      </c>
      <c r="J524" s="26" t="s">
        <v>1231</v>
      </c>
      <c r="K524" s="26" t="b">
        <v>0</v>
      </c>
      <c r="L524" s="26">
        <v>2</v>
      </c>
    </row>
    <row r="525" spans="1:12" x14ac:dyDescent="0.25">
      <c r="A525" s="26" t="s">
        <v>551</v>
      </c>
      <c r="B525" s="26" t="s">
        <v>549</v>
      </c>
      <c r="C525" s="26" t="s">
        <v>1242</v>
      </c>
      <c r="D525" s="26" t="s">
        <v>1076</v>
      </c>
      <c r="E525" s="26">
        <v>388</v>
      </c>
      <c r="F525" s="26">
        <v>387.55271999999991</v>
      </c>
      <c r="G525" s="26">
        <v>-0.4472800000000916</v>
      </c>
      <c r="H525" s="26">
        <v>0.4472800000000916</v>
      </c>
      <c r="I525" s="26" t="s">
        <v>1230</v>
      </c>
      <c r="J525" s="26" t="s">
        <v>1231</v>
      </c>
      <c r="K525" s="26" t="b">
        <v>0</v>
      </c>
      <c r="L525" s="26">
        <v>3</v>
      </c>
    </row>
    <row r="526" spans="1:12" x14ac:dyDescent="0.25">
      <c r="A526" s="26" t="s">
        <v>552</v>
      </c>
      <c r="B526" s="26" t="s">
        <v>549</v>
      </c>
      <c r="C526" s="26" t="s">
        <v>1243</v>
      </c>
      <c r="D526" s="26" t="s">
        <v>1076</v>
      </c>
      <c r="E526" s="26">
        <v>374</v>
      </c>
      <c r="F526" s="26">
        <v>377.13643000000002</v>
      </c>
      <c r="G526" s="26">
        <v>3.136430000000018</v>
      </c>
      <c r="H526" s="26">
        <v>3.136430000000018</v>
      </c>
      <c r="I526" s="26" t="s">
        <v>1230</v>
      </c>
      <c r="J526" s="26" t="s">
        <v>1231</v>
      </c>
      <c r="K526" s="26" t="b">
        <v>0</v>
      </c>
      <c r="L526" s="26">
        <v>4</v>
      </c>
    </row>
    <row r="527" spans="1:12" x14ac:dyDescent="0.25">
      <c r="A527" s="26" t="s">
        <v>553</v>
      </c>
      <c r="B527" s="26" t="s">
        <v>549</v>
      </c>
      <c r="C527" s="26" t="s">
        <v>1244</v>
      </c>
      <c r="D527" s="26" t="s">
        <v>1076</v>
      </c>
      <c r="E527" s="26">
        <v>166</v>
      </c>
      <c r="F527" s="26">
        <v>168.7251</v>
      </c>
      <c r="G527" s="26">
        <v>2.7250999999999981</v>
      </c>
      <c r="H527" s="26">
        <v>2.7250999999999981</v>
      </c>
      <c r="I527" s="26" t="s">
        <v>1230</v>
      </c>
      <c r="J527" s="26" t="s">
        <v>1231</v>
      </c>
      <c r="K527" s="26" t="b">
        <v>0</v>
      </c>
      <c r="L527" s="26">
        <v>5</v>
      </c>
    </row>
    <row r="528" spans="1:12" x14ac:dyDescent="0.25">
      <c r="A528" s="26" t="s">
        <v>554</v>
      </c>
      <c r="B528" s="26" t="s">
        <v>549</v>
      </c>
      <c r="C528" s="26" t="s">
        <v>1245</v>
      </c>
      <c r="D528" s="26" t="s">
        <v>1076</v>
      </c>
      <c r="E528" s="26">
        <v>220</v>
      </c>
      <c r="F528" s="26">
        <v>219.13368000000011</v>
      </c>
      <c r="G528" s="26">
        <v>-0.86631999999985965</v>
      </c>
      <c r="H528" s="26">
        <v>0.86631999999985965</v>
      </c>
      <c r="I528" s="26" t="s">
        <v>1230</v>
      </c>
      <c r="J528" s="26" t="s">
        <v>1231</v>
      </c>
      <c r="K528" s="26" t="b">
        <v>0</v>
      </c>
      <c r="L528" s="26">
        <v>1</v>
      </c>
    </row>
    <row r="529" spans="1:12" x14ac:dyDescent="0.25">
      <c r="A529" s="26" t="s">
        <v>555</v>
      </c>
      <c r="B529" s="26" t="s">
        <v>549</v>
      </c>
      <c r="C529" s="26" t="s">
        <v>1246</v>
      </c>
      <c r="D529" s="26" t="s">
        <v>1076</v>
      </c>
      <c r="E529" s="26">
        <v>246</v>
      </c>
      <c r="F529" s="26">
        <v>246.83766</v>
      </c>
      <c r="G529" s="26">
        <v>0.83765999999999963</v>
      </c>
      <c r="H529" s="26">
        <v>0.83765999999999963</v>
      </c>
      <c r="I529" s="26" t="s">
        <v>1230</v>
      </c>
      <c r="J529" s="26" t="s">
        <v>1231</v>
      </c>
      <c r="K529" s="26" t="b">
        <v>0</v>
      </c>
      <c r="L529" s="26">
        <v>2</v>
      </c>
    </row>
    <row r="530" spans="1:12" x14ac:dyDescent="0.25">
      <c r="A530" s="26" t="s">
        <v>556</v>
      </c>
      <c r="B530" s="26" t="s">
        <v>549</v>
      </c>
      <c r="C530" s="26" t="s">
        <v>1247</v>
      </c>
      <c r="D530" s="26" t="s">
        <v>1076</v>
      </c>
      <c r="E530" s="26">
        <v>369</v>
      </c>
      <c r="F530" s="26">
        <v>365.01359000000002</v>
      </c>
      <c r="G530" s="26">
        <v>-3.986409999999978</v>
      </c>
      <c r="H530" s="26">
        <v>3.986409999999978</v>
      </c>
      <c r="I530" s="26" t="s">
        <v>1230</v>
      </c>
      <c r="J530" s="26" t="s">
        <v>1231</v>
      </c>
      <c r="K530" s="26" t="b">
        <v>0</v>
      </c>
      <c r="L530" s="26">
        <v>3</v>
      </c>
    </row>
    <row r="531" spans="1:12" x14ac:dyDescent="0.25">
      <c r="A531" s="26" t="s">
        <v>557</v>
      </c>
      <c r="B531" s="26" t="s">
        <v>549</v>
      </c>
      <c r="C531" s="26" t="s">
        <v>1248</v>
      </c>
      <c r="D531" s="26" t="s">
        <v>1076</v>
      </c>
      <c r="E531" s="26">
        <v>195</v>
      </c>
      <c r="F531" s="26">
        <v>198.28169</v>
      </c>
      <c r="G531" s="26">
        <v>3.281689999999998</v>
      </c>
      <c r="H531" s="26">
        <v>3.281689999999998</v>
      </c>
      <c r="I531" s="26" t="s">
        <v>1230</v>
      </c>
      <c r="J531" s="26" t="s">
        <v>1231</v>
      </c>
      <c r="K531" s="26" t="b">
        <v>0</v>
      </c>
      <c r="L531" s="26">
        <v>4</v>
      </c>
    </row>
    <row r="532" spans="1:12" x14ac:dyDescent="0.25">
      <c r="A532" s="26" t="s">
        <v>558</v>
      </c>
      <c r="B532" s="26" t="s">
        <v>549</v>
      </c>
      <c r="C532" s="26" t="s">
        <v>1249</v>
      </c>
      <c r="D532" s="26" t="s">
        <v>1076</v>
      </c>
      <c r="E532" s="26">
        <v>262</v>
      </c>
      <c r="F532" s="26">
        <v>264.21193999999991</v>
      </c>
      <c r="G532" s="26">
        <v>2.2119399999999132</v>
      </c>
      <c r="H532" s="26">
        <v>2.2119399999999132</v>
      </c>
      <c r="I532" s="26" t="s">
        <v>1230</v>
      </c>
      <c r="J532" s="26" t="s">
        <v>1231</v>
      </c>
      <c r="K532" s="26" t="b">
        <v>0</v>
      </c>
      <c r="L532" s="26">
        <v>5</v>
      </c>
    </row>
    <row r="533" spans="1:12" x14ac:dyDescent="0.25">
      <c r="A533" s="26" t="s">
        <v>559</v>
      </c>
      <c r="B533" s="26" t="s">
        <v>560</v>
      </c>
      <c r="C533" s="26" t="s">
        <v>1238</v>
      </c>
      <c r="D533" s="26" t="s">
        <v>1076</v>
      </c>
      <c r="E533" s="26">
        <v>352</v>
      </c>
      <c r="F533" s="26">
        <v>354.22302000000002</v>
      </c>
      <c r="G533" s="26">
        <v>2.22302000000002</v>
      </c>
      <c r="H533" s="26">
        <v>2.22302000000002</v>
      </c>
      <c r="I533" s="26" t="s">
        <v>1230</v>
      </c>
      <c r="J533" s="26" t="s">
        <v>1231</v>
      </c>
      <c r="K533" s="26" t="b">
        <v>0</v>
      </c>
      <c r="L533" s="26">
        <v>1</v>
      </c>
    </row>
    <row r="534" spans="1:12" x14ac:dyDescent="0.25">
      <c r="A534" s="26" t="s">
        <v>561</v>
      </c>
      <c r="B534" s="26" t="s">
        <v>560</v>
      </c>
      <c r="C534" s="26" t="s">
        <v>1241</v>
      </c>
      <c r="D534" s="26" t="s">
        <v>1076</v>
      </c>
      <c r="E534" s="26">
        <v>303</v>
      </c>
      <c r="F534" s="26">
        <v>301.52</v>
      </c>
      <c r="G534" s="26">
        <v>-1.480000000000018</v>
      </c>
      <c r="H534" s="26">
        <v>1.480000000000018</v>
      </c>
      <c r="I534" s="26" t="s">
        <v>1230</v>
      </c>
      <c r="J534" s="26" t="s">
        <v>1231</v>
      </c>
      <c r="K534" s="26" t="b">
        <v>0</v>
      </c>
      <c r="L534" s="26">
        <v>2</v>
      </c>
    </row>
    <row r="535" spans="1:12" x14ac:dyDescent="0.25">
      <c r="A535" s="26" t="s">
        <v>562</v>
      </c>
      <c r="B535" s="26" t="s">
        <v>560</v>
      </c>
      <c r="C535" s="26" t="s">
        <v>1242</v>
      </c>
      <c r="D535" s="26" t="s">
        <v>1076</v>
      </c>
      <c r="E535" s="26">
        <v>309</v>
      </c>
      <c r="F535" s="26">
        <v>308.45761999999991</v>
      </c>
      <c r="G535" s="26">
        <v>-0.54238000000009379</v>
      </c>
      <c r="H535" s="26">
        <v>0.54238000000009379</v>
      </c>
      <c r="I535" s="26" t="s">
        <v>1230</v>
      </c>
      <c r="J535" s="26" t="s">
        <v>1231</v>
      </c>
      <c r="K535" s="26" t="b">
        <v>0</v>
      </c>
      <c r="L535" s="26">
        <v>3</v>
      </c>
    </row>
    <row r="536" spans="1:12" x14ac:dyDescent="0.25">
      <c r="A536" s="26" t="s">
        <v>563</v>
      </c>
      <c r="B536" s="26" t="s">
        <v>560</v>
      </c>
      <c r="C536" s="26" t="s">
        <v>1243</v>
      </c>
      <c r="D536" s="26" t="s">
        <v>1076</v>
      </c>
      <c r="E536" s="26">
        <v>253</v>
      </c>
      <c r="F536" s="26">
        <v>252.48731000000001</v>
      </c>
      <c r="G536" s="26">
        <v>-0.5126899999999921</v>
      </c>
      <c r="H536" s="26">
        <v>0.5126899999999921</v>
      </c>
      <c r="I536" s="26" t="s">
        <v>1230</v>
      </c>
      <c r="J536" s="26" t="s">
        <v>1231</v>
      </c>
      <c r="K536" s="26" t="b">
        <v>0</v>
      </c>
      <c r="L536" s="26">
        <v>4</v>
      </c>
    </row>
    <row r="537" spans="1:12" x14ac:dyDescent="0.25">
      <c r="A537" s="26" t="s">
        <v>564</v>
      </c>
      <c r="B537" s="26" t="s">
        <v>560</v>
      </c>
      <c r="C537" s="26" t="s">
        <v>1244</v>
      </c>
      <c r="D537" s="26" t="s">
        <v>1076</v>
      </c>
      <c r="E537" s="26">
        <v>336</v>
      </c>
      <c r="F537" s="26">
        <v>339.49901</v>
      </c>
      <c r="G537" s="26">
        <v>3.499009999999998</v>
      </c>
      <c r="H537" s="26">
        <v>3.499009999999998</v>
      </c>
      <c r="I537" s="26" t="s">
        <v>1230</v>
      </c>
      <c r="J537" s="26" t="s">
        <v>1231</v>
      </c>
      <c r="K537" s="26" t="b">
        <v>0</v>
      </c>
      <c r="L537" s="26">
        <v>5</v>
      </c>
    </row>
    <row r="538" spans="1:12" x14ac:dyDescent="0.25">
      <c r="A538" s="26" t="s">
        <v>565</v>
      </c>
      <c r="B538" s="26" t="s">
        <v>560</v>
      </c>
      <c r="C538" s="26" t="s">
        <v>1245</v>
      </c>
      <c r="D538" s="26" t="s">
        <v>1076</v>
      </c>
      <c r="E538" s="26">
        <v>326</v>
      </c>
      <c r="F538" s="26">
        <v>325.88427999999999</v>
      </c>
      <c r="G538" s="26">
        <v>-0.1157200000000103</v>
      </c>
      <c r="H538" s="26">
        <v>0.1157200000000103</v>
      </c>
      <c r="I538" s="26" t="s">
        <v>1230</v>
      </c>
      <c r="J538" s="26" t="s">
        <v>1231</v>
      </c>
      <c r="K538" s="26" t="b">
        <v>0</v>
      </c>
      <c r="L538" s="26">
        <v>1</v>
      </c>
    </row>
    <row r="539" spans="1:12" x14ac:dyDescent="0.25">
      <c r="A539" s="26" t="s">
        <v>566</v>
      </c>
      <c r="B539" s="26" t="s">
        <v>560</v>
      </c>
      <c r="C539" s="26" t="s">
        <v>1246</v>
      </c>
      <c r="D539" s="26" t="s">
        <v>1076</v>
      </c>
      <c r="E539" s="26">
        <v>255</v>
      </c>
      <c r="F539" s="26">
        <v>252.4368800000002</v>
      </c>
      <c r="G539" s="26">
        <v>-2.5631199999997989</v>
      </c>
      <c r="H539" s="26">
        <v>2.5631199999997989</v>
      </c>
      <c r="I539" s="26" t="s">
        <v>1230</v>
      </c>
      <c r="J539" s="26" t="s">
        <v>1231</v>
      </c>
      <c r="K539" s="26" t="b">
        <v>0</v>
      </c>
      <c r="L539" s="26">
        <v>2</v>
      </c>
    </row>
    <row r="540" spans="1:12" x14ac:dyDescent="0.25">
      <c r="A540" s="26" t="s">
        <v>567</v>
      </c>
      <c r="B540" s="26" t="s">
        <v>560</v>
      </c>
      <c r="C540" s="26" t="s">
        <v>1247</v>
      </c>
      <c r="D540" s="26" t="s">
        <v>1076</v>
      </c>
      <c r="E540" s="26">
        <v>371</v>
      </c>
      <c r="F540" s="26">
        <v>369.31</v>
      </c>
      <c r="G540" s="26">
        <v>-1.6899999999999979</v>
      </c>
      <c r="H540" s="26">
        <v>1.6899999999999979</v>
      </c>
      <c r="I540" s="26" t="s">
        <v>1230</v>
      </c>
      <c r="J540" s="26" t="s">
        <v>1231</v>
      </c>
      <c r="K540" s="26" t="b">
        <v>0</v>
      </c>
      <c r="L540" s="26">
        <v>3</v>
      </c>
    </row>
    <row r="541" spans="1:12" x14ac:dyDescent="0.25">
      <c r="A541" s="26" t="s">
        <v>568</v>
      </c>
      <c r="B541" s="26" t="s">
        <v>560</v>
      </c>
      <c r="C541" s="26" t="s">
        <v>1248</v>
      </c>
      <c r="D541" s="26" t="s">
        <v>1076</v>
      </c>
      <c r="E541" s="26">
        <v>305</v>
      </c>
      <c r="F541" s="26">
        <v>304.78341999999998</v>
      </c>
      <c r="G541" s="26">
        <v>-0.21658000000002181</v>
      </c>
      <c r="H541" s="26">
        <v>0.21658000000002181</v>
      </c>
      <c r="I541" s="26" t="s">
        <v>1230</v>
      </c>
      <c r="J541" s="26" t="s">
        <v>1231</v>
      </c>
      <c r="K541" s="26" t="b">
        <v>0</v>
      </c>
      <c r="L541" s="26">
        <v>4</v>
      </c>
    </row>
    <row r="542" spans="1:12" x14ac:dyDescent="0.25">
      <c r="A542" s="26" t="s">
        <v>569</v>
      </c>
      <c r="B542" s="26" t="s">
        <v>560</v>
      </c>
      <c r="C542" s="26" t="s">
        <v>1249</v>
      </c>
      <c r="D542" s="26" t="s">
        <v>1076</v>
      </c>
      <c r="E542" s="26">
        <v>246</v>
      </c>
      <c r="F542" s="26">
        <v>243.81373000000011</v>
      </c>
      <c r="G542" s="26">
        <v>-2.1862699999999222</v>
      </c>
      <c r="H542" s="26">
        <v>2.1862699999999222</v>
      </c>
      <c r="I542" s="26" t="s">
        <v>1230</v>
      </c>
      <c r="J542" s="26" t="s">
        <v>1231</v>
      </c>
      <c r="K542" s="26" t="b">
        <v>0</v>
      </c>
      <c r="L542" s="26">
        <v>5</v>
      </c>
    </row>
    <row r="543" spans="1:12" x14ac:dyDescent="0.25">
      <c r="A543" s="26" t="s">
        <v>570</v>
      </c>
      <c r="B543" s="26" t="s">
        <v>571</v>
      </c>
      <c r="C543" s="26" t="s">
        <v>1238</v>
      </c>
      <c r="D543" s="26" t="s">
        <v>1076</v>
      </c>
      <c r="E543" s="26">
        <v>325</v>
      </c>
      <c r="F543" s="26">
        <v>323.49705999999998</v>
      </c>
      <c r="G543" s="26">
        <v>-1.5029400000000239</v>
      </c>
      <c r="H543" s="26">
        <v>1.5029400000000239</v>
      </c>
      <c r="I543" s="26" t="s">
        <v>1230</v>
      </c>
      <c r="J543" s="26" t="s">
        <v>1231</v>
      </c>
      <c r="K543" s="26" t="b">
        <v>0</v>
      </c>
      <c r="L543" s="26">
        <v>1</v>
      </c>
    </row>
    <row r="544" spans="1:12" x14ac:dyDescent="0.25">
      <c r="A544" s="26" t="s">
        <v>572</v>
      </c>
      <c r="B544" s="26" t="s">
        <v>571</v>
      </c>
      <c r="C544" s="26" t="s">
        <v>1241</v>
      </c>
      <c r="D544" s="26" t="s">
        <v>1076</v>
      </c>
      <c r="E544" s="26">
        <v>252</v>
      </c>
      <c r="F544" s="26">
        <v>249.82020000000011</v>
      </c>
      <c r="G544" s="26">
        <v>-2.1797999999998861</v>
      </c>
      <c r="H544" s="26">
        <v>2.1797999999998861</v>
      </c>
      <c r="I544" s="26" t="s">
        <v>1230</v>
      </c>
      <c r="J544" s="26" t="s">
        <v>1231</v>
      </c>
      <c r="K544" s="26" t="b">
        <v>0</v>
      </c>
      <c r="L544" s="26">
        <v>2</v>
      </c>
    </row>
    <row r="545" spans="1:12" x14ac:dyDescent="0.25">
      <c r="A545" s="26" t="s">
        <v>573</v>
      </c>
      <c r="B545" s="26" t="s">
        <v>571</v>
      </c>
      <c r="C545" s="26" t="s">
        <v>1242</v>
      </c>
      <c r="D545" s="26" t="s">
        <v>1076</v>
      </c>
      <c r="E545" s="26">
        <v>272</v>
      </c>
      <c r="F545" s="26">
        <v>272.41880000000037</v>
      </c>
      <c r="G545" s="26">
        <v>0.41880000000037398</v>
      </c>
      <c r="H545" s="26">
        <v>0.41880000000037398</v>
      </c>
      <c r="I545" s="26" t="s">
        <v>1230</v>
      </c>
      <c r="J545" s="26" t="s">
        <v>1231</v>
      </c>
      <c r="K545" s="26" t="b">
        <v>0</v>
      </c>
      <c r="L545" s="26">
        <v>3</v>
      </c>
    </row>
    <row r="546" spans="1:12" x14ac:dyDescent="0.25">
      <c r="A546" s="26" t="s">
        <v>574</v>
      </c>
      <c r="B546" s="26" t="s">
        <v>571</v>
      </c>
      <c r="C546" s="26" t="s">
        <v>1243</v>
      </c>
      <c r="D546" s="26" t="s">
        <v>1076</v>
      </c>
      <c r="E546" s="26">
        <v>315</v>
      </c>
      <c r="F546" s="26">
        <v>318.0322900000001</v>
      </c>
      <c r="G546" s="26">
        <v>3.0322900000001032</v>
      </c>
      <c r="H546" s="26">
        <v>3.0322900000001032</v>
      </c>
      <c r="I546" s="26" t="s">
        <v>1230</v>
      </c>
      <c r="J546" s="26" t="s">
        <v>1231</v>
      </c>
      <c r="K546" s="26" t="b">
        <v>0</v>
      </c>
      <c r="L546" s="26">
        <v>4</v>
      </c>
    </row>
    <row r="547" spans="1:12" x14ac:dyDescent="0.25">
      <c r="A547" s="26" t="s">
        <v>575</v>
      </c>
      <c r="B547" s="26" t="s">
        <v>571</v>
      </c>
      <c r="C547" s="26" t="s">
        <v>1244</v>
      </c>
      <c r="D547" s="26" t="s">
        <v>1076</v>
      </c>
      <c r="E547" s="26">
        <v>206</v>
      </c>
      <c r="F547" s="26">
        <v>204.54997</v>
      </c>
      <c r="G547" s="26">
        <v>-1.4500299999999979</v>
      </c>
      <c r="H547" s="26">
        <v>1.4500299999999979</v>
      </c>
      <c r="I547" s="26" t="s">
        <v>1230</v>
      </c>
      <c r="J547" s="26" t="s">
        <v>1231</v>
      </c>
      <c r="K547" s="26" t="b">
        <v>0</v>
      </c>
      <c r="L547" s="26">
        <v>5</v>
      </c>
    </row>
    <row r="548" spans="1:12" x14ac:dyDescent="0.25">
      <c r="A548" s="26" t="s">
        <v>576</v>
      </c>
      <c r="B548" s="26" t="s">
        <v>571</v>
      </c>
      <c r="C548" s="26" t="s">
        <v>1245</v>
      </c>
      <c r="D548" s="26" t="s">
        <v>1076</v>
      </c>
      <c r="E548" s="26">
        <v>255</v>
      </c>
      <c r="F548" s="26">
        <v>251.06003000000001</v>
      </c>
      <c r="G548" s="26">
        <v>-3.9399699999999882</v>
      </c>
      <c r="H548" s="26">
        <v>3.9399699999999882</v>
      </c>
      <c r="I548" s="26" t="s">
        <v>1230</v>
      </c>
      <c r="J548" s="26" t="s">
        <v>1231</v>
      </c>
      <c r="K548" s="26" t="b">
        <v>0</v>
      </c>
      <c r="L548" s="26">
        <v>1</v>
      </c>
    </row>
    <row r="549" spans="1:12" x14ac:dyDescent="0.25">
      <c r="A549" s="26" t="s">
        <v>577</v>
      </c>
      <c r="B549" s="26" t="s">
        <v>571</v>
      </c>
      <c r="C549" s="26" t="s">
        <v>1246</v>
      </c>
      <c r="D549" s="26" t="s">
        <v>1076</v>
      </c>
      <c r="E549" s="26">
        <v>208</v>
      </c>
      <c r="F549" s="26">
        <v>210.99727999999999</v>
      </c>
      <c r="G549" s="26">
        <v>2.9972799999999888</v>
      </c>
      <c r="H549" s="26">
        <v>2.9972799999999888</v>
      </c>
      <c r="I549" s="26" t="s">
        <v>1230</v>
      </c>
      <c r="J549" s="26" t="s">
        <v>1231</v>
      </c>
      <c r="K549" s="26" t="b">
        <v>0</v>
      </c>
      <c r="L549" s="26">
        <v>2</v>
      </c>
    </row>
    <row r="550" spans="1:12" x14ac:dyDescent="0.25">
      <c r="A550" s="26" t="s">
        <v>578</v>
      </c>
      <c r="B550" s="26" t="s">
        <v>571</v>
      </c>
      <c r="C550" s="26" t="s">
        <v>1247</v>
      </c>
      <c r="D550" s="26" t="s">
        <v>1076</v>
      </c>
      <c r="E550" s="26">
        <v>251</v>
      </c>
      <c r="F550" s="26">
        <v>250.17</v>
      </c>
      <c r="G550" s="26">
        <v>-0.83000000000001251</v>
      </c>
      <c r="H550" s="26">
        <v>0.83000000000001251</v>
      </c>
      <c r="I550" s="26" t="s">
        <v>1230</v>
      </c>
      <c r="J550" s="26" t="s">
        <v>1231</v>
      </c>
      <c r="K550" s="26" t="b">
        <v>0</v>
      </c>
      <c r="L550" s="26">
        <v>3</v>
      </c>
    </row>
    <row r="551" spans="1:12" x14ac:dyDescent="0.25">
      <c r="A551" s="26" t="s">
        <v>579</v>
      </c>
      <c r="B551" s="26" t="s">
        <v>571</v>
      </c>
      <c r="C551" s="26" t="s">
        <v>1248</v>
      </c>
      <c r="D551" s="26" t="s">
        <v>1076</v>
      </c>
      <c r="E551" s="26">
        <v>340</v>
      </c>
      <c r="F551" s="26">
        <v>336.70587</v>
      </c>
      <c r="G551" s="26">
        <v>-3.294129999999996</v>
      </c>
      <c r="H551" s="26">
        <v>3.294129999999996</v>
      </c>
      <c r="I551" s="26" t="s">
        <v>1230</v>
      </c>
      <c r="J551" s="26" t="s">
        <v>1231</v>
      </c>
      <c r="K551" s="26" t="b">
        <v>0</v>
      </c>
      <c r="L551" s="26">
        <v>4</v>
      </c>
    </row>
    <row r="552" spans="1:12" x14ac:dyDescent="0.25">
      <c r="A552" s="26" t="s">
        <v>580</v>
      </c>
      <c r="B552" s="26" t="s">
        <v>571</v>
      </c>
      <c r="C552" s="26" t="s">
        <v>1249</v>
      </c>
      <c r="D552" s="26" t="s">
        <v>1076</v>
      </c>
      <c r="E552" s="26">
        <v>177</v>
      </c>
      <c r="F552" s="26">
        <v>176.52</v>
      </c>
      <c r="G552" s="26">
        <v>-0.47999999999998982</v>
      </c>
      <c r="H552" s="26">
        <v>0.47999999999998982</v>
      </c>
      <c r="I552" s="26" t="s">
        <v>1230</v>
      </c>
      <c r="J552" s="26" t="s">
        <v>1231</v>
      </c>
      <c r="K552" s="26" t="b">
        <v>0</v>
      </c>
      <c r="L552" s="26">
        <v>5</v>
      </c>
    </row>
    <row r="553" spans="1:12" x14ac:dyDescent="0.25">
      <c r="A553" s="26" t="s">
        <v>581</v>
      </c>
      <c r="B553" s="26" t="s">
        <v>582</v>
      </c>
      <c r="C553" s="26" t="s">
        <v>1238</v>
      </c>
      <c r="D553" s="26" t="s">
        <v>1076</v>
      </c>
      <c r="E553" s="26">
        <v>252</v>
      </c>
      <c r="F553" s="26">
        <v>248.45239000000021</v>
      </c>
      <c r="G553" s="26">
        <v>-3.5476099999998501</v>
      </c>
      <c r="H553" s="26">
        <v>3.5476099999998501</v>
      </c>
      <c r="I553" s="26" t="s">
        <v>1230</v>
      </c>
      <c r="J553" s="26" t="s">
        <v>1231</v>
      </c>
      <c r="K553" s="26" t="b">
        <v>0</v>
      </c>
      <c r="L553" s="26">
        <v>1</v>
      </c>
    </row>
    <row r="554" spans="1:12" x14ac:dyDescent="0.25">
      <c r="A554" s="26" t="s">
        <v>583</v>
      </c>
      <c r="B554" s="26" t="s">
        <v>582</v>
      </c>
      <c r="C554" s="26" t="s">
        <v>1241</v>
      </c>
      <c r="D554" s="26" t="s">
        <v>1076</v>
      </c>
      <c r="E554" s="26">
        <v>277</v>
      </c>
      <c r="F554" s="26">
        <v>279.97149000000007</v>
      </c>
      <c r="G554" s="26">
        <v>2.9714900000001312</v>
      </c>
      <c r="H554" s="26">
        <v>2.9714900000001312</v>
      </c>
      <c r="I554" s="26" t="s">
        <v>1230</v>
      </c>
      <c r="J554" s="26" t="s">
        <v>1231</v>
      </c>
      <c r="K554" s="26" t="b">
        <v>0</v>
      </c>
      <c r="L554" s="26">
        <v>2</v>
      </c>
    </row>
    <row r="555" spans="1:12" x14ac:dyDescent="0.25">
      <c r="A555" s="26" t="s">
        <v>584</v>
      </c>
      <c r="B555" s="26" t="s">
        <v>582</v>
      </c>
      <c r="C555" s="26" t="s">
        <v>1242</v>
      </c>
      <c r="D555" s="26" t="s">
        <v>1076</v>
      </c>
      <c r="E555" s="26">
        <v>188</v>
      </c>
      <c r="F555" s="26">
        <v>183.85892999999999</v>
      </c>
      <c r="G555" s="26">
        <v>-4.1410700000000134</v>
      </c>
      <c r="H555" s="26">
        <v>4.1410700000000134</v>
      </c>
      <c r="I555" s="26" t="s">
        <v>1230</v>
      </c>
      <c r="J555" s="26" t="s">
        <v>1231</v>
      </c>
      <c r="K555" s="26" t="b">
        <v>0</v>
      </c>
      <c r="L555" s="26">
        <v>3</v>
      </c>
    </row>
    <row r="556" spans="1:12" x14ac:dyDescent="0.25">
      <c r="A556" s="26" t="s">
        <v>585</v>
      </c>
      <c r="B556" s="26" t="s">
        <v>582</v>
      </c>
      <c r="C556" s="26" t="s">
        <v>1243</v>
      </c>
      <c r="D556" s="26" t="s">
        <v>1076</v>
      </c>
      <c r="E556" s="26">
        <v>303</v>
      </c>
      <c r="F556" s="26">
        <v>299.03937999999999</v>
      </c>
      <c r="G556" s="26">
        <v>-3.9606200000000058</v>
      </c>
      <c r="H556" s="26">
        <v>3.9606200000000058</v>
      </c>
      <c r="I556" s="26" t="s">
        <v>1230</v>
      </c>
      <c r="J556" s="26" t="s">
        <v>1231</v>
      </c>
      <c r="K556" s="26" t="b">
        <v>0</v>
      </c>
      <c r="L556" s="26">
        <v>4</v>
      </c>
    </row>
    <row r="557" spans="1:12" x14ac:dyDescent="0.25">
      <c r="A557" s="26" t="s">
        <v>586</v>
      </c>
      <c r="B557" s="26" t="s">
        <v>582</v>
      </c>
      <c r="C557" s="26" t="s">
        <v>1244</v>
      </c>
      <c r="D557" s="26" t="s">
        <v>1076</v>
      </c>
      <c r="E557" s="26">
        <v>171</v>
      </c>
      <c r="F557" s="26">
        <v>169.56672</v>
      </c>
      <c r="G557" s="26">
        <v>-1.4332799999999959</v>
      </c>
      <c r="H557" s="26">
        <v>1.4332799999999959</v>
      </c>
      <c r="I557" s="26" t="s">
        <v>1230</v>
      </c>
      <c r="J557" s="26" t="s">
        <v>1231</v>
      </c>
      <c r="K557" s="26" t="b">
        <v>0</v>
      </c>
      <c r="L557" s="26">
        <v>5</v>
      </c>
    </row>
    <row r="558" spans="1:12" x14ac:dyDescent="0.25">
      <c r="A558" s="26" t="s">
        <v>587</v>
      </c>
      <c r="B558" s="26" t="s">
        <v>582</v>
      </c>
      <c r="C558" s="26" t="s">
        <v>1245</v>
      </c>
      <c r="D558" s="26" t="s">
        <v>1076</v>
      </c>
      <c r="E558" s="26">
        <v>302</v>
      </c>
      <c r="F558" s="26">
        <v>299.53064999999998</v>
      </c>
      <c r="G558" s="26">
        <v>-2.4693500000000199</v>
      </c>
      <c r="H558" s="26">
        <v>2.4693500000000199</v>
      </c>
      <c r="I558" s="26" t="s">
        <v>1230</v>
      </c>
      <c r="J558" s="26" t="s">
        <v>1231</v>
      </c>
      <c r="K558" s="26" t="b">
        <v>0</v>
      </c>
      <c r="L558" s="26">
        <v>1</v>
      </c>
    </row>
    <row r="559" spans="1:12" x14ac:dyDescent="0.25">
      <c r="A559" s="26" t="s">
        <v>588</v>
      </c>
      <c r="B559" s="26" t="s">
        <v>582</v>
      </c>
      <c r="C559" s="26" t="s">
        <v>1246</v>
      </c>
      <c r="D559" s="26" t="s">
        <v>1076</v>
      </c>
      <c r="E559" s="26">
        <v>299</v>
      </c>
      <c r="F559" s="26">
        <v>301.97086999999999</v>
      </c>
      <c r="G559" s="26">
        <v>2.9708699999999908</v>
      </c>
      <c r="H559" s="26">
        <v>2.9708699999999908</v>
      </c>
      <c r="I559" s="26" t="s">
        <v>1230</v>
      </c>
      <c r="J559" s="26" t="s">
        <v>1231</v>
      </c>
      <c r="K559" s="26" t="b">
        <v>0</v>
      </c>
      <c r="L559" s="26">
        <v>2</v>
      </c>
    </row>
    <row r="560" spans="1:12" x14ac:dyDescent="0.25">
      <c r="A560" s="26" t="s">
        <v>589</v>
      </c>
      <c r="B560" s="26" t="s">
        <v>582</v>
      </c>
      <c r="C560" s="26" t="s">
        <v>1247</v>
      </c>
      <c r="D560" s="26" t="s">
        <v>1076</v>
      </c>
      <c r="E560" s="26">
        <v>203</v>
      </c>
      <c r="F560" s="26">
        <v>206.1097500000003</v>
      </c>
      <c r="G560" s="26">
        <v>3.1097500000003042</v>
      </c>
      <c r="H560" s="26">
        <v>3.1097500000003042</v>
      </c>
      <c r="I560" s="26" t="s">
        <v>1230</v>
      </c>
      <c r="J560" s="26" t="s">
        <v>1231</v>
      </c>
      <c r="K560" s="26" t="b">
        <v>0</v>
      </c>
      <c r="L560" s="26">
        <v>3</v>
      </c>
    </row>
    <row r="561" spans="1:12" x14ac:dyDescent="0.25">
      <c r="A561" s="26" t="s">
        <v>590</v>
      </c>
      <c r="B561" s="26" t="s">
        <v>582</v>
      </c>
      <c r="C561" s="26" t="s">
        <v>1248</v>
      </c>
      <c r="D561" s="26" t="s">
        <v>1076</v>
      </c>
      <c r="E561" s="26">
        <v>256</v>
      </c>
      <c r="F561" s="26">
        <v>252.7937000000002</v>
      </c>
      <c r="G561" s="26">
        <v>-3.2062999999998278</v>
      </c>
      <c r="H561" s="26">
        <v>3.2062999999998278</v>
      </c>
      <c r="I561" s="26" t="s">
        <v>1230</v>
      </c>
      <c r="J561" s="26" t="s">
        <v>1231</v>
      </c>
      <c r="K561" s="26" t="b">
        <v>0</v>
      </c>
      <c r="L561" s="26">
        <v>4</v>
      </c>
    </row>
    <row r="562" spans="1:12" x14ac:dyDescent="0.25">
      <c r="A562" s="26" t="s">
        <v>591</v>
      </c>
      <c r="B562" s="26" t="s">
        <v>582</v>
      </c>
      <c r="C562" s="26" t="s">
        <v>1249</v>
      </c>
      <c r="D562" s="26" t="s">
        <v>1076</v>
      </c>
      <c r="E562" s="26">
        <v>326</v>
      </c>
      <c r="F562" s="26">
        <v>324.96183000000002</v>
      </c>
      <c r="G562" s="26">
        <v>-1.0381699999999801</v>
      </c>
      <c r="H562" s="26">
        <v>1.0381699999999801</v>
      </c>
      <c r="I562" s="26" t="s">
        <v>1230</v>
      </c>
      <c r="J562" s="26" t="s">
        <v>1231</v>
      </c>
      <c r="K562" s="26" t="b">
        <v>0</v>
      </c>
      <c r="L562" s="26">
        <v>5</v>
      </c>
    </row>
    <row r="563" spans="1:12" x14ac:dyDescent="0.25">
      <c r="A563" s="26" t="s">
        <v>592</v>
      </c>
      <c r="B563" s="26" t="s">
        <v>593</v>
      </c>
      <c r="C563" s="26" t="s">
        <v>1238</v>
      </c>
      <c r="D563" s="26" t="s">
        <v>1076</v>
      </c>
      <c r="E563" s="26">
        <v>261</v>
      </c>
      <c r="F563" s="26">
        <v>264.22293000000002</v>
      </c>
      <c r="G563" s="26">
        <v>3.2229300000000189</v>
      </c>
      <c r="H563" s="26">
        <v>3.2229300000000189</v>
      </c>
      <c r="I563" s="26" t="s">
        <v>1230</v>
      </c>
      <c r="J563" s="26" t="s">
        <v>1231</v>
      </c>
      <c r="K563" s="26" t="b">
        <v>0</v>
      </c>
      <c r="L563" s="26">
        <v>1</v>
      </c>
    </row>
    <row r="564" spans="1:12" x14ac:dyDescent="0.25">
      <c r="A564" s="26" t="s">
        <v>594</v>
      </c>
      <c r="B564" s="26" t="s">
        <v>593</v>
      </c>
      <c r="C564" s="26" t="s">
        <v>1241</v>
      </c>
      <c r="D564" s="26" t="s">
        <v>1076</v>
      </c>
      <c r="E564" s="26">
        <v>170</v>
      </c>
      <c r="F564" s="26">
        <v>171.1413900000002</v>
      </c>
      <c r="G564" s="26">
        <v>1.1413900000002291</v>
      </c>
      <c r="H564" s="26">
        <v>1.1413900000002291</v>
      </c>
      <c r="I564" s="26" t="s">
        <v>1230</v>
      </c>
      <c r="J564" s="26" t="s">
        <v>1231</v>
      </c>
      <c r="K564" s="26" t="b">
        <v>0</v>
      </c>
      <c r="L564" s="26">
        <v>2</v>
      </c>
    </row>
    <row r="565" spans="1:12" x14ac:dyDescent="0.25">
      <c r="A565" s="26" t="s">
        <v>595</v>
      </c>
      <c r="B565" s="26" t="s">
        <v>593</v>
      </c>
      <c r="C565" s="26" t="s">
        <v>1242</v>
      </c>
      <c r="D565" s="26" t="s">
        <v>1076</v>
      </c>
      <c r="E565" s="26">
        <v>274</v>
      </c>
      <c r="F565" s="26">
        <v>273.07492000000002</v>
      </c>
      <c r="G565" s="26">
        <v>-0.92507999999997992</v>
      </c>
      <c r="H565" s="26">
        <v>0.92507999999997992</v>
      </c>
      <c r="I565" s="26" t="s">
        <v>1230</v>
      </c>
      <c r="J565" s="26" t="s">
        <v>1231</v>
      </c>
      <c r="K565" s="26" t="b">
        <v>0</v>
      </c>
      <c r="L565" s="26">
        <v>3</v>
      </c>
    </row>
    <row r="566" spans="1:12" x14ac:dyDescent="0.25">
      <c r="A566" s="26" t="s">
        <v>596</v>
      </c>
      <c r="B566" s="26" t="s">
        <v>593</v>
      </c>
      <c r="C566" s="26" t="s">
        <v>1243</v>
      </c>
      <c r="D566" s="26" t="s">
        <v>1076</v>
      </c>
      <c r="E566" s="26">
        <v>288</v>
      </c>
      <c r="F566" s="26">
        <v>288.46665999999999</v>
      </c>
      <c r="G566" s="26">
        <v>0.4666599999999903</v>
      </c>
      <c r="H566" s="26">
        <v>0.4666599999999903</v>
      </c>
      <c r="I566" s="26" t="s">
        <v>1230</v>
      </c>
      <c r="J566" s="26" t="s">
        <v>1231</v>
      </c>
      <c r="K566" s="26" t="b">
        <v>0</v>
      </c>
      <c r="L566" s="26">
        <v>4</v>
      </c>
    </row>
    <row r="567" spans="1:12" x14ac:dyDescent="0.25">
      <c r="A567" s="26" t="s">
        <v>597</v>
      </c>
      <c r="B567" s="26" t="s">
        <v>593</v>
      </c>
      <c r="C567" s="26" t="s">
        <v>1244</v>
      </c>
      <c r="D567" s="26" t="s">
        <v>1076</v>
      </c>
      <c r="E567" s="26">
        <v>293</v>
      </c>
      <c r="F567" s="26">
        <v>293.44272999999998</v>
      </c>
      <c r="G567" s="26">
        <v>0.44272999999998319</v>
      </c>
      <c r="H567" s="26">
        <v>0.44272999999998319</v>
      </c>
      <c r="I567" s="26" t="s">
        <v>1230</v>
      </c>
      <c r="J567" s="26" t="s">
        <v>1231</v>
      </c>
      <c r="K567" s="26" t="b">
        <v>0</v>
      </c>
      <c r="L567" s="26">
        <v>5</v>
      </c>
    </row>
    <row r="568" spans="1:12" x14ac:dyDescent="0.25">
      <c r="A568" s="26" t="s">
        <v>598</v>
      </c>
      <c r="B568" s="26" t="s">
        <v>593</v>
      </c>
      <c r="C568" s="26" t="s">
        <v>1245</v>
      </c>
      <c r="D568" s="26" t="s">
        <v>1076</v>
      </c>
      <c r="E568" s="26">
        <v>320</v>
      </c>
      <c r="F568" s="26">
        <v>318.16000000000003</v>
      </c>
      <c r="G568" s="26">
        <v>-1.839999999999975</v>
      </c>
      <c r="H568" s="26">
        <v>1.839999999999975</v>
      </c>
      <c r="I568" s="26" t="s">
        <v>1230</v>
      </c>
      <c r="J568" s="26" t="s">
        <v>1231</v>
      </c>
      <c r="K568" s="26" t="b">
        <v>0</v>
      </c>
      <c r="L568" s="26">
        <v>1</v>
      </c>
    </row>
    <row r="569" spans="1:12" x14ac:dyDescent="0.25">
      <c r="A569" s="26" t="s">
        <v>599</v>
      </c>
      <c r="B569" s="26" t="s">
        <v>593</v>
      </c>
      <c r="C569" s="26" t="s">
        <v>1246</v>
      </c>
      <c r="D569" s="26" t="s">
        <v>1076</v>
      </c>
      <c r="E569" s="26">
        <v>306</v>
      </c>
      <c r="F569" s="26">
        <v>306.79246000000012</v>
      </c>
      <c r="G569" s="26">
        <v>0.79246000000011918</v>
      </c>
      <c r="H569" s="26">
        <v>0.79246000000011918</v>
      </c>
      <c r="I569" s="26" t="s">
        <v>1230</v>
      </c>
      <c r="J569" s="26" t="s">
        <v>1231</v>
      </c>
      <c r="K569" s="26" t="b">
        <v>0</v>
      </c>
      <c r="L569" s="26">
        <v>2</v>
      </c>
    </row>
    <row r="570" spans="1:12" x14ac:dyDescent="0.25">
      <c r="A570" s="26" t="s">
        <v>600</v>
      </c>
      <c r="B570" s="26" t="s">
        <v>593</v>
      </c>
      <c r="C570" s="26" t="s">
        <v>1247</v>
      </c>
      <c r="D570" s="26" t="s">
        <v>1076</v>
      </c>
      <c r="E570" s="26">
        <v>369</v>
      </c>
      <c r="F570" s="26">
        <v>368.52</v>
      </c>
      <c r="G570" s="26">
        <v>-0.48000000000001819</v>
      </c>
      <c r="H570" s="26">
        <v>0.48000000000001819</v>
      </c>
      <c r="I570" s="26" t="s">
        <v>1230</v>
      </c>
      <c r="J570" s="26" t="s">
        <v>1231</v>
      </c>
      <c r="K570" s="26" t="b">
        <v>0</v>
      </c>
      <c r="L570" s="26">
        <v>3</v>
      </c>
    </row>
    <row r="571" spans="1:12" x14ac:dyDescent="0.25">
      <c r="A571" s="26" t="s">
        <v>601</v>
      </c>
      <c r="B571" s="26" t="s">
        <v>593</v>
      </c>
      <c r="C571" s="26" t="s">
        <v>1248</v>
      </c>
      <c r="D571" s="26" t="s">
        <v>1076</v>
      </c>
      <c r="E571" s="26">
        <v>223</v>
      </c>
      <c r="F571" s="26">
        <v>219.19315000000009</v>
      </c>
      <c r="G571" s="26">
        <v>-3.8068499999999399</v>
      </c>
      <c r="H571" s="26">
        <v>3.8068499999999399</v>
      </c>
      <c r="I571" s="26" t="s">
        <v>1230</v>
      </c>
      <c r="J571" s="26" t="s">
        <v>1231</v>
      </c>
      <c r="K571" s="26" t="b">
        <v>0</v>
      </c>
      <c r="L571" s="26">
        <v>4</v>
      </c>
    </row>
    <row r="572" spans="1:12" x14ac:dyDescent="0.25">
      <c r="A572" s="26" t="s">
        <v>602</v>
      </c>
      <c r="B572" s="26" t="s">
        <v>593</v>
      </c>
      <c r="C572" s="26" t="s">
        <v>1249</v>
      </c>
      <c r="D572" s="26" t="s">
        <v>1076</v>
      </c>
      <c r="E572" s="26">
        <v>169</v>
      </c>
      <c r="F572" s="26">
        <v>165.42322999999999</v>
      </c>
      <c r="G572" s="26">
        <v>-3.57677000000001</v>
      </c>
      <c r="H572" s="26">
        <v>3.57677000000001</v>
      </c>
      <c r="I572" s="26" t="s">
        <v>1230</v>
      </c>
      <c r="J572" s="26" t="s">
        <v>1231</v>
      </c>
      <c r="K572" s="26" t="b">
        <v>0</v>
      </c>
      <c r="L572" s="26">
        <v>5</v>
      </c>
    </row>
    <row r="573" spans="1:12" x14ac:dyDescent="0.25">
      <c r="A573" s="26" t="s">
        <v>603</v>
      </c>
      <c r="B573" s="26" t="s">
        <v>604</v>
      </c>
      <c r="C573" s="26" t="s">
        <v>1238</v>
      </c>
      <c r="D573" s="26" t="s">
        <v>1076</v>
      </c>
      <c r="E573" s="26">
        <v>334</v>
      </c>
      <c r="F573" s="26">
        <v>330.16417000000018</v>
      </c>
      <c r="G573" s="26">
        <v>-3.8358299999997598</v>
      </c>
      <c r="H573" s="26">
        <v>3.8358299999997598</v>
      </c>
      <c r="I573" s="26" t="s">
        <v>1230</v>
      </c>
      <c r="J573" s="26" t="s">
        <v>1231</v>
      </c>
      <c r="K573" s="26" t="b">
        <v>0</v>
      </c>
      <c r="L573" s="26">
        <v>1</v>
      </c>
    </row>
    <row r="574" spans="1:12" x14ac:dyDescent="0.25">
      <c r="A574" s="26" t="s">
        <v>605</v>
      </c>
      <c r="B574" s="26" t="s">
        <v>604</v>
      </c>
      <c r="C574" s="26" t="s">
        <v>1241</v>
      </c>
      <c r="D574" s="26" t="s">
        <v>1076</v>
      </c>
      <c r="E574" s="26">
        <v>277</v>
      </c>
      <c r="F574" s="26">
        <v>276.12</v>
      </c>
      <c r="G574" s="26">
        <v>-0.87999999999999545</v>
      </c>
      <c r="H574" s="26">
        <v>0.87999999999999545</v>
      </c>
      <c r="I574" s="26" t="s">
        <v>1230</v>
      </c>
      <c r="J574" s="26" t="s">
        <v>1231</v>
      </c>
      <c r="K574" s="26" t="b">
        <v>0</v>
      </c>
      <c r="L574" s="26">
        <v>2</v>
      </c>
    </row>
    <row r="575" spans="1:12" x14ac:dyDescent="0.25">
      <c r="A575" s="26" t="s">
        <v>606</v>
      </c>
      <c r="B575" s="26" t="s">
        <v>604</v>
      </c>
      <c r="C575" s="26" t="s">
        <v>1242</v>
      </c>
      <c r="D575" s="26" t="s">
        <v>1076</v>
      </c>
      <c r="E575" s="26">
        <v>209</v>
      </c>
      <c r="F575" s="26">
        <v>209.38060000000019</v>
      </c>
      <c r="G575" s="26">
        <v>0.3806000000001859</v>
      </c>
      <c r="H575" s="26">
        <v>0.3806000000001859</v>
      </c>
      <c r="I575" s="26" t="s">
        <v>1230</v>
      </c>
      <c r="J575" s="26" t="s">
        <v>1231</v>
      </c>
      <c r="K575" s="26" t="b">
        <v>0</v>
      </c>
      <c r="L575" s="26">
        <v>3</v>
      </c>
    </row>
    <row r="576" spans="1:12" x14ac:dyDescent="0.25">
      <c r="A576" s="26" t="s">
        <v>607</v>
      </c>
      <c r="B576" s="26" t="s">
        <v>604</v>
      </c>
      <c r="C576" s="26" t="s">
        <v>1243</v>
      </c>
      <c r="D576" s="26" t="s">
        <v>1076</v>
      </c>
      <c r="E576" s="26">
        <v>363</v>
      </c>
      <c r="F576" s="26">
        <v>362.51</v>
      </c>
      <c r="G576" s="26">
        <v>-0.49000000000000909</v>
      </c>
      <c r="H576" s="26">
        <v>0.49000000000000909</v>
      </c>
      <c r="I576" s="26" t="s">
        <v>1230</v>
      </c>
      <c r="J576" s="26" t="s">
        <v>1231</v>
      </c>
      <c r="K576" s="26" t="b">
        <v>0</v>
      </c>
      <c r="L576" s="26">
        <v>4</v>
      </c>
    </row>
    <row r="577" spans="1:12" x14ac:dyDescent="0.25">
      <c r="A577" s="26" t="s">
        <v>608</v>
      </c>
      <c r="B577" s="26" t="s">
        <v>604</v>
      </c>
      <c r="C577" s="26" t="s">
        <v>1244</v>
      </c>
      <c r="D577" s="26" t="s">
        <v>1076</v>
      </c>
      <c r="E577" s="26">
        <v>227</v>
      </c>
      <c r="F577" s="26">
        <v>226.51</v>
      </c>
      <c r="G577" s="26">
        <v>-0.49000000000000909</v>
      </c>
      <c r="H577" s="26">
        <v>0.49000000000000909</v>
      </c>
      <c r="I577" s="26" t="s">
        <v>1230</v>
      </c>
      <c r="J577" s="26" t="s">
        <v>1231</v>
      </c>
      <c r="K577" s="26" t="b">
        <v>0</v>
      </c>
      <c r="L577" s="26">
        <v>5</v>
      </c>
    </row>
    <row r="578" spans="1:12" x14ac:dyDescent="0.25">
      <c r="A578" s="26" t="s">
        <v>609</v>
      </c>
      <c r="B578" s="26" t="s">
        <v>604</v>
      </c>
      <c r="C578" s="26" t="s">
        <v>1245</v>
      </c>
      <c r="D578" s="26" t="s">
        <v>1076</v>
      </c>
      <c r="E578" s="26">
        <v>343</v>
      </c>
      <c r="F578" s="26">
        <v>341.10018000000002</v>
      </c>
      <c r="G578" s="26">
        <v>-1.899819999999977</v>
      </c>
      <c r="H578" s="26">
        <v>1.899819999999977</v>
      </c>
      <c r="I578" s="26" t="s">
        <v>1230</v>
      </c>
      <c r="J578" s="26" t="s">
        <v>1231</v>
      </c>
      <c r="K578" s="26" t="b">
        <v>0</v>
      </c>
      <c r="L578" s="26">
        <v>1</v>
      </c>
    </row>
    <row r="579" spans="1:12" x14ac:dyDescent="0.25">
      <c r="A579" s="26" t="s">
        <v>610</v>
      </c>
      <c r="B579" s="26" t="s">
        <v>604</v>
      </c>
      <c r="C579" s="26" t="s">
        <v>1246</v>
      </c>
      <c r="D579" s="26" t="s">
        <v>1076</v>
      </c>
      <c r="E579" s="26">
        <v>305</v>
      </c>
      <c r="F579" s="26">
        <v>304.05684000000019</v>
      </c>
      <c r="G579" s="26">
        <v>-0.94315999999980704</v>
      </c>
      <c r="H579" s="26">
        <v>0.94315999999980704</v>
      </c>
      <c r="I579" s="26" t="s">
        <v>1230</v>
      </c>
      <c r="J579" s="26" t="s">
        <v>1231</v>
      </c>
      <c r="K579" s="26" t="b">
        <v>0</v>
      </c>
      <c r="L579" s="26">
        <v>2</v>
      </c>
    </row>
    <row r="580" spans="1:12" x14ac:dyDescent="0.25">
      <c r="A580" s="26" t="s">
        <v>611</v>
      </c>
      <c r="B580" s="26" t="s">
        <v>604</v>
      </c>
      <c r="C580" s="26" t="s">
        <v>1247</v>
      </c>
      <c r="D580" s="26" t="s">
        <v>1076</v>
      </c>
      <c r="E580" s="26">
        <v>365</v>
      </c>
      <c r="F580" s="26">
        <v>367.98709000000031</v>
      </c>
      <c r="G580" s="26">
        <v>2.987090000000308</v>
      </c>
      <c r="H580" s="26">
        <v>2.987090000000308</v>
      </c>
      <c r="I580" s="26" t="s">
        <v>1230</v>
      </c>
      <c r="J580" s="26" t="s">
        <v>1231</v>
      </c>
      <c r="K580" s="26" t="b">
        <v>0</v>
      </c>
      <c r="L580" s="26">
        <v>3</v>
      </c>
    </row>
    <row r="581" spans="1:12" x14ac:dyDescent="0.25">
      <c r="A581" s="26" t="s">
        <v>612</v>
      </c>
      <c r="B581" s="26" t="s">
        <v>604</v>
      </c>
      <c r="C581" s="26" t="s">
        <v>1248</v>
      </c>
      <c r="D581" s="26" t="s">
        <v>1076</v>
      </c>
      <c r="E581" s="26">
        <v>309</v>
      </c>
      <c r="F581" s="26">
        <v>308.21974000000017</v>
      </c>
      <c r="G581" s="26">
        <v>-0.78025999999977103</v>
      </c>
      <c r="H581" s="26">
        <v>0.78025999999977103</v>
      </c>
      <c r="I581" s="26" t="s">
        <v>1230</v>
      </c>
      <c r="J581" s="26" t="s">
        <v>1231</v>
      </c>
      <c r="K581" s="26" t="b">
        <v>0</v>
      </c>
      <c r="L581" s="26">
        <v>4</v>
      </c>
    </row>
    <row r="582" spans="1:12" x14ac:dyDescent="0.25">
      <c r="A582" s="26" t="s">
        <v>613</v>
      </c>
      <c r="B582" s="26" t="s">
        <v>604</v>
      </c>
      <c r="C582" s="26" t="s">
        <v>1249</v>
      </c>
      <c r="D582" s="26" t="s">
        <v>1076</v>
      </c>
      <c r="E582" s="26">
        <v>302</v>
      </c>
      <c r="F582" s="26">
        <v>301.20999999999998</v>
      </c>
      <c r="G582" s="26">
        <v>-0.79000000000002046</v>
      </c>
      <c r="H582" s="26">
        <v>0.79000000000002046</v>
      </c>
      <c r="I582" s="26" t="s">
        <v>1230</v>
      </c>
      <c r="J582" s="26" t="s">
        <v>1231</v>
      </c>
      <c r="K582" s="26" t="b">
        <v>0</v>
      </c>
      <c r="L582" s="26">
        <v>5</v>
      </c>
    </row>
    <row r="583" spans="1:12" x14ac:dyDescent="0.25">
      <c r="A583" s="26" t="s">
        <v>614</v>
      </c>
      <c r="B583" s="26" t="s">
        <v>615</v>
      </c>
      <c r="C583" s="26" t="s">
        <v>1238</v>
      </c>
      <c r="D583" s="26" t="s">
        <v>1076</v>
      </c>
      <c r="E583" s="26">
        <v>243</v>
      </c>
      <c r="F583" s="26">
        <v>244.52736999999999</v>
      </c>
      <c r="G583" s="26">
        <v>1.527370000000019</v>
      </c>
      <c r="H583" s="26">
        <v>1.527370000000019</v>
      </c>
      <c r="I583" s="26" t="s">
        <v>1230</v>
      </c>
      <c r="J583" s="26" t="s">
        <v>1231</v>
      </c>
      <c r="K583" s="26" t="b">
        <v>0</v>
      </c>
      <c r="L583" s="26">
        <v>1</v>
      </c>
    </row>
    <row r="584" spans="1:12" x14ac:dyDescent="0.25">
      <c r="A584" s="26" t="s">
        <v>616</v>
      </c>
      <c r="B584" s="26" t="s">
        <v>615</v>
      </c>
      <c r="C584" s="26" t="s">
        <v>1241</v>
      </c>
      <c r="D584" s="26" t="s">
        <v>1076</v>
      </c>
      <c r="E584" s="26">
        <v>250</v>
      </c>
      <c r="F584" s="26">
        <v>246.25200000000001</v>
      </c>
      <c r="G584" s="26">
        <v>-3.7480000000000468</v>
      </c>
      <c r="H584" s="26">
        <v>3.7480000000000468</v>
      </c>
      <c r="I584" s="26" t="s">
        <v>1230</v>
      </c>
      <c r="J584" s="26" t="s">
        <v>1231</v>
      </c>
      <c r="K584" s="26" t="b">
        <v>0</v>
      </c>
      <c r="L584" s="26">
        <v>2</v>
      </c>
    </row>
    <row r="585" spans="1:12" x14ac:dyDescent="0.25">
      <c r="A585" s="26" t="s">
        <v>617</v>
      </c>
      <c r="B585" s="26" t="s">
        <v>615</v>
      </c>
      <c r="C585" s="26" t="s">
        <v>1242</v>
      </c>
      <c r="D585" s="26" t="s">
        <v>1076</v>
      </c>
      <c r="E585" s="26">
        <v>392</v>
      </c>
      <c r="F585" s="26">
        <v>390.52</v>
      </c>
      <c r="G585" s="26">
        <v>-1.480000000000018</v>
      </c>
      <c r="H585" s="26">
        <v>1.480000000000018</v>
      </c>
      <c r="I585" s="26" t="s">
        <v>1230</v>
      </c>
      <c r="J585" s="26" t="s">
        <v>1231</v>
      </c>
      <c r="K585" s="26" t="b">
        <v>0</v>
      </c>
      <c r="L585" s="26">
        <v>3</v>
      </c>
    </row>
    <row r="586" spans="1:12" x14ac:dyDescent="0.25">
      <c r="A586" s="26" t="s">
        <v>618</v>
      </c>
      <c r="B586" s="26" t="s">
        <v>615</v>
      </c>
      <c r="C586" s="26" t="s">
        <v>1243</v>
      </c>
      <c r="D586" s="26" t="s">
        <v>1076</v>
      </c>
      <c r="E586" s="26">
        <v>256</v>
      </c>
      <c r="F586" s="26">
        <v>259.88162</v>
      </c>
      <c r="G586" s="26">
        <v>3.8816199999999981</v>
      </c>
      <c r="H586" s="26">
        <v>3.8816199999999981</v>
      </c>
      <c r="I586" s="26" t="s">
        <v>1230</v>
      </c>
      <c r="J586" s="26" t="s">
        <v>1231</v>
      </c>
      <c r="K586" s="26" t="b">
        <v>0</v>
      </c>
      <c r="L586" s="26">
        <v>4</v>
      </c>
    </row>
    <row r="587" spans="1:12" x14ac:dyDescent="0.25">
      <c r="A587" s="26" t="s">
        <v>619</v>
      </c>
      <c r="B587" s="26" t="s">
        <v>615</v>
      </c>
      <c r="C587" s="26" t="s">
        <v>1244</v>
      </c>
      <c r="D587" s="26" t="s">
        <v>1076</v>
      </c>
      <c r="E587" s="26">
        <v>284</v>
      </c>
      <c r="F587" s="26">
        <v>284.38972999999999</v>
      </c>
      <c r="G587" s="26">
        <v>0.38972999999998592</v>
      </c>
      <c r="H587" s="26">
        <v>0.38972999999998592</v>
      </c>
      <c r="I587" s="26" t="s">
        <v>1230</v>
      </c>
      <c r="J587" s="26" t="s">
        <v>1231</v>
      </c>
      <c r="K587" s="26" t="b">
        <v>0</v>
      </c>
      <c r="L587" s="26">
        <v>5</v>
      </c>
    </row>
    <row r="588" spans="1:12" x14ac:dyDescent="0.25">
      <c r="A588" s="26" t="s">
        <v>620</v>
      </c>
      <c r="B588" s="26" t="s">
        <v>615</v>
      </c>
      <c r="C588" s="26" t="s">
        <v>1245</v>
      </c>
      <c r="D588" s="26" t="s">
        <v>1076</v>
      </c>
      <c r="E588" s="26">
        <v>100</v>
      </c>
      <c r="F588" s="26">
        <v>102.01075</v>
      </c>
      <c r="G588" s="26">
        <v>2.010750000000002</v>
      </c>
      <c r="H588" s="26">
        <v>2.010750000000002</v>
      </c>
      <c r="I588" s="26" t="s">
        <v>1230</v>
      </c>
      <c r="J588" s="26" t="s">
        <v>1231</v>
      </c>
      <c r="K588" s="26" t="b">
        <v>0</v>
      </c>
      <c r="L588" s="26">
        <v>1</v>
      </c>
    </row>
    <row r="589" spans="1:12" x14ac:dyDescent="0.25">
      <c r="A589" s="26" t="s">
        <v>621</v>
      </c>
      <c r="B589" s="26" t="s">
        <v>615</v>
      </c>
      <c r="C589" s="26" t="s">
        <v>1246</v>
      </c>
      <c r="D589" s="26" t="s">
        <v>1076</v>
      </c>
      <c r="E589" s="26">
        <v>325</v>
      </c>
      <c r="F589" s="26">
        <v>322.18871999999999</v>
      </c>
      <c r="G589" s="26">
        <v>-2.8112800000000111</v>
      </c>
      <c r="H589" s="26">
        <v>2.8112800000000111</v>
      </c>
      <c r="I589" s="26" t="s">
        <v>1230</v>
      </c>
      <c r="J589" s="26" t="s">
        <v>1231</v>
      </c>
      <c r="K589" s="26" t="b">
        <v>0</v>
      </c>
      <c r="L589" s="26">
        <v>2</v>
      </c>
    </row>
    <row r="590" spans="1:12" x14ac:dyDescent="0.25">
      <c r="A590" s="26" t="s">
        <v>622</v>
      </c>
      <c r="B590" s="26" t="s">
        <v>615</v>
      </c>
      <c r="C590" s="26" t="s">
        <v>1247</v>
      </c>
      <c r="D590" s="26" t="s">
        <v>1076</v>
      </c>
      <c r="E590" s="26">
        <v>277</v>
      </c>
      <c r="F590" s="26">
        <v>273.9650200000001</v>
      </c>
      <c r="G590" s="26">
        <v>-3.034979999999905</v>
      </c>
      <c r="H590" s="26">
        <v>3.034979999999905</v>
      </c>
      <c r="I590" s="26" t="s">
        <v>1230</v>
      </c>
      <c r="J590" s="26" t="s">
        <v>1231</v>
      </c>
      <c r="K590" s="26" t="b">
        <v>0</v>
      </c>
      <c r="L590" s="26">
        <v>3</v>
      </c>
    </row>
    <row r="591" spans="1:12" x14ac:dyDescent="0.25">
      <c r="A591" s="26" t="s">
        <v>623</v>
      </c>
      <c r="B591" s="26" t="s">
        <v>615</v>
      </c>
      <c r="C591" s="26" t="s">
        <v>1248</v>
      </c>
      <c r="D591" s="26" t="s">
        <v>1076</v>
      </c>
      <c r="E591" s="26">
        <v>303</v>
      </c>
      <c r="F591" s="26">
        <v>307.38715999999999</v>
      </c>
      <c r="G591" s="26">
        <v>4.3871599999999944</v>
      </c>
      <c r="H591" s="26">
        <v>4.3871599999999944</v>
      </c>
      <c r="I591" s="26" t="s">
        <v>1230</v>
      </c>
      <c r="J591" s="26" t="s">
        <v>1231</v>
      </c>
      <c r="K591" s="26" t="b">
        <v>0</v>
      </c>
      <c r="L591" s="26">
        <v>4</v>
      </c>
    </row>
    <row r="592" spans="1:12" x14ac:dyDescent="0.25">
      <c r="A592" s="26" t="s">
        <v>624</v>
      </c>
      <c r="B592" s="26" t="s">
        <v>615</v>
      </c>
      <c r="C592" s="26" t="s">
        <v>1249</v>
      </c>
      <c r="D592" s="26" t="s">
        <v>1076</v>
      </c>
      <c r="E592" s="26">
        <v>272</v>
      </c>
      <c r="F592" s="26">
        <v>271.06650000000002</v>
      </c>
      <c r="G592" s="26">
        <v>-0.9334999999999809</v>
      </c>
      <c r="H592" s="26">
        <v>0.9334999999999809</v>
      </c>
      <c r="I592" s="26" t="s">
        <v>1230</v>
      </c>
      <c r="J592" s="26" t="s">
        <v>1231</v>
      </c>
      <c r="K592" s="26" t="b">
        <v>0</v>
      </c>
      <c r="L592" s="26">
        <v>5</v>
      </c>
    </row>
    <row r="593" spans="1:12" x14ac:dyDescent="0.25">
      <c r="A593" s="26" t="s">
        <v>625</v>
      </c>
      <c r="B593" s="26" t="s">
        <v>626</v>
      </c>
      <c r="C593" s="26" t="s">
        <v>1238</v>
      </c>
      <c r="D593" s="26" t="s">
        <v>1076</v>
      </c>
      <c r="E593" s="26">
        <v>218</v>
      </c>
      <c r="F593" s="26">
        <v>217.11170000000021</v>
      </c>
      <c r="G593" s="26">
        <v>-0.88829999999984466</v>
      </c>
      <c r="H593" s="26">
        <v>0.88829999999984466</v>
      </c>
      <c r="I593" s="26" t="s">
        <v>1230</v>
      </c>
      <c r="J593" s="26" t="s">
        <v>1231</v>
      </c>
      <c r="K593" s="26" t="b">
        <v>0</v>
      </c>
      <c r="L593" s="26">
        <v>1</v>
      </c>
    </row>
    <row r="594" spans="1:12" x14ac:dyDescent="0.25">
      <c r="A594" s="26" t="s">
        <v>627</v>
      </c>
      <c r="B594" s="26" t="s">
        <v>626</v>
      </c>
      <c r="C594" s="26" t="s">
        <v>1241</v>
      </c>
      <c r="D594" s="26" t="s">
        <v>1076</v>
      </c>
      <c r="E594" s="26">
        <v>391</v>
      </c>
      <c r="F594" s="26">
        <v>389.60572000000002</v>
      </c>
      <c r="G594" s="26">
        <v>-1.3942799999999811</v>
      </c>
      <c r="H594" s="26">
        <v>1.3942799999999811</v>
      </c>
      <c r="I594" s="26" t="s">
        <v>1230</v>
      </c>
      <c r="J594" s="26" t="s">
        <v>1231</v>
      </c>
      <c r="K594" s="26" t="b">
        <v>0</v>
      </c>
      <c r="L594" s="26">
        <v>2</v>
      </c>
    </row>
    <row r="595" spans="1:12" x14ac:dyDescent="0.25">
      <c r="A595" s="26" t="s">
        <v>628</v>
      </c>
      <c r="B595" s="26" t="s">
        <v>626</v>
      </c>
      <c r="C595" s="26" t="s">
        <v>1242</v>
      </c>
      <c r="D595" s="26" t="s">
        <v>1076</v>
      </c>
      <c r="E595" s="26">
        <v>286</v>
      </c>
      <c r="F595" s="26">
        <v>282.10336999999998</v>
      </c>
      <c r="G595" s="26">
        <v>-3.896630000000016</v>
      </c>
      <c r="H595" s="26">
        <v>3.896630000000016</v>
      </c>
      <c r="I595" s="26" t="s">
        <v>1230</v>
      </c>
      <c r="J595" s="26" t="s">
        <v>1231</v>
      </c>
      <c r="K595" s="26" t="b">
        <v>0</v>
      </c>
      <c r="L595" s="26">
        <v>3</v>
      </c>
    </row>
    <row r="596" spans="1:12" x14ac:dyDescent="0.25">
      <c r="A596" s="26" t="s">
        <v>629</v>
      </c>
      <c r="B596" s="26" t="s">
        <v>626</v>
      </c>
      <c r="C596" s="26" t="s">
        <v>1243</v>
      </c>
      <c r="D596" s="26" t="s">
        <v>1076</v>
      </c>
      <c r="E596" s="26">
        <v>155</v>
      </c>
      <c r="F596" s="26">
        <v>158.47428000000011</v>
      </c>
      <c r="G596" s="26">
        <v>3.4742800000001348</v>
      </c>
      <c r="H596" s="26">
        <v>3.4742800000001348</v>
      </c>
      <c r="I596" s="26" t="s">
        <v>1230</v>
      </c>
      <c r="J596" s="26" t="s">
        <v>1231</v>
      </c>
      <c r="K596" s="26" t="b">
        <v>0</v>
      </c>
      <c r="L596" s="26">
        <v>4</v>
      </c>
    </row>
    <row r="597" spans="1:12" x14ac:dyDescent="0.25">
      <c r="A597" s="26" t="s">
        <v>630</v>
      </c>
      <c r="B597" s="26" t="s">
        <v>626</v>
      </c>
      <c r="C597" s="26" t="s">
        <v>1244</v>
      </c>
      <c r="D597" s="26" t="s">
        <v>1076</v>
      </c>
      <c r="E597" s="26">
        <v>291</v>
      </c>
      <c r="F597" s="26">
        <v>294.1848200000004</v>
      </c>
      <c r="G597" s="26">
        <v>3.1848200000003999</v>
      </c>
      <c r="H597" s="26">
        <v>3.1848200000003999</v>
      </c>
      <c r="I597" s="26" t="s">
        <v>1230</v>
      </c>
      <c r="J597" s="26" t="s">
        <v>1231</v>
      </c>
      <c r="K597" s="26" t="b">
        <v>0</v>
      </c>
      <c r="L597" s="26">
        <v>5</v>
      </c>
    </row>
    <row r="598" spans="1:12" x14ac:dyDescent="0.25">
      <c r="A598" s="26" t="s">
        <v>631</v>
      </c>
      <c r="B598" s="26" t="s">
        <v>626</v>
      </c>
      <c r="C598" s="26" t="s">
        <v>1245</v>
      </c>
      <c r="D598" s="26" t="s">
        <v>1076</v>
      </c>
      <c r="E598" s="26">
        <v>233</v>
      </c>
      <c r="F598" s="26">
        <v>232.96564000000001</v>
      </c>
      <c r="G598" s="26">
        <v>-3.4359999999992397E-2</v>
      </c>
      <c r="H598" s="26">
        <v>3.4359999999992397E-2</v>
      </c>
      <c r="I598" s="26" t="s">
        <v>1230</v>
      </c>
      <c r="J598" s="26" t="s">
        <v>1231</v>
      </c>
      <c r="K598" s="26" t="b">
        <v>0</v>
      </c>
      <c r="L598" s="26">
        <v>1</v>
      </c>
    </row>
    <row r="599" spans="1:12" x14ac:dyDescent="0.25">
      <c r="A599" s="26" t="s">
        <v>632</v>
      </c>
      <c r="B599" s="26" t="s">
        <v>626</v>
      </c>
      <c r="C599" s="26" t="s">
        <v>1246</v>
      </c>
      <c r="D599" s="26" t="s">
        <v>1076</v>
      </c>
      <c r="E599" s="26">
        <v>286</v>
      </c>
      <c r="F599" s="26">
        <v>282.70711000000011</v>
      </c>
      <c r="G599" s="26">
        <v>-3.292889999999943</v>
      </c>
      <c r="H599" s="26">
        <v>3.292889999999943</v>
      </c>
      <c r="I599" s="26" t="s">
        <v>1230</v>
      </c>
      <c r="J599" s="26" t="s">
        <v>1231</v>
      </c>
      <c r="K599" s="26" t="b">
        <v>0</v>
      </c>
      <c r="L599" s="26">
        <v>2</v>
      </c>
    </row>
    <row r="600" spans="1:12" x14ac:dyDescent="0.25">
      <c r="A600" s="26" t="s">
        <v>633</v>
      </c>
      <c r="B600" s="26" t="s">
        <v>626</v>
      </c>
      <c r="C600" s="26" t="s">
        <v>1247</v>
      </c>
      <c r="D600" s="26" t="s">
        <v>1076</v>
      </c>
      <c r="E600" s="26">
        <v>373</v>
      </c>
      <c r="F600" s="26">
        <v>370.54429999999979</v>
      </c>
      <c r="G600" s="26">
        <v>-2.4557000000002058</v>
      </c>
      <c r="H600" s="26">
        <v>2.4557000000002058</v>
      </c>
      <c r="I600" s="26" t="s">
        <v>1230</v>
      </c>
      <c r="J600" s="26" t="s">
        <v>1231</v>
      </c>
      <c r="K600" s="26" t="b">
        <v>0</v>
      </c>
      <c r="L600" s="26">
        <v>3</v>
      </c>
    </row>
    <row r="601" spans="1:12" x14ac:dyDescent="0.25">
      <c r="A601" s="26" t="s">
        <v>634</v>
      </c>
      <c r="B601" s="26" t="s">
        <v>626</v>
      </c>
      <c r="C601" s="26" t="s">
        <v>1248</v>
      </c>
      <c r="D601" s="26" t="s">
        <v>1076</v>
      </c>
      <c r="E601" s="26">
        <v>257</v>
      </c>
      <c r="F601" s="26">
        <v>256.36190000000011</v>
      </c>
      <c r="G601" s="26">
        <v>-0.63809999999989486</v>
      </c>
      <c r="H601" s="26">
        <v>0.63809999999989486</v>
      </c>
      <c r="I601" s="26" t="s">
        <v>1230</v>
      </c>
      <c r="J601" s="26" t="s">
        <v>1231</v>
      </c>
      <c r="K601" s="26" t="b">
        <v>0</v>
      </c>
      <c r="L601" s="26">
        <v>4</v>
      </c>
    </row>
    <row r="602" spans="1:12" x14ac:dyDescent="0.25">
      <c r="A602" s="26" t="s">
        <v>635</v>
      </c>
      <c r="B602" s="26" t="s">
        <v>626</v>
      </c>
      <c r="C602" s="26" t="s">
        <v>1249</v>
      </c>
      <c r="D602" s="26" t="s">
        <v>1076</v>
      </c>
      <c r="E602" s="26">
        <v>380</v>
      </c>
      <c r="F602" s="26">
        <v>381.90307000000013</v>
      </c>
      <c r="G602" s="26">
        <v>1.9030700000000711</v>
      </c>
      <c r="H602" s="26">
        <v>1.9030700000000711</v>
      </c>
      <c r="I602" s="26" t="s">
        <v>1230</v>
      </c>
      <c r="J602" s="26" t="s">
        <v>1231</v>
      </c>
      <c r="K602" s="26" t="b">
        <v>0</v>
      </c>
      <c r="L602" s="26">
        <v>5</v>
      </c>
    </row>
    <row r="603" spans="1:12" x14ac:dyDescent="0.25">
      <c r="A603" s="26" t="s">
        <v>636</v>
      </c>
      <c r="B603" s="26" t="s">
        <v>637</v>
      </c>
      <c r="C603" s="26" t="s">
        <v>1238</v>
      </c>
      <c r="D603" s="26" t="s">
        <v>1076</v>
      </c>
      <c r="E603" s="26">
        <v>290</v>
      </c>
      <c r="F603" s="26">
        <v>291.34320000000002</v>
      </c>
      <c r="G603" s="26">
        <v>1.3432000000000239</v>
      </c>
      <c r="H603" s="26">
        <v>1.3432000000000239</v>
      </c>
      <c r="I603" s="26" t="s">
        <v>1230</v>
      </c>
      <c r="J603" s="26" t="s">
        <v>1231</v>
      </c>
      <c r="K603" s="26" t="b">
        <v>0</v>
      </c>
      <c r="L603" s="26">
        <v>1</v>
      </c>
    </row>
    <row r="604" spans="1:12" x14ac:dyDescent="0.25">
      <c r="A604" s="26" t="s">
        <v>638</v>
      </c>
      <c r="B604" s="26" t="s">
        <v>637</v>
      </c>
      <c r="C604" s="26" t="s">
        <v>1241</v>
      </c>
      <c r="D604" s="26" t="s">
        <v>1076</v>
      </c>
      <c r="E604" s="26">
        <v>213</v>
      </c>
      <c r="F604" s="26">
        <v>216.39806000000021</v>
      </c>
      <c r="G604" s="26">
        <v>3.3980600000002141</v>
      </c>
      <c r="H604" s="26">
        <v>3.3980600000002141</v>
      </c>
      <c r="I604" s="26" t="s">
        <v>1230</v>
      </c>
      <c r="J604" s="26" t="s">
        <v>1231</v>
      </c>
      <c r="K604" s="26" t="b">
        <v>0</v>
      </c>
      <c r="L604" s="26">
        <v>2</v>
      </c>
    </row>
    <row r="605" spans="1:12" x14ac:dyDescent="0.25">
      <c r="A605" s="26" t="s">
        <v>639</v>
      </c>
      <c r="B605" s="26" t="s">
        <v>637</v>
      </c>
      <c r="C605" s="26" t="s">
        <v>1242</v>
      </c>
      <c r="D605" s="26" t="s">
        <v>1076</v>
      </c>
      <c r="E605" s="26">
        <v>394</v>
      </c>
      <c r="F605" s="26">
        <v>396.41374999999988</v>
      </c>
      <c r="G605" s="26">
        <v>2.4137499999999359</v>
      </c>
      <c r="H605" s="26">
        <v>2.4137499999999359</v>
      </c>
      <c r="I605" s="26" t="s">
        <v>1230</v>
      </c>
      <c r="J605" s="26" t="s">
        <v>1231</v>
      </c>
      <c r="K605" s="26" t="b">
        <v>0</v>
      </c>
      <c r="L605" s="26">
        <v>3</v>
      </c>
    </row>
    <row r="606" spans="1:12" x14ac:dyDescent="0.25">
      <c r="A606" s="26" t="s">
        <v>640</v>
      </c>
      <c r="B606" s="26" t="s">
        <v>637</v>
      </c>
      <c r="C606" s="26" t="s">
        <v>1243</v>
      </c>
      <c r="D606" s="26" t="s">
        <v>1076</v>
      </c>
      <c r="E606" s="26">
        <v>311</v>
      </c>
      <c r="F606" s="26">
        <v>308.68646000000001</v>
      </c>
      <c r="G606" s="26">
        <v>-2.313539999999989</v>
      </c>
      <c r="H606" s="26">
        <v>2.313539999999989</v>
      </c>
      <c r="I606" s="26" t="s">
        <v>1230</v>
      </c>
      <c r="J606" s="26" t="s">
        <v>1231</v>
      </c>
      <c r="K606" s="26" t="b">
        <v>0</v>
      </c>
      <c r="L606" s="26">
        <v>4</v>
      </c>
    </row>
    <row r="607" spans="1:12" x14ac:dyDescent="0.25">
      <c r="A607" s="26" t="s">
        <v>641</v>
      </c>
      <c r="B607" s="26" t="s">
        <v>637</v>
      </c>
      <c r="C607" s="26" t="s">
        <v>1244</v>
      </c>
      <c r="D607" s="26" t="s">
        <v>1076</v>
      </c>
      <c r="E607" s="26">
        <v>319</v>
      </c>
      <c r="F607" s="26">
        <v>320.70844000000011</v>
      </c>
      <c r="G607" s="26">
        <v>1.7084400000001101</v>
      </c>
      <c r="H607" s="26">
        <v>1.7084400000001101</v>
      </c>
      <c r="I607" s="26" t="s">
        <v>1230</v>
      </c>
      <c r="J607" s="26" t="s">
        <v>1231</v>
      </c>
      <c r="K607" s="26" t="b">
        <v>0</v>
      </c>
      <c r="L607" s="26">
        <v>5</v>
      </c>
    </row>
    <row r="608" spans="1:12" x14ac:dyDescent="0.25">
      <c r="A608" s="26" t="s">
        <v>642</v>
      </c>
      <c r="B608" s="26" t="s">
        <v>637</v>
      </c>
      <c r="C608" s="26" t="s">
        <v>1245</v>
      </c>
      <c r="D608" s="26" t="s">
        <v>1076</v>
      </c>
      <c r="E608" s="26">
        <v>198</v>
      </c>
      <c r="F608" s="26">
        <v>194.63204000000019</v>
      </c>
      <c r="G608" s="26">
        <v>-3.3679599999998122</v>
      </c>
      <c r="H608" s="26">
        <v>3.3679599999998122</v>
      </c>
      <c r="I608" s="26" t="s">
        <v>1230</v>
      </c>
      <c r="J608" s="26" t="s">
        <v>1231</v>
      </c>
      <c r="K608" s="26" t="b">
        <v>0</v>
      </c>
      <c r="L608" s="26">
        <v>1</v>
      </c>
    </row>
    <row r="609" spans="1:12" x14ac:dyDescent="0.25">
      <c r="A609" s="26" t="s">
        <v>643</v>
      </c>
      <c r="B609" s="26" t="s">
        <v>637</v>
      </c>
      <c r="C609" s="26" t="s">
        <v>1246</v>
      </c>
      <c r="D609" s="26" t="s">
        <v>1076</v>
      </c>
      <c r="E609" s="26">
        <v>350</v>
      </c>
      <c r="F609" s="26">
        <v>349.63</v>
      </c>
      <c r="G609" s="26">
        <v>-0.37000000000000449</v>
      </c>
      <c r="H609" s="26">
        <v>0.37000000000000449</v>
      </c>
      <c r="I609" s="26" t="s">
        <v>1230</v>
      </c>
      <c r="J609" s="26" t="s">
        <v>1231</v>
      </c>
      <c r="K609" s="26" t="b">
        <v>0</v>
      </c>
      <c r="L609" s="26">
        <v>2</v>
      </c>
    </row>
    <row r="610" spans="1:12" x14ac:dyDescent="0.25">
      <c r="A610" s="26" t="s">
        <v>644</v>
      </c>
      <c r="B610" s="26" t="s">
        <v>637</v>
      </c>
      <c r="C610" s="26" t="s">
        <v>1247</v>
      </c>
      <c r="D610" s="26" t="s">
        <v>1076</v>
      </c>
      <c r="E610" s="26">
        <v>318</v>
      </c>
      <c r="F610" s="26">
        <v>316.12925000000041</v>
      </c>
      <c r="G610" s="26">
        <v>-1.8707499999995889</v>
      </c>
      <c r="H610" s="26">
        <v>1.8707499999995889</v>
      </c>
      <c r="I610" s="26" t="s">
        <v>1230</v>
      </c>
      <c r="J610" s="26" t="s">
        <v>1231</v>
      </c>
      <c r="K610" s="26" t="b">
        <v>0</v>
      </c>
      <c r="L610" s="26">
        <v>3</v>
      </c>
    </row>
    <row r="611" spans="1:12" x14ac:dyDescent="0.25">
      <c r="A611" s="26" t="s">
        <v>645</v>
      </c>
      <c r="B611" s="26" t="s">
        <v>637</v>
      </c>
      <c r="C611" s="26" t="s">
        <v>1248</v>
      </c>
      <c r="D611" s="26" t="s">
        <v>1076</v>
      </c>
      <c r="E611" s="26">
        <v>230</v>
      </c>
      <c r="F611" s="26">
        <v>226.9837200000002</v>
      </c>
      <c r="G611" s="26">
        <v>-3.0162799999998242</v>
      </c>
      <c r="H611" s="26">
        <v>3.0162799999998242</v>
      </c>
      <c r="I611" s="26" t="s">
        <v>1230</v>
      </c>
      <c r="J611" s="26" t="s">
        <v>1231</v>
      </c>
      <c r="K611" s="26" t="b">
        <v>0</v>
      </c>
      <c r="L611" s="26">
        <v>4</v>
      </c>
    </row>
    <row r="612" spans="1:12" x14ac:dyDescent="0.25">
      <c r="A612" s="26" t="s">
        <v>646</v>
      </c>
      <c r="B612" s="26" t="s">
        <v>637</v>
      </c>
      <c r="C612" s="26" t="s">
        <v>1249</v>
      </c>
      <c r="D612" s="26" t="s">
        <v>1076</v>
      </c>
      <c r="E612" s="26">
        <v>328</v>
      </c>
      <c r="F612" s="26">
        <v>328.91530000000012</v>
      </c>
      <c r="G612" s="26">
        <v>0.91530000000011569</v>
      </c>
      <c r="H612" s="26">
        <v>0.91530000000011569</v>
      </c>
      <c r="I612" s="26" t="s">
        <v>1230</v>
      </c>
      <c r="J612" s="26" t="s">
        <v>1231</v>
      </c>
      <c r="K612" s="26" t="b">
        <v>0</v>
      </c>
      <c r="L612" s="26">
        <v>5</v>
      </c>
    </row>
    <row r="613" spans="1:12" x14ac:dyDescent="0.25">
      <c r="A613" s="26" t="s">
        <v>647</v>
      </c>
      <c r="B613" s="26" t="s">
        <v>648</v>
      </c>
      <c r="C613" s="26" t="s">
        <v>1238</v>
      </c>
      <c r="D613" s="26" t="s">
        <v>1076</v>
      </c>
      <c r="E613" s="26">
        <v>295</v>
      </c>
      <c r="F613" s="26">
        <v>291.56</v>
      </c>
      <c r="G613" s="26">
        <v>-3.4399999999999982</v>
      </c>
      <c r="H613" s="26">
        <v>3.4399999999999982</v>
      </c>
      <c r="I613" s="26" t="s">
        <v>1230</v>
      </c>
      <c r="J613" s="26" t="s">
        <v>1231</v>
      </c>
      <c r="K613" s="26" t="b">
        <v>0</v>
      </c>
      <c r="L613" s="26">
        <v>1</v>
      </c>
    </row>
    <row r="614" spans="1:12" x14ac:dyDescent="0.25">
      <c r="A614" s="26" t="s">
        <v>649</v>
      </c>
      <c r="B614" s="26" t="s">
        <v>648</v>
      </c>
      <c r="C614" s="26" t="s">
        <v>1241</v>
      </c>
      <c r="D614" s="26" t="s">
        <v>1076</v>
      </c>
      <c r="E614" s="26">
        <v>311</v>
      </c>
      <c r="F614" s="26">
        <v>311.07429999999982</v>
      </c>
      <c r="G614" s="26">
        <v>7.4299999999766442E-2</v>
      </c>
      <c r="H614" s="26">
        <v>7.4299999999766442E-2</v>
      </c>
      <c r="I614" s="26" t="s">
        <v>1230</v>
      </c>
      <c r="J614" s="26" t="s">
        <v>1231</v>
      </c>
      <c r="K614" s="26" t="b">
        <v>0</v>
      </c>
      <c r="L614" s="26">
        <v>2</v>
      </c>
    </row>
    <row r="615" spans="1:12" x14ac:dyDescent="0.25">
      <c r="A615" s="26" t="s">
        <v>650</v>
      </c>
      <c r="B615" s="26" t="s">
        <v>648</v>
      </c>
      <c r="C615" s="26" t="s">
        <v>1242</v>
      </c>
      <c r="D615" s="26" t="s">
        <v>1076</v>
      </c>
      <c r="E615" s="26">
        <v>322</v>
      </c>
      <c r="F615" s="26">
        <v>321.12473</v>
      </c>
      <c r="G615" s="26">
        <v>-0.87527000000000044</v>
      </c>
      <c r="H615" s="26">
        <v>0.87527000000000044</v>
      </c>
      <c r="I615" s="26" t="s">
        <v>1230</v>
      </c>
      <c r="J615" s="26" t="s">
        <v>1231</v>
      </c>
      <c r="K615" s="26" t="b">
        <v>0</v>
      </c>
      <c r="L615" s="26">
        <v>3</v>
      </c>
    </row>
    <row r="616" spans="1:12" x14ac:dyDescent="0.25">
      <c r="A616" s="26" t="s">
        <v>651</v>
      </c>
      <c r="B616" s="26" t="s">
        <v>648</v>
      </c>
      <c r="C616" s="26" t="s">
        <v>1243</v>
      </c>
      <c r="D616" s="26" t="s">
        <v>1076</v>
      </c>
      <c r="E616" s="26">
        <v>262</v>
      </c>
      <c r="F616" s="26">
        <v>261.52</v>
      </c>
      <c r="G616" s="26">
        <v>-0.48000000000001819</v>
      </c>
      <c r="H616" s="26">
        <v>0.48000000000001819</v>
      </c>
      <c r="I616" s="26" t="s">
        <v>1230</v>
      </c>
      <c r="J616" s="26" t="s">
        <v>1231</v>
      </c>
      <c r="K616" s="26" t="b">
        <v>0</v>
      </c>
      <c r="L616" s="26">
        <v>4</v>
      </c>
    </row>
    <row r="617" spans="1:12" x14ac:dyDescent="0.25">
      <c r="A617" s="26" t="s">
        <v>652</v>
      </c>
      <c r="B617" s="26" t="s">
        <v>648</v>
      </c>
      <c r="C617" s="26" t="s">
        <v>1244</v>
      </c>
      <c r="D617" s="26" t="s">
        <v>1076</v>
      </c>
      <c r="E617" s="26">
        <v>202</v>
      </c>
      <c r="F617" s="26">
        <v>203.90936000000011</v>
      </c>
      <c r="G617" s="26">
        <v>1.9093600000001061</v>
      </c>
      <c r="H617" s="26">
        <v>1.9093600000001061</v>
      </c>
      <c r="I617" s="26" t="s">
        <v>1230</v>
      </c>
      <c r="J617" s="26" t="s">
        <v>1231</v>
      </c>
      <c r="K617" s="26" t="b">
        <v>0</v>
      </c>
      <c r="L617" s="26">
        <v>5</v>
      </c>
    </row>
    <row r="618" spans="1:12" x14ac:dyDescent="0.25">
      <c r="A618" s="26" t="s">
        <v>653</v>
      </c>
      <c r="B618" s="26" t="s">
        <v>648</v>
      </c>
      <c r="C618" s="26" t="s">
        <v>1245</v>
      </c>
      <c r="D618" s="26" t="s">
        <v>1076</v>
      </c>
      <c r="E618" s="26">
        <v>240</v>
      </c>
      <c r="F618" s="26">
        <v>237.50991000000019</v>
      </c>
      <c r="G618" s="26">
        <v>-2.4900899999997819</v>
      </c>
      <c r="H618" s="26">
        <v>2.4900899999997819</v>
      </c>
      <c r="I618" s="26" t="s">
        <v>1230</v>
      </c>
      <c r="J618" s="26" t="s">
        <v>1231</v>
      </c>
      <c r="K618" s="26" t="b">
        <v>0</v>
      </c>
      <c r="L618" s="26">
        <v>1</v>
      </c>
    </row>
    <row r="619" spans="1:12" x14ac:dyDescent="0.25">
      <c r="A619" s="26" t="s">
        <v>654</v>
      </c>
      <c r="B619" s="26" t="s">
        <v>648</v>
      </c>
      <c r="C619" s="26" t="s">
        <v>1246</v>
      </c>
      <c r="D619" s="26" t="s">
        <v>1076</v>
      </c>
      <c r="E619" s="26">
        <v>194</v>
      </c>
      <c r="F619" s="26">
        <v>194.33469000000011</v>
      </c>
      <c r="G619" s="26">
        <v>0.33469000000013688</v>
      </c>
      <c r="H619" s="26">
        <v>0.33469000000013688</v>
      </c>
      <c r="I619" s="26" t="s">
        <v>1230</v>
      </c>
      <c r="J619" s="26" t="s">
        <v>1231</v>
      </c>
      <c r="K619" s="26" t="b">
        <v>0</v>
      </c>
      <c r="L619" s="26">
        <v>2</v>
      </c>
    </row>
    <row r="620" spans="1:12" x14ac:dyDescent="0.25">
      <c r="A620" s="26" t="s">
        <v>655</v>
      </c>
      <c r="B620" s="26" t="s">
        <v>648</v>
      </c>
      <c r="C620" s="26" t="s">
        <v>1247</v>
      </c>
      <c r="D620" s="26" t="s">
        <v>1076</v>
      </c>
      <c r="E620" s="26">
        <v>248</v>
      </c>
      <c r="F620" s="26">
        <v>247.32441</v>
      </c>
      <c r="G620" s="26">
        <v>-0.67558999999999969</v>
      </c>
      <c r="H620" s="26">
        <v>0.67558999999999969</v>
      </c>
      <c r="I620" s="26" t="s">
        <v>1230</v>
      </c>
      <c r="J620" s="26" t="s">
        <v>1231</v>
      </c>
      <c r="K620" s="26" t="b">
        <v>0</v>
      </c>
      <c r="L620" s="26">
        <v>3</v>
      </c>
    </row>
    <row r="621" spans="1:12" x14ac:dyDescent="0.25">
      <c r="A621" s="26" t="s">
        <v>656</v>
      </c>
      <c r="B621" s="26" t="s">
        <v>648</v>
      </c>
      <c r="C621" s="26" t="s">
        <v>1248</v>
      </c>
      <c r="D621" s="26" t="s">
        <v>1076</v>
      </c>
      <c r="E621" s="26">
        <v>343</v>
      </c>
      <c r="F621" s="26">
        <v>341.52</v>
      </c>
      <c r="G621" s="26">
        <v>-1.480000000000018</v>
      </c>
      <c r="H621" s="26">
        <v>1.480000000000018</v>
      </c>
      <c r="I621" s="26" t="s">
        <v>1230</v>
      </c>
      <c r="J621" s="26" t="s">
        <v>1231</v>
      </c>
      <c r="K621" s="26" t="b">
        <v>0</v>
      </c>
      <c r="L621" s="26">
        <v>4</v>
      </c>
    </row>
    <row r="622" spans="1:12" x14ac:dyDescent="0.25">
      <c r="A622" s="26" t="s">
        <v>657</v>
      </c>
      <c r="B622" s="26" t="s">
        <v>648</v>
      </c>
      <c r="C622" s="26" t="s">
        <v>1249</v>
      </c>
      <c r="D622" s="26" t="s">
        <v>1076</v>
      </c>
      <c r="E622" s="26">
        <v>294</v>
      </c>
      <c r="F622" s="26">
        <v>291.57265999999998</v>
      </c>
      <c r="G622" s="26">
        <v>-2.4273400000000152</v>
      </c>
      <c r="H622" s="26">
        <v>2.4273400000000152</v>
      </c>
      <c r="I622" s="26" t="s">
        <v>1230</v>
      </c>
      <c r="J622" s="26" t="s">
        <v>1231</v>
      </c>
      <c r="K622" s="26" t="b">
        <v>0</v>
      </c>
      <c r="L622" s="26">
        <v>5</v>
      </c>
    </row>
    <row r="623" spans="1:12" x14ac:dyDescent="0.25">
      <c r="A623" s="26" t="s">
        <v>658</v>
      </c>
      <c r="B623" s="26" t="s">
        <v>659</v>
      </c>
      <c r="C623" s="26" t="s">
        <v>1238</v>
      </c>
      <c r="D623" s="26" t="s">
        <v>1076</v>
      </c>
      <c r="E623" s="26">
        <v>308</v>
      </c>
      <c r="F623" s="26">
        <v>306.36970000000002</v>
      </c>
      <c r="G623" s="26">
        <v>-1.630299999999977</v>
      </c>
      <c r="H623" s="26">
        <v>1.630299999999977</v>
      </c>
      <c r="I623" s="26" t="s">
        <v>1230</v>
      </c>
      <c r="J623" s="26" t="s">
        <v>1231</v>
      </c>
      <c r="K623" s="26" t="b">
        <v>0</v>
      </c>
      <c r="L623" s="26">
        <v>1</v>
      </c>
    </row>
    <row r="624" spans="1:12" x14ac:dyDescent="0.25">
      <c r="A624" s="26" t="s">
        <v>660</v>
      </c>
      <c r="B624" s="26" t="s">
        <v>659</v>
      </c>
      <c r="C624" s="26" t="s">
        <v>1241</v>
      </c>
      <c r="D624" s="26" t="s">
        <v>1076</v>
      </c>
      <c r="E624" s="26">
        <v>320</v>
      </c>
      <c r="F624" s="26">
        <v>319.61795000000001</v>
      </c>
      <c r="G624" s="26">
        <v>-0.38204999999999251</v>
      </c>
      <c r="H624" s="26">
        <v>0.38204999999999251</v>
      </c>
      <c r="I624" s="26" t="s">
        <v>1230</v>
      </c>
      <c r="J624" s="26" t="s">
        <v>1231</v>
      </c>
      <c r="K624" s="26" t="b">
        <v>0</v>
      </c>
      <c r="L624" s="26">
        <v>2</v>
      </c>
    </row>
    <row r="625" spans="1:12" x14ac:dyDescent="0.25">
      <c r="A625" s="26" t="s">
        <v>661</v>
      </c>
      <c r="B625" s="26" t="s">
        <v>659</v>
      </c>
      <c r="C625" s="26" t="s">
        <v>1242</v>
      </c>
      <c r="D625" s="26" t="s">
        <v>1076</v>
      </c>
      <c r="E625" s="26">
        <v>247</v>
      </c>
      <c r="F625" s="26">
        <v>246.51</v>
      </c>
      <c r="G625" s="26">
        <v>-0.49000000000000909</v>
      </c>
      <c r="H625" s="26">
        <v>0.49000000000000909</v>
      </c>
      <c r="I625" s="26" t="s">
        <v>1230</v>
      </c>
      <c r="J625" s="26" t="s">
        <v>1231</v>
      </c>
      <c r="K625" s="26" t="b">
        <v>0</v>
      </c>
      <c r="L625" s="26">
        <v>3</v>
      </c>
    </row>
    <row r="626" spans="1:12" x14ac:dyDescent="0.25">
      <c r="A626" s="26" t="s">
        <v>662</v>
      </c>
      <c r="B626" s="26" t="s">
        <v>659</v>
      </c>
      <c r="C626" s="26" t="s">
        <v>1243</v>
      </c>
      <c r="D626" s="26" t="s">
        <v>1076</v>
      </c>
      <c r="E626" s="26">
        <v>249</v>
      </c>
      <c r="F626" s="26">
        <v>248.24942999999999</v>
      </c>
      <c r="G626" s="26">
        <v>-0.7505700000000104</v>
      </c>
      <c r="H626" s="26">
        <v>0.7505700000000104</v>
      </c>
      <c r="I626" s="26" t="s">
        <v>1230</v>
      </c>
      <c r="J626" s="26" t="s">
        <v>1231</v>
      </c>
      <c r="K626" s="26" t="b">
        <v>0</v>
      </c>
      <c r="L626" s="26">
        <v>4</v>
      </c>
    </row>
    <row r="627" spans="1:12" x14ac:dyDescent="0.25">
      <c r="A627" s="26" t="s">
        <v>663</v>
      </c>
      <c r="B627" s="26" t="s">
        <v>659</v>
      </c>
      <c r="C627" s="26" t="s">
        <v>1244</v>
      </c>
      <c r="D627" s="26" t="s">
        <v>1076</v>
      </c>
      <c r="E627" s="26">
        <v>304</v>
      </c>
      <c r="F627" s="26">
        <v>301.5856</v>
      </c>
      <c r="G627" s="26">
        <v>-2.414400000000001</v>
      </c>
      <c r="H627" s="26">
        <v>2.414400000000001</v>
      </c>
      <c r="I627" s="26" t="s">
        <v>1230</v>
      </c>
      <c r="J627" s="26" t="s">
        <v>1231</v>
      </c>
      <c r="K627" s="26" t="b">
        <v>0</v>
      </c>
      <c r="L627" s="26">
        <v>5</v>
      </c>
    </row>
    <row r="628" spans="1:12" x14ac:dyDescent="0.25">
      <c r="A628" s="26" t="s">
        <v>664</v>
      </c>
      <c r="B628" s="26" t="s">
        <v>659</v>
      </c>
      <c r="C628" s="26" t="s">
        <v>1245</v>
      </c>
      <c r="D628" s="26" t="s">
        <v>1076</v>
      </c>
      <c r="E628" s="26">
        <v>380</v>
      </c>
      <c r="F628" s="26">
        <v>381.53</v>
      </c>
      <c r="G628" s="26">
        <v>1.5299999999999729</v>
      </c>
      <c r="H628" s="26">
        <v>1.5299999999999729</v>
      </c>
      <c r="I628" s="26" t="s">
        <v>1230</v>
      </c>
      <c r="J628" s="26" t="s">
        <v>1231</v>
      </c>
      <c r="K628" s="26" t="b">
        <v>0</v>
      </c>
      <c r="L628" s="26">
        <v>1</v>
      </c>
    </row>
    <row r="629" spans="1:12" x14ac:dyDescent="0.25">
      <c r="A629" s="26" t="s">
        <v>665</v>
      </c>
      <c r="B629" s="26" t="s">
        <v>659</v>
      </c>
      <c r="C629" s="26" t="s">
        <v>1246</v>
      </c>
      <c r="D629" s="26" t="s">
        <v>1076</v>
      </c>
      <c r="E629" s="26">
        <v>282</v>
      </c>
      <c r="F629" s="26">
        <v>279.15185000000002</v>
      </c>
      <c r="G629" s="26">
        <v>-2.848149999999976</v>
      </c>
      <c r="H629" s="26">
        <v>2.848149999999976</v>
      </c>
      <c r="I629" s="26" t="s">
        <v>1230</v>
      </c>
      <c r="J629" s="26" t="s">
        <v>1231</v>
      </c>
      <c r="K629" s="26" t="b">
        <v>0</v>
      </c>
      <c r="L629" s="26">
        <v>2</v>
      </c>
    </row>
    <row r="630" spans="1:12" x14ac:dyDescent="0.25">
      <c r="A630" s="26" t="s">
        <v>666</v>
      </c>
      <c r="B630" s="26" t="s">
        <v>659</v>
      </c>
      <c r="C630" s="26" t="s">
        <v>1247</v>
      </c>
      <c r="D630" s="26" t="s">
        <v>1076</v>
      </c>
      <c r="E630" s="26">
        <v>150</v>
      </c>
      <c r="F630" s="26">
        <v>151.67919000000001</v>
      </c>
      <c r="G630" s="26">
        <v>1.679190000000006</v>
      </c>
      <c r="H630" s="26">
        <v>1.679190000000006</v>
      </c>
      <c r="I630" s="26" t="s">
        <v>1230</v>
      </c>
      <c r="J630" s="26" t="s">
        <v>1231</v>
      </c>
      <c r="K630" s="26" t="b">
        <v>0</v>
      </c>
      <c r="L630" s="26">
        <v>3</v>
      </c>
    </row>
    <row r="631" spans="1:12" x14ac:dyDescent="0.25">
      <c r="A631" s="26" t="s">
        <v>667</v>
      </c>
      <c r="B631" s="26" t="s">
        <v>659</v>
      </c>
      <c r="C631" s="26" t="s">
        <v>1248</v>
      </c>
      <c r="D631" s="26" t="s">
        <v>1076</v>
      </c>
      <c r="E631" s="26">
        <v>325</v>
      </c>
      <c r="F631" s="26">
        <v>323.68193999999988</v>
      </c>
      <c r="G631" s="26">
        <v>-1.31806000000006</v>
      </c>
      <c r="H631" s="26">
        <v>1.31806000000006</v>
      </c>
      <c r="I631" s="26" t="s">
        <v>1230</v>
      </c>
      <c r="J631" s="26" t="s">
        <v>1231</v>
      </c>
      <c r="K631" s="26" t="b">
        <v>0</v>
      </c>
      <c r="L631" s="26">
        <v>4</v>
      </c>
    </row>
    <row r="632" spans="1:12" x14ac:dyDescent="0.25">
      <c r="A632" s="26" t="s">
        <v>668</v>
      </c>
      <c r="B632" s="26" t="s">
        <v>659</v>
      </c>
      <c r="C632" s="26" t="s">
        <v>1249</v>
      </c>
      <c r="D632" s="26" t="s">
        <v>1076</v>
      </c>
      <c r="E632" s="26">
        <v>215</v>
      </c>
      <c r="F632" s="26">
        <v>218.60944000000001</v>
      </c>
      <c r="G632" s="26">
        <v>3.609440000000006</v>
      </c>
      <c r="H632" s="26">
        <v>3.609440000000006</v>
      </c>
      <c r="I632" s="26" t="s">
        <v>1230</v>
      </c>
      <c r="J632" s="26" t="s">
        <v>1231</v>
      </c>
      <c r="K632" s="26" t="b">
        <v>0</v>
      </c>
      <c r="L632" s="26">
        <v>5</v>
      </c>
    </row>
    <row r="633" spans="1:12" x14ac:dyDescent="0.25">
      <c r="A633" s="26" t="s">
        <v>669</v>
      </c>
      <c r="B633" s="26" t="s">
        <v>670</v>
      </c>
      <c r="C633" s="26" t="s">
        <v>1238</v>
      </c>
      <c r="D633" s="26" t="s">
        <v>1076</v>
      </c>
      <c r="E633" s="26">
        <v>331</v>
      </c>
      <c r="F633" s="26">
        <v>329.15060999999997</v>
      </c>
      <c r="G633" s="26">
        <v>-1.8493900000000281</v>
      </c>
      <c r="H633" s="26">
        <v>1.8493900000000281</v>
      </c>
      <c r="I633" s="26" t="s">
        <v>1230</v>
      </c>
      <c r="J633" s="26" t="s">
        <v>1231</v>
      </c>
      <c r="K633" s="26" t="b">
        <v>0</v>
      </c>
      <c r="L633" s="26">
        <v>1</v>
      </c>
    </row>
    <row r="634" spans="1:12" x14ac:dyDescent="0.25">
      <c r="A634" s="26" t="s">
        <v>671</v>
      </c>
      <c r="B634" s="26" t="s">
        <v>670</v>
      </c>
      <c r="C634" s="26" t="s">
        <v>1241</v>
      </c>
      <c r="D634" s="26" t="s">
        <v>1076</v>
      </c>
      <c r="E634" s="26">
        <v>264</v>
      </c>
      <c r="F634" s="26">
        <v>262.78466000000031</v>
      </c>
      <c r="G634" s="26">
        <v>-1.2153399999997421</v>
      </c>
      <c r="H634" s="26">
        <v>1.2153399999997421</v>
      </c>
      <c r="I634" s="26" t="s">
        <v>1230</v>
      </c>
      <c r="J634" s="26" t="s">
        <v>1231</v>
      </c>
      <c r="K634" s="26" t="b">
        <v>0</v>
      </c>
      <c r="L634" s="26">
        <v>2</v>
      </c>
    </row>
    <row r="635" spans="1:12" x14ac:dyDescent="0.25">
      <c r="A635" s="26" t="s">
        <v>672</v>
      </c>
      <c r="B635" s="26" t="s">
        <v>670</v>
      </c>
      <c r="C635" s="26" t="s">
        <v>1242</v>
      </c>
      <c r="D635" s="26" t="s">
        <v>1076</v>
      </c>
      <c r="E635" s="26">
        <v>360</v>
      </c>
      <c r="F635" s="26">
        <v>359.65224999999998</v>
      </c>
      <c r="G635" s="26">
        <v>-0.3477500000000191</v>
      </c>
      <c r="H635" s="26">
        <v>0.3477500000000191</v>
      </c>
      <c r="I635" s="26" t="s">
        <v>1230</v>
      </c>
      <c r="J635" s="26" t="s">
        <v>1231</v>
      </c>
      <c r="K635" s="26" t="b">
        <v>0</v>
      </c>
      <c r="L635" s="26">
        <v>3</v>
      </c>
    </row>
    <row r="636" spans="1:12" x14ac:dyDescent="0.25">
      <c r="A636" s="26" t="s">
        <v>673</v>
      </c>
      <c r="B636" s="26" t="s">
        <v>670</v>
      </c>
      <c r="C636" s="26" t="s">
        <v>1243</v>
      </c>
      <c r="D636" s="26" t="s">
        <v>1076</v>
      </c>
      <c r="E636" s="26">
        <v>328</v>
      </c>
      <c r="F636" s="26">
        <v>326.20618000000002</v>
      </c>
      <c r="G636" s="26">
        <v>-1.793819999999982</v>
      </c>
      <c r="H636" s="26">
        <v>1.793819999999982</v>
      </c>
      <c r="I636" s="26" t="s">
        <v>1230</v>
      </c>
      <c r="J636" s="26" t="s">
        <v>1231</v>
      </c>
      <c r="K636" s="26" t="b">
        <v>0</v>
      </c>
      <c r="L636" s="26">
        <v>4</v>
      </c>
    </row>
    <row r="637" spans="1:12" x14ac:dyDescent="0.25">
      <c r="A637" s="26" t="s">
        <v>674</v>
      </c>
      <c r="B637" s="26" t="s">
        <v>670</v>
      </c>
      <c r="C637" s="26" t="s">
        <v>1244</v>
      </c>
      <c r="D637" s="26" t="s">
        <v>1076</v>
      </c>
      <c r="E637" s="26">
        <v>283</v>
      </c>
      <c r="F637" s="26">
        <v>281.09237999999999</v>
      </c>
      <c r="G637" s="26">
        <v>-1.907620000000009</v>
      </c>
      <c r="H637" s="26">
        <v>1.907620000000009</v>
      </c>
      <c r="I637" s="26" t="s">
        <v>1230</v>
      </c>
      <c r="J637" s="26" t="s">
        <v>1231</v>
      </c>
      <c r="K637" s="26" t="b">
        <v>0</v>
      </c>
      <c r="L637" s="26">
        <v>5</v>
      </c>
    </row>
    <row r="638" spans="1:12" x14ac:dyDescent="0.25">
      <c r="A638" s="26" t="s">
        <v>675</v>
      </c>
      <c r="B638" s="26" t="s">
        <v>670</v>
      </c>
      <c r="C638" s="26" t="s">
        <v>1245</v>
      </c>
      <c r="D638" s="26" t="s">
        <v>1076</v>
      </c>
      <c r="E638" s="26">
        <v>240</v>
      </c>
      <c r="F638" s="26">
        <v>239.17</v>
      </c>
      <c r="G638" s="26">
        <v>-0.83000000000001251</v>
      </c>
      <c r="H638" s="26">
        <v>0.83000000000001251</v>
      </c>
      <c r="I638" s="26" t="s">
        <v>1230</v>
      </c>
      <c r="J638" s="26" t="s">
        <v>1231</v>
      </c>
      <c r="K638" s="26" t="b">
        <v>0</v>
      </c>
      <c r="L638" s="26">
        <v>1</v>
      </c>
    </row>
    <row r="639" spans="1:12" x14ac:dyDescent="0.25">
      <c r="A639" s="26" t="s">
        <v>676</v>
      </c>
      <c r="B639" s="26" t="s">
        <v>670</v>
      </c>
      <c r="C639" s="26" t="s">
        <v>1246</v>
      </c>
      <c r="D639" s="26" t="s">
        <v>1076</v>
      </c>
      <c r="E639" s="26">
        <v>227</v>
      </c>
      <c r="F639" s="26">
        <v>230.47694000000001</v>
      </c>
      <c r="G639" s="26">
        <v>3.4769400000000128</v>
      </c>
      <c r="H639" s="26">
        <v>3.4769400000000128</v>
      </c>
      <c r="I639" s="26" t="s">
        <v>1230</v>
      </c>
      <c r="J639" s="26" t="s">
        <v>1231</v>
      </c>
      <c r="K639" s="26" t="b">
        <v>0</v>
      </c>
      <c r="L639" s="26">
        <v>2</v>
      </c>
    </row>
    <row r="640" spans="1:12" x14ac:dyDescent="0.25">
      <c r="A640" s="26" t="s">
        <v>677</v>
      </c>
      <c r="B640" s="26" t="s">
        <v>670</v>
      </c>
      <c r="C640" s="26" t="s">
        <v>1247</v>
      </c>
      <c r="D640" s="26" t="s">
        <v>1076</v>
      </c>
      <c r="E640" s="26">
        <v>157</v>
      </c>
      <c r="F640" s="26">
        <v>159.78262000000021</v>
      </c>
      <c r="G640" s="26">
        <v>2.7826200000001791</v>
      </c>
      <c r="H640" s="26">
        <v>2.7826200000001791</v>
      </c>
      <c r="I640" s="26" t="s">
        <v>1230</v>
      </c>
      <c r="J640" s="26" t="s">
        <v>1231</v>
      </c>
      <c r="K640" s="26" t="b">
        <v>0</v>
      </c>
      <c r="L640" s="26">
        <v>3</v>
      </c>
    </row>
    <row r="641" spans="1:12" x14ac:dyDescent="0.25">
      <c r="A641" s="26" t="s">
        <v>678</v>
      </c>
      <c r="B641" s="26" t="s">
        <v>670</v>
      </c>
      <c r="C641" s="26" t="s">
        <v>1248</v>
      </c>
      <c r="D641" s="26" t="s">
        <v>1076</v>
      </c>
      <c r="E641" s="26">
        <v>95</v>
      </c>
      <c r="F641" s="26">
        <v>98.645510000000101</v>
      </c>
      <c r="G641" s="26">
        <v>3.6455100000001011</v>
      </c>
      <c r="H641" s="26">
        <v>3.6455100000001011</v>
      </c>
      <c r="I641" s="26" t="s">
        <v>1230</v>
      </c>
      <c r="J641" s="26" t="s">
        <v>1231</v>
      </c>
      <c r="K641" s="26" t="b">
        <v>0</v>
      </c>
      <c r="L641" s="26">
        <v>4</v>
      </c>
    </row>
    <row r="642" spans="1:12" x14ac:dyDescent="0.25">
      <c r="A642" s="26" t="s">
        <v>679</v>
      </c>
      <c r="B642" s="26" t="s">
        <v>670</v>
      </c>
      <c r="C642" s="26" t="s">
        <v>1249</v>
      </c>
      <c r="D642" s="26" t="s">
        <v>1076</v>
      </c>
      <c r="E642" s="26">
        <v>172</v>
      </c>
      <c r="F642" s="26">
        <v>172.97592</v>
      </c>
      <c r="G642" s="26">
        <v>0.97592000000000212</v>
      </c>
      <c r="H642" s="26">
        <v>0.97592000000000212</v>
      </c>
      <c r="I642" s="26" t="s">
        <v>1230</v>
      </c>
      <c r="J642" s="26" t="s">
        <v>1231</v>
      </c>
      <c r="K642" s="26" t="b">
        <v>0</v>
      </c>
      <c r="L642" s="26">
        <v>5</v>
      </c>
    </row>
    <row r="643" spans="1:12" x14ac:dyDescent="0.25">
      <c r="A643" s="26" t="s">
        <v>680</v>
      </c>
      <c r="B643" s="26" t="s">
        <v>681</v>
      </c>
      <c r="C643" s="26" t="s">
        <v>1238</v>
      </c>
      <c r="D643" s="26" t="s">
        <v>1076</v>
      </c>
      <c r="E643" s="26">
        <v>227</v>
      </c>
      <c r="F643" s="26">
        <v>224.66439000000011</v>
      </c>
      <c r="G643" s="26">
        <v>-2.335609999999861</v>
      </c>
      <c r="H643" s="26">
        <v>2.335609999999861</v>
      </c>
      <c r="I643" s="26" t="s">
        <v>1230</v>
      </c>
      <c r="J643" s="26" t="s">
        <v>1231</v>
      </c>
      <c r="K643" s="26" t="b">
        <v>0</v>
      </c>
      <c r="L643" s="26">
        <v>1</v>
      </c>
    </row>
    <row r="644" spans="1:12" x14ac:dyDescent="0.25">
      <c r="A644" s="26" t="s">
        <v>682</v>
      </c>
      <c r="B644" s="26" t="s">
        <v>681</v>
      </c>
      <c r="C644" s="26" t="s">
        <v>1241</v>
      </c>
      <c r="D644" s="26" t="s">
        <v>1076</v>
      </c>
      <c r="E644" s="26">
        <v>307</v>
      </c>
      <c r="F644" s="26">
        <v>305.19</v>
      </c>
      <c r="G644" s="26">
        <v>-1.8100000000000021</v>
      </c>
      <c r="H644" s="26">
        <v>1.8100000000000021</v>
      </c>
      <c r="I644" s="26" t="s">
        <v>1230</v>
      </c>
      <c r="J644" s="26" t="s">
        <v>1231</v>
      </c>
      <c r="K644" s="26" t="b">
        <v>0</v>
      </c>
      <c r="L644" s="26">
        <v>2</v>
      </c>
    </row>
    <row r="645" spans="1:12" x14ac:dyDescent="0.25">
      <c r="A645" s="26" t="s">
        <v>683</v>
      </c>
      <c r="B645" s="26" t="s">
        <v>681</v>
      </c>
      <c r="C645" s="26" t="s">
        <v>1242</v>
      </c>
      <c r="D645" s="26" t="s">
        <v>1076</v>
      </c>
      <c r="E645" s="26">
        <v>280</v>
      </c>
      <c r="F645" s="26">
        <v>278.60111000000001</v>
      </c>
      <c r="G645" s="26">
        <v>-1.398889999999994</v>
      </c>
      <c r="H645" s="26">
        <v>1.398889999999994</v>
      </c>
      <c r="I645" s="26" t="s">
        <v>1230</v>
      </c>
      <c r="J645" s="26" t="s">
        <v>1231</v>
      </c>
      <c r="K645" s="26" t="b">
        <v>0</v>
      </c>
      <c r="L645" s="26">
        <v>3</v>
      </c>
    </row>
    <row r="646" spans="1:12" x14ac:dyDescent="0.25">
      <c r="A646" s="26" t="s">
        <v>684</v>
      </c>
      <c r="B646" s="26" t="s">
        <v>681</v>
      </c>
      <c r="C646" s="26" t="s">
        <v>1243</v>
      </c>
      <c r="D646" s="26" t="s">
        <v>1076</v>
      </c>
      <c r="E646" s="26">
        <v>235</v>
      </c>
      <c r="F646" s="26">
        <v>232.69284000000019</v>
      </c>
      <c r="G646" s="26">
        <v>-2.3071599999998398</v>
      </c>
      <c r="H646" s="26">
        <v>2.3071599999998398</v>
      </c>
      <c r="I646" s="26" t="s">
        <v>1230</v>
      </c>
      <c r="J646" s="26" t="s">
        <v>1231</v>
      </c>
      <c r="K646" s="26" t="b">
        <v>0</v>
      </c>
      <c r="L646" s="26">
        <v>4</v>
      </c>
    </row>
    <row r="647" spans="1:12" x14ac:dyDescent="0.25">
      <c r="A647" s="26" t="s">
        <v>685</v>
      </c>
      <c r="B647" s="26" t="s">
        <v>681</v>
      </c>
      <c r="C647" s="26" t="s">
        <v>1244</v>
      </c>
      <c r="D647" s="26" t="s">
        <v>1076</v>
      </c>
      <c r="E647" s="26">
        <v>224</v>
      </c>
      <c r="F647" s="26">
        <v>221.39354</v>
      </c>
      <c r="G647" s="26">
        <v>-2.60645999999997</v>
      </c>
      <c r="H647" s="26">
        <v>2.60645999999997</v>
      </c>
      <c r="I647" s="26" t="s">
        <v>1230</v>
      </c>
      <c r="J647" s="26" t="s">
        <v>1231</v>
      </c>
      <c r="K647" s="26" t="b">
        <v>0</v>
      </c>
      <c r="L647" s="26">
        <v>5</v>
      </c>
    </row>
    <row r="648" spans="1:12" x14ac:dyDescent="0.25">
      <c r="A648" s="26" t="s">
        <v>686</v>
      </c>
      <c r="B648" s="26" t="s">
        <v>681</v>
      </c>
      <c r="C648" s="26" t="s">
        <v>1245</v>
      </c>
      <c r="D648" s="26" t="s">
        <v>1076</v>
      </c>
      <c r="E648" s="26">
        <v>361</v>
      </c>
      <c r="F648" s="26">
        <v>363.89269999999999</v>
      </c>
      <c r="G648" s="26">
        <v>2.8926999999999912</v>
      </c>
      <c r="H648" s="26">
        <v>2.8926999999999912</v>
      </c>
      <c r="I648" s="26" t="s">
        <v>1230</v>
      </c>
      <c r="J648" s="26" t="s">
        <v>1231</v>
      </c>
      <c r="K648" s="26" t="b">
        <v>0</v>
      </c>
      <c r="L648" s="26">
        <v>1</v>
      </c>
    </row>
    <row r="649" spans="1:12" x14ac:dyDescent="0.25">
      <c r="A649" s="26" t="s">
        <v>687</v>
      </c>
      <c r="B649" s="26" t="s">
        <v>681</v>
      </c>
      <c r="C649" s="26" t="s">
        <v>1246</v>
      </c>
      <c r="D649" s="26" t="s">
        <v>1076</v>
      </c>
      <c r="E649" s="26">
        <v>280</v>
      </c>
      <c r="F649" s="26">
        <v>278.91397000000001</v>
      </c>
      <c r="G649" s="26">
        <v>-1.0860299999999941</v>
      </c>
      <c r="H649" s="26">
        <v>1.0860299999999941</v>
      </c>
      <c r="I649" s="26" t="s">
        <v>1230</v>
      </c>
      <c r="J649" s="26" t="s">
        <v>1231</v>
      </c>
      <c r="K649" s="26" t="b">
        <v>0</v>
      </c>
      <c r="L649" s="26">
        <v>2</v>
      </c>
    </row>
    <row r="650" spans="1:12" x14ac:dyDescent="0.25">
      <c r="A650" s="26" t="s">
        <v>688</v>
      </c>
      <c r="B650" s="26" t="s">
        <v>681</v>
      </c>
      <c r="C650" s="26" t="s">
        <v>1247</v>
      </c>
      <c r="D650" s="26" t="s">
        <v>1076</v>
      </c>
      <c r="E650" s="26">
        <v>246</v>
      </c>
      <c r="F650" s="26">
        <v>247.84864999999999</v>
      </c>
      <c r="G650" s="26">
        <v>1.8486499999999919</v>
      </c>
      <c r="H650" s="26">
        <v>1.8486499999999919</v>
      </c>
      <c r="I650" s="26" t="s">
        <v>1230</v>
      </c>
      <c r="J650" s="26" t="s">
        <v>1231</v>
      </c>
      <c r="K650" s="26" t="b">
        <v>0</v>
      </c>
      <c r="L650" s="26">
        <v>3</v>
      </c>
    </row>
    <row r="651" spans="1:12" x14ac:dyDescent="0.25">
      <c r="A651" s="26" t="s">
        <v>689</v>
      </c>
      <c r="B651" s="26" t="s">
        <v>681</v>
      </c>
      <c r="C651" s="26" t="s">
        <v>1248</v>
      </c>
      <c r="D651" s="26" t="s">
        <v>1076</v>
      </c>
      <c r="E651" s="26">
        <v>260</v>
      </c>
      <c r="F651" s="26">
        <v>261.35091</v>
      </c>
      <c r="G651" s="26">
        <v>1.3509099999999989</v>
      </c>
      <c r="H651" s="26">
        <v>1.3509099999999989</v>
      </c>
      <c r="I651" s="26" t="s">
        <v>1230</v>
      </c>
      <c r="J651" s="26" t="s">
        <v>1231</v>
      </c>
      <c r="K651" s="26" t="b">
        <v>0</v>
      </c>
      <c r="L651" s="26">
        <v>4</v>
      </c>
    </row>
    <row r="652" spans="1:12" x14ac:dyDescent="0.25">
      <c r="A652" s="26" t="s">
        <v>690</v>
      </c>
      <c r="B652" s="26" t="s">
        <v>681</v>
      </c>
      <c r="C652" s="26" t="s">
        <v>1249</v>
      </c>
      <c r="D652" s="26" t="s">
        <v>1076</v>
      </c>
      <c r="E652" s="26">
        <v>311</v>
      </c>
      <c r="F652" s="26">
        <v>308.27920999999992</v>
      </c>
      <c r="G652" s="26">
        <v>-2.7207900000000791</v>
      </c>
      <c r="H652" s="26">
        <v>2.7207900000000791</v>
      </c>
      <c r="I652" s="26" t="s">
        <v>1230</v>
      </c>
      <c r="J652" s="26" t="s">
        <v>1231</v>
      </c>
      <c r="K652" s="26" t="b">
        <v>0</v>
      </c>
      <c r="L652" s="26">
        <v>5</v>
      </c>
    </row>
    <row r="653" spans="1:12" x14ac:dyDescent="0.25">
      <c r="A653" s="26" t="s">
        <v>691</v>
      </c>
      <c r="B653" s="26" t="s">
        <v>692</v>
      </c>
      <c r="C653" s="26" t="s">
        <v>1238</v>
      </c>
      <c r="D653" s="26" t="s">
        <v>1076</v>
      </c>
      <c r="E653" s="26">
        <v>115</v>
      </c>
      <c r="F653" s="26">
        <v>112.68238000000019</v>
      </c>
      <c r="G653" s="26">
        <v>-2.3176199999998062</v>
      </c>
      <c r="H653" s="26">
        <v>2.3176199999998062</v>
      </c>
      <c r="I653" s="26" t="s">
        <v>1230</v>
      </c>
      <c r="J653" s="26" t="s">
        <v>1231</v>
      </c>
      <c r="K653" s="26" t="b">
        <v>0</v>
      </c>
      <c r="L653" s="26">
        <v>1</v>
      </c>
    </row>
    <row r="654" spans="1:12" x14ac:dyDescent="0.25">
      <c r="A654" s="26" t="s">
        <v>693</v>
      </c>
      <c r="B654" s="26" t="s">
        <v>692</v>
      </c>
      <c r="C654" s="26" t="s">
        <v>1241</v>
      </c>
      <c r="D654" s="26" t="s">
        <v>1076</v>
      </c>
      <c r="E654" s="26">
        <v>298</v>
      </c>
      <c r="F654" s="26">
        <v>294.42270000000008</v>
      </c>
      <c r="G654" s="26">
        <v>-3.5772999999999229</v>
      </c>
      <c r="H654" s="26">
        <v>3.5772999999999229</v>
      </c>
      <c r="I654" s="26" t="s">
        <v>1230</v>
      </c>
      <c r="J654" s="26" t="s">
        <v>1231</v>
      </c>
      <c r="K654" s="26" t="b">
        <v>0</v>
      </c>
      <c r="L654" s="26">
        <v>2</v>
      </c>
    </row>
    <row r="655" spans="1:12" x14ac:dyDescent="0.25">
      <c r="A655" s="26" t="s">
        <v>694</v>
      </c>
      <c r="B655" s="26" t="s">
        <v>692</v>
      </c>
      <c r="C655" s="26" t="s">
        <v>1242</v>
      </c>
      <c r="D655" s="26" t="s">
        <v>1076</v>
      </c>
      <c r="E655" s="26">
        <v>308</v>
      </c>
      <c r="F655" s="26">
        <v>309.34514999999999</v>
      </c>
      <c r="G655" s="26">
        <v>1.3451499999999901</v>
      </c>
      <c r="H655" s="26">
        <v>1.3451499999999901</v>
      </c>
      <c r="I655" s="26" t="s">
        <v>1230</v>
      </c>
      <c r="J655" s="26" t="s">
        <v>1231</v>
      </c>
      <c r="K655" s="26" t="b">
        <v>0</v>
      </c>
      <c r="L655" s="26">
        <v>3</v>
      </c>
    </row>
    <row r="656" spans="1:12" x14ac:dyDescent="0.25">
      <c r="A656" s="26" t="s">
        <v>695</v>
      </c>
      <c r="B656" s="26" t="s">
        <v>692</v>
      </c>
      <c r="C656" s="26" t="s">
        <v>1243</v>
      </c>
      <c r="D656" s="26" t="s">
        <v>1076</v>
      </c>
      <c r="E656" s="26">
        <v>367</v>
      </c>
      <c r="F656" s="26">
        <v>364.41889000000009</v>
      </c>
      <c r="G656" s="26">
        <v>-2.5811099999998528</v>
      </c>
      <c r="H656" s="26">
        <v>2.5811099999998528</v>
      </c>
      <c r="I656" s="26" t="s">
        <v>1230</v>
      </c>
      <c r="J656" s="26" t="s">
        <v>1231</v>
      </c>
      <c r="K656" s="26" t="b">
        <v>0</v>
      </c>
      <c r="L656" s="26">
        <v>4</v>
      </c>
    </row>
    <row r="657" spans="1:12" x14ac:dyDescent="0.25">
      <c r="A657" s="26" t="s">
        <v>696</v>
      </c>
      <c r="B657" s="26" t="s">
        <v>692</v>
      </c>
      <c r="C657" s="26" t="s">
        <v>1244</v>
      </c>
      <c r="D657" s="26" t="s">
        <v>1076</v>
      </c>
      <c r="E657" s="26">
        <v>248</v>
      </c>
      <c r="F657" s="26">
        <v>244.8247200000003</v>
      </c>
      <c r="G657" s="26">
        <v>-3.1752799999997019</v>
      </c>
      <c r="H657" s="26">
        <v>3.1752799999997019</v>
      </c>
      <c r="I657" s="26" t="s">
        <v>1230</v>
      </c>
      <c r="J657" s="26" t="s">
        <v>1231</v>
      </c>
      <c r="K657" s="26" t="b">
        <v>0</v>
      </c>
      <c r="L657" s="26">
        <v>5</v>
      </c>
    </row>
    <row r="658" spans="1:12" x14ac:dyDescent="0.25">
      <c r="A658" s="26" t="s">
        <v>697</v>
      </c>
      <c r="B658" s="26" t="s">
        <v>692</v>
      </c>
      <c r="C658" s="26" t="s">
        <v>1245</v>
      </c>
      <c r="D658" s="26" t="s">
        <v>1076</v>
      </c>
      <c r="E658" s="26">
        <v>274</v>
      </c>
      <c r="F658" s="26">
        <v>270.86354</v>
      </c>
      <c r="G658" s="26">
        <v>-3.13646</v>
      </c>
      <c r="H658" s="26">
        <v>3.13646</v>
      </c>
      <c r="I658" s="26" t="s">
        <v>1230</v>
      </c>
      <c r="J658" s="26" t="s">
        <v>1231</v>
      </c>
      <c r="K658" s="26" t="b">
        <v>0</v>
      </c>
      <c r="L658" s="26">
        <v>1</v>
      </c>
    </row>
    <row r="659" spans="1:12" x14ac:dyDescent="0.25">
      <c r="A659" s="26" t="s">
        <v>698</v>
      </c>
      <c r="B659" s="26" t="s">
        <v>692</v>
      </c>
      <c r="C659" s="26" t="s">
        <v>1246</v>
      </c>
      <c r="D659" s="26" t="s">
        <v>1076</v>
      </c>
      <c r="E659" s="26">
        <v>345</v>
      </c>
      <c r="F659" s="26">
        <v>344.52</v>
      </c>
      <c r="G659" s="26">
        <v>-0.48000000000001819</v>
      </c>
      <c r="H659" s="26">
        <v>0.48000000000001819</v>
      </c>
      <c r="I659" s="26" t="s">
        <v>1230</v>
      </c>
      <c r="J659" s="26" t="s">
        <v>1231</v>
      </c>
      <c r="K659" s="26" t="b">
        <v>0</v>
      </c>
      <c r="L659" s="26">
        <v>2</v>
      </c>
    </row>
    <row r="660" spans="1:12" x14ac:dyDescent="0.25">
      <c r="A660" s="26" t="s">
        <v>699</v>
      </c>
      <c r="B660" s="26" t="s">
        <v>692</v>
      </c>
      <c r="C660" s="26" t="s">
        <v>1247</v>
      </c>
      <c r="D660" s="26" t="s">
        <v>1076</v>
      </c>
      <c r="E660" s="26">
        <v>383</v>
      </c>
      <c r="F660" s="26">
        <v>378.5132799999999</v>
      </c>
      <c r="G660" s="26">
        <v>-4.4867200000001048</v>
      </c>
      <c r="H660" s="26">
        <v>4.4867200000001048</v>
      </c>
      <c r="I660" s="26" t="s">
        <v>1230</v>
      </c>
      <c r="J660" s="26" t="s">
        <v>1231</v>
      </c>
      <c r="K660" s="26" t="b">
        <v>0</v>
      </c>
      <c r="L660" s="26">
        <v>3</v>
      </c>
    </row>
    <row r="661" spans="1:12" x14ac:dyDescent="0.25">
      <c r="A661" s="26" t="s">
        <v>700</v>
      </c>
      <c r="B661" s="26" t="s">
        <v>692</v>
      </c>
      <c r="C661" s="26" t="s">
        <v>1248</v>
      </c>
      <c r="D661" s="26" t="s">
        <v>1076</v>
      </c>
      <c r="E661" s="26">
        <v>187</v>
      </c>
      <c r="F661" s="26">
        <v>187.78395</v>
      </c>
      <c r="G661" s="26">
        <v>0.78395000000000437</v>
      </c>
      <c r="H661" s="26">
        <v>0.78395000000000437</v>
      </c>
      <c r="I661" s="26" t="s">
        <v>1230</v>
      </c>
      <c r="J661" s="26" t="s">
        <v>1231</v>
      </c>
      <c r="K661" s="26" t="b">
        <v>0</v>
      </c>
      <c r="L661" s="26">
        <v>4</v>
      </c>
    </row>
    <row r="662" spans="1:12" x14ac:dyDescent="0.25">
      <c r="A662" s="26" t="s">
        <v>701</v>
      </c>
      <c r="B662" s="26" t="s">
        <v>692</v>
      </c>
      <c r="C662" s="26" t="s">
        <v>1249</v>
      </c>
      <c r="D662" s="26" t="s">
        <v>1076</v>
      </c>
      <c r="E662" s="26">
        <v>95</v>
      </c>
      <c r="F662" s="26">
        <v>98.894380000000197</v>
      </c>
      <c r="G662" s="26">
        <v>3.8943800000001971</v>
      </c>
      <c r="H662" s="26">
        <v>3.8943800000001971</v>
      </c>
      <c r="I662" s="26" t="s">
        <v>1230</v>
      </c>
      <c r="J662" s="26" t="s">
        <v>1231</v>
      </c>
      <c r="K662" s="26" t="b">
        <v>0</v>
      </c>
      <c r="L662" s="26">
        <v>5</v>
      </c>
    </row>
    <row r="663" spans="1:12" x14ac:dyDescent="0.25">
      <c r="A663" s="26" t="s">
        <v>702</v>
      </c>
      <c r="B663" s="26" t="s">
        <v>703</v>
      </c>
      <c r="C663" s="26" t="s">
        <v>1238</v>
      </c>
      <c r="D663" s="26" t="s">
        <v>1076</v>
      </c>
      <c r="E663" s="26">
        <v>245</v>
      </c>
      <c r="F663" s="26">
        <v>244.56681</v>
      </c>
      <c r="G663" s="26">
        <v>-0.43318999999999619</v>
      </c>
      <c r="H663" s="26">
        <v>0.43318999999999619</v>
      </c>
      <c r="I663" s="26" t="s">
        <v>1230</v>
      </c>
      <c r="J663" s="26" t="s">
        <v>1231</v>
      </c>
      <c r="K663" s="26" t="b">
        <v>0</v>
      </c>
      <c r="L663" s="26">
        <v>1</v>
      </c>
    </row>
    <row r="664" spans="1:12" x14ac:dyDescent="0.25">
      <c r="A664" s="26" t="s">
        <v>704</v>
      </c>
      <c r="B664" s="26" t="s">
        <v>703</v>
      </c>
      <c r="C664" s="26" t="s">
        <v>1241</v>
      </c>
      <c r="D664" s="26" t="s">
        <v>1076</v>
      </c>
      <c r="E664" s="26">
        <v>286</v>
      </c>
      <c r="F664" s="26">
        <v>288.06844999999998</v>
      </c>
      <c r="G664" s="26">
        <v>2.0684499999999839</v>
      </c>
      <c r="H664" s="26">
        <v>2.0684499999999839</v>
      </c>
      <c r="I664" s="26" t="s">
        <v>1230</v>
      </c>
      <c r="J664" s="26" t="s">
        <v>1231</v>
      </c>
      <c r="K664" s="26" t="b">
        <v>0</v>
      </c>
      <c r="L664" s="26">
        <v>2</v>
      </c>
    </row>
    <row r="665" spans="1:12" x14ac:dyDescent="0.25">
      <c r="A665" s="26" t="s">
        <v>705</v>
      </c>
      <c r="B665" s="26" t="s">
        <v>703</v>
      </c>
      <c r="C665" s="26" t="s">
        <v>1242</v>
      </c>
      <c r="D665" s="26" t="s">
        <v>1076</v>
      </c>
      <c r="E665" s="26">
        <v>319</v>
      </c>
      <c r="F665" s="26">
        <v>318.19</v>
      </c>
      <c r="G665" s="26">
        <v>-0.81000000000000227</v>
      </c>
      <c r="H665" s="26">
        <v>0.81000000000000227</v>
      </c>
      <c r="I665" s="26" t="s">
        <v>1230</v>
      </c>
      <c r="J665" s="26" t="s">
        <v>1231</v>
      </c>
      <c r="K665" s="26" t="b">
        <v>0</v>
      </c>
      <c r="L665" s="26">
        <v>3</v>
      </c>
    </row>
    <row r="666" spans="1:12" x14ac:dyDescent="0.25">
      <c r="A666" s="26" t="s">
        <v>706</v>
      </c>
      <c r="B666" s="26" t="s">
        <v>703</v>
      </c>
      <c r="C666" s="26" t="s">
        <v>1243</v>
      </c>
      <c r="D666" s="26" t="s">
        <v>1076</v>
      </c>
      <c r="E666" s="26">
        <v>286</v>
      </c>
      <c r="F666" s="26">
        <v>283.59012000000001</v>
      </c>
      <c r="G666" s="26">
        <v>-2.4098799999999869</v>
      </c>
      <c r="H666" s="26">
        <v>2.4098799999999869</v>
      </c>
      <c r="I666" s="26" t="s">
        <v>1230</v>
      </c>
      <c r="J666" s="26" t="s">
        <v>1231</v>
      </c>
      <c r="K666" s="26" t="b">
        <v>0</v>
      </c>
      <c r="L666" s="26">
        <v>4</v>
      </c>
    </row>
    <row r="667" spans="1:12" x14ac:dyDescent="0.25">
      <c r="A667" s="26" t="s">
        <v>707</v>
      </c>
      <c r="B667" s="26" t="s">
        <v>703</v>
      </c>
      <c r="C667" s="26" t="s">
        <v>1244</v>
      </c>
      <c r="D667" s="26" t="s">
        <v>1076</v>
      </c>
      <c r="E667" s="26">
        <v>256</v>
      </c>
      <c r="F667" s="26">
        <v>256.96564000000001</v>
      </c>
      <c r="G667" s="26">
        <v>0.9656400000000076</v>
      </c>
      <c r="H667" s="26">
        <v>0.9656400000000076</v>
      </c>
      <c r="I667" s="26" t="s">
        <v>1230</v>
      </c>
      <c r="J667" s="26" t="s">
        <v>1231</v>
      </c>
      <c r="K667" s="26" t="b">
        <v>0</v>
      </c>
      <c r="L667" s="26">
        <v>5</v>
      </c>
    </row>
    <row r="668" spans="1:12" x14ac:dyDescent="0.25">
      <c r="A668" s="26" t="s">
        <v>708</v>
      </c>
      <c r="B668" s="26" t="s">
        <v>703</v>
      </c>
      <c r="C668" s="26" t="s">
        <v>1245</v>
      </c>
      <c r="D668" s="26" t="s">
        <v>1076</v>
      </c>
      <c r="E668" s="26">
        <v>331</v>
      </c>
      <c r="F668" s="26">
        <v>327.13120000000049</v>
      </c>
      <c r="G668" s="26">
        <v>-3.86879999999951</v>
      </c>
      <c r="H668" s="26">
        <v>3.86879999999951</v>
      </c>
      <c r="I668" s="26" t="s">
        <v>1230</v>
      </c>
      <c r="J668" s="26" t="s">
        <v>1231</v>
      </c>
      <c r="K668" s="26" t="b">
        <v>0</v>
      </c>
      <c r="L668" s="26">
        <v>1</v>
      </c>
    </row>
    <row r="669" spans="1:12" x14ac:dyDescent="0.25">
      <c r="A669" s="26" t="s">
        <v>709</v>
      </c>
      <c r="B669" s="26" t="s">
        <v>703</v>
      </c>
      <c r="C669" s="26" t="s">
        <v>1246</v>
      </c>
      <c r="D669" s="26" t="s">
        <v>1076</v>
      </c>
      <c r="E669" s="26">
        <v>298</v>
      </c>
      <c r="F669" s="26">
        <v>299.02192000000002</v>
      </c>
      <c r="G669" s="26">
        <v>1.021920000000023</v>
      </c>
      <c r="H669" s="26">
        <v>1.021920000000023</v>
      </c>
      <c r="I669" s="26" t="s">
        <v>1230</v>
      </c>
      <c r="J669" s="26" t="s">
        <v>1231</v>
      </c>
      <c r="K669" s="26" t="b">
        <v>0</v>
      </c>
      <c r="L669" s="26">
        <v>2</v>
      </c>
    </row>
    <row r="670" spans="1:12" x14ac:dyDescent="0.25">
      <c r="A670" s="26" t="s">
        <v>710</v>
      </c>
      <c r="B670" s="26" t="s">
        <v>703</v>
      </c>
      <c r="C670" s="26" t="s">
        <v>1247</v>
      </c>
      <c r="D670" s="26" t="s">
        <v>1076</v>
      </c>
      <c r="E670" s="26">
        <v>277</v>
      </c>
      <c r="F670" s="26">
        <v>276.52</v>
      </c>
      <c r="G670" s="26">
        <v>-0.48000000000001819</v>
      </c>
      <c r="H670" s="26">
        <v>0.48000000000001819</v>
      </c>
      <c r="I670" s="26" t="s">
        <v>1230</v>
      </c>
      <c r="J670" s="26" t="s">
        <v>1231</v>
      </c>
      <c r="K670" s="26" t="b">
        <v>0</v>
      </c>
      <c r="L670" s="26">
        <v>3</v>
      </c>
    </row>
    <row r="671" spans="1:12" x14ac:dyDescent="0.25">
      <c r="A671" s="26" t="s">
        <v>711</v>
      </c>
      <c r="B671" s="26" t="s">
        <v>703</v>
      </c>
      <c r="C671" s="26" t="s">
        <v>1248</v>
      </c>
      <c r="D671" s="26" t="s">
        <v>1076</v>
      </c>
      <c r="E671" s="26">
        <v>286</v>
      </c>
      <c r="F671" s="26">
        <v>287.88100000000031</v>
      </c>
      <c r="G671" s="26">
        <v>1.8810000000003131</v>
      </c>
      <c r="H671" s="26">
        <v>1.8810000000003131</v>
      </c>
      <c r="I671" s="26" t="s">
        <v>1230</v>
      </c>
      <c r="J671" s="26" t="s">
        <v>1231</v>
      </c>
      <c r="K671" s="26" t="b">
        <v>0</v>
      </c>
      <c r="L671" s="26">
        <v>4</v>
      </c>
    </row>
    <row r="672" spans="1:12" x14ac:dyDescent="0.25">
      <c r="A672" s="26" t="s">
        <v>712</v>
      </c>
      <c r="B672" s="26" t="s">
        <v>703</v>
      </c>
      <c r="C672" s="26" t="s">
        <v>1249</v>
      </c>
      <c r="D672" s="26" t="s">
        <v>1076</v>
      </c>
      <c r="E672" s="26">
        <v>350</v>
      </c>
      <c r="F672" s="26">
        <v>351.22302000000002</v>
      </c>
      <c r="G672" s="26">
        <v>1.22302000000002</v>
      </c>
      <c r="H672" s="26">
        <v>1.22302000000002</v>
      </c>
      <c r="I672" s="26" t="s">
        <v>1230</v>
      </c>
      <c r="J672" s="26" t="s">
        <v>1231</v>
      </c>
      <c r="K672" s="26" t="b">
        <v>0</v>
      </c>
      <c r="L672" s="26">
        <v>5</v>
      </c>
    </row>
    <row r="673" spans="1:12" x14ac:dyDescent="0.25">
      <c r="A673" s="26" t="s">
        <v>713</v>
      </c>
      <c r="B673" s="26" t="s">
        <v>714</v>
      </c>
      <c r="C673" s="26" t="s">
        <v>1238</v>
      </c>
      <c r="D673" s="26" t="s">
        <v>1076</v>
      </c>
      <c r="E673" s="26">
        <v>303</v>
      </c>
      <c r="F673" s="26">
        <v>301.31218000000001</v>
      </c>
      <c r="G673" s="26">
        <v>-1.6878199999999881</v>
      </c>
      <c r="H673" s="26">
        <v>1.6878199999999881</v>
      </c>
      <c r="I673" s="26" t="s">
        <v>1230</v>
      </c>
      <c r="J673" s="26" t="s">
        <v>1231</v>
      </c>
      <c r="K673" s="26" t="b">
        <v>0</v>
      </c>
      <c r="L673" s="26">
        <v>1</v>
      </c>
    </row>
    <row r="674" spans="1:12" x14ac:dyDescent="0.25">
      <c r="A674" s="26" t="s">
        <v>715</v>
      </c>
      <c r="B674" s="26" t="s">
        <v>714</v>
      </c>
      <c r="C674" s="26" t="s">
        <v>1241</v>
      </c>
      <c r="D674" s="26" t="s">
        <v>1076</v>
      </c>
      <c r="E674" s="26">
        <v>251</v>
      </c>
      <c r="F674" s="26">
        <v>254.02706000000001</v>
      </c>
      <c r="G674" s="26">
        <v>3.0270600000000059</v>
      </c>
      <c r="H674" s="26">
        <v>3.0270600000000059</v>
      </c>
      <c r="I674" s="26" t="s">
        <v>1230</v>
      </c>
      <c r="J674" s="26" t="s">
        <v>1231</v>
      </c>
      <c r="K674" s="26" t="b">
        <v>0</v>
      </c>
      <c r="L674" s="26">
        <v>2</v>
      </c>
    </row>
    <row r="675" spans="1:12" x14ac:dyDescent="0.25">
      <c r="A675" s="26" t="s">
        <v>716</v>
      </c>
      <c r="B675" s="26" t="s">
        <v>714</v>
      </c>
      <c r="C675" s="26" t="s">
        <v>1242</v>
      </c>
      <c r="D675" s="26" t="s">
        <v>1076</v>
      </c>
      <c r="E675" s="26">
        <v>175</v>
      </c>
      <c r="F675" s="26">
        <v>175.18535</v>
      </c>
      <c r="G675" s="26">
        <v>0.18534999999997129</v>
      </c>
      <c r="H675" s="26">
        <v>0.18534999999997129</v>
      </c>
      <c r="I675" s="26" t="s">
        <v>1230</v>
      </c>
      <c r="J675" s="26" t="s">
        <v>1231</v>
      </c>
      <c r="K675" s="26" t="b">
        <v>0</v>
      </c>
      <c r="L675" s="26">
        <v>3</v>
      </c>
    </row>
    <row r="676" spans="1:12" x14ac:dyDescent="0.25">
      <c r="A676" s="26" t="s">
        <v>717</v>
      </c>
      <c r="B676" s="26" t="s">
        <v>714</v>
      </c>
      <c r="C676" s="26" t="s">
        <v>1243</v>
      </c>
      <c r="D676" s="26" t="s">
        <v>1076</v>
      </c>
      <c r="E676" s="26">
        <v>269</v>
      </c>
      <c r="F676" s="26">
        <v>265.75816000000032</v>
      </c>
      <c r="G676" s="26">
        <v>-3.2418399999996841</v>
      </c>
      <c r="H676" s="26">
        <v>3.2418399999996841</v>
      </c>
      <c r="I676" s="26" t="s">
        <v>1230</v>
      </c>
      <c r="J676" s="26" t="s">
        <v>1231</v>
      </c>
      <c r="K676" s="26" t="b">
        <v>0</v>
      </c>
      <c r="L676" s="26">
        <v>4</v>
      </c>
    </row>
    <row r="677" spans="1:12" x14ac:dyDescent="0.25">
      <c r="A677" s="26" t="s">
        <v>718</v>
      </c>
      <c r="B677" s="26" t="s">
        <v>714</v>
      </c>
      <c r="C677" s="26" t="s">
        <v>1244</v>
      </c>
      <c r="D677" s="26" t="s">
        <v>1076</v>
      </c>
      <c r="E677" s="26">
        <v>295</v>
      </c>
      <c r="F677" s="26">
        <v>292.22231000000028</v>
      </c>
      <c r="G677" s="26">
        <v>-2.7776899999996658</v>
      </c>
      <c r="H677" s="26">
        <v>2.7776899999996658</v>
      </c>
      <c r="I677" s="26" t="s">
        <v>1230</v>
      </c>
      <c r="J677" s="26" t="s">
        <v>1231</v>
      </c>
      <c r="K677" s="26" t="b">
        <v>0</v>
      </c>
      <c r="L677" s="26">
        <v>5</v>
      </c>
    </row>
    <row r="678" spans="1:12" x14ac:dyDescent="0.25">
      <c r="A678" s="26" t="s">
        <v>719</v>
      </c>
      <c r="B678" s="26" t="s">
        <v>714</v>
      </c>
      <c r="C678" s="26" t="s">
        <v>1245</v>
      </c>
      <c r="D678" s="26" t="s">
        <v>1076</v>
      </c>
      <c r="E678" s="26">
        <v>264</v>
      </c>
      <c r="F678" s="26">
        <v>265.82666999999998</v>
      </c>
      <c r="G678" s="26">
        <v>1.8266699999999789</v>
      </c>
      <c r="H678" s="26">
        <v>1.8266699999999789</v>
      </c>
      <c r="I678" s="26" t="s">
        <v>1230</v>
      </c>
      <c r="J678" s="26" t="s">
        <v>1231</v>
      </c>
      <c r="K678" s="26" t="b">
        <v>0</v>
      </c>
      <c r="L678" s="26">
        <v>1</v>
      </c>
    </row>
    <row r="679" spans="1:12" x14ac:dyDescent="0.25">
      <c r="A679" s="26" t="s">
        <v>720</v>
      </c>
      <c r="B679" s="26" t="s">
        <v>714</v>
      </c>
      <c r="C679" s="26" t="s">
        <v>1246</v>
      </c>
      <c r="D679" s="26" t="s">
        <v>1076</v>
      </c>
      <c r="E679" s="26">
        <v>310</v>
      </c>
      <c r="F679" s="26">
        <v>309.29020000000008</v>
      </c>
      <c r="G679" s="26">
        <v>-0.70979999999985921</v>
      </c>
      <c r="H679" s="26">
        <v>0.70979999999985921</v>
      </c>
      <c r="I679" s="26" t="s">
        <v>1230</v>
      </c>
      <c r="J679" s="26" t="s">
        <v>1231</v>
      </c>
      <c r="K679" s="26" t="b">
        <v>0</v>
      </c>
      <c r="L679" s="26">
        <v>2</v>
      </c>
    </row>
    <row r="680" spans="1:12" x14ac:dyDescent="0.25">
      <c r="A680" s="26" t="s">
        <v>721</v>
      </c>
      <c r="B680" s="26" t="s">
        <v>714</v>
      </c>
      <c r="C680" s="26" t="s">
        <v>1247</v>
      </c>
      <c r="D680" s="26" t="s">
        <v>1076</v>
      </c>
      <c r="E680" s="26">
        <v>229</v>
      </c>
      <c r="F680" s="26">
        <v>227.51</v>
      </c>
      <c r="G680" s="26">
        <v>-1.4900000000000091</v>
      </c>
      <c r="H680" s="26">
        <v>1.4900000000000091</v>
      </c>
      <c r="I680" s="26" t="s">
        <v>1230</v>
      </c>
      <c r="J680" s="26" t="s">
        <v>1231</v>
      </c>
      <c r="K680" s="26" t="b">
        <v>0</v>
      </c>
      <c r="L680" s="26">
        <v>3</v>
      </c>
    </row>
    <row r="681" spans="1:12" x14ac:dyDescent="0.25">
      <c r="A681" s="26" t="s">
        <v>722</v>
      </c>
      <c r="B681" s="26" t="s">
        <v>714</v>
      </c>
      <c r="C681" s="26" t="s">
        <v>1248</v>
      </c>
      <c r="D681" s="26" t="s">
        <v>1076</v>
      </c>
      <c r="E681" s="26">
        <v>258</v>
      </c>
      <c r="F681" s="26">
        <v>260.28692000000001</v>
      </c>
      <c r="G681" s="26">
        <v>2.2869200000000092</v>
      </c>
      <c r="H681" s="26">
        <v>2.2869200000000092</v>
      </c>
      <c r="I681" s="26" t="s">
        <v>1230</v>
      </c>
      <c r="J681" s="26" t="s">
        <v>1231</v>
      </c>
      <c r="K681" s="26" t="b">
        <v>0</v>
      </c>
      <c r="L681" s="26">
        <v>4</v>
      </c>
    </row>
    <row r="682" spans="1:12" x14ac:dyDescent="0.25">
      <c r="A682" s="26" t="s">
        <v>723</v>
      </c>
      <c r="B682" s="26" t="s">
        <v>714</v>
      </c>
      <c r="C682" s="26" t="s">
        <v>1249</v>
      </c>
      <c r="D682" s="26" t="s">
        <v>1076</v>
      </c>
      <c r="E682" s="26">
        <v>339</v>
      </c>
      <c r="F682" s="26">
        <v>338.52</v>
      </c>
      <c r="G682" s="26">
        <v>-0.48000000000001819</v>
      </c>
      <c r="H682" s="26">
        <v>0.48000000000001819</v>
      </c>
      <c r="I682" s="26" t="s">
        <v>1230</v>
      </c>
      <c r="J682" s="26" t="s">
        <v>1231</v>
      </c>
      <c r="K682" s="26" t="b">
        <v>0</v>
      </c>
      <c r="L682" s="26">
        <v>5</v>
      </c>
    </row>
    <row r="683" spans="1:12" x14ac:dyDescent="0.25">
      <c r="A683" s="26" t="s">
        <v>724</v>
      </c>
      <c r="B683" s="26" t="s">
        <v>725</v>
      </c>
      <c r="C683" s="26" t="s">
        <v>1238</v>
      </c>
      <c r="D683" s="26" t="s">
        <v>1076</v>
      </c>
      <c r="E683" s="26">
        <v>190</v>
      </c>
      <c r="F683" s="26">
        <v>189.86797000000001</v>
      </c>
      <c r="G683" s="26">
        <v>-0.1320299999999861</v>
      </c>
      <c r="H683" s="26">
        <v>0.1320299999999861</v>
      </c>
      <c r="I683" s="26" t="s">
        <v>1230</v>
      </c>
      <c r="J683" s="26" t="s">
        <v>1231</v>
      </c>
      <c r="K683" s="26" t="b">
        <v>0</v>
      </c>
      <c r="L683" s="26">
        <v>1</v>
      </c>
    </row>
    <row r="684" spans="1:12" x14ac:dyDescent="0.25">
      <c r="A684" s="26" t="s">
        <v>726</v>
      </c>
      <c r="B684" s="26" t="s">
        <v>725</v>
      </c>
      <c r="C684" s="26" t="s">
        <v>1241</v>
      </c>
      <c r="D684" s="26" t="s">
        <v>1076</v>
      </c>
      <c r="E684" s="26">
        <v>302</v>
      </c>
      <c r="F684" s="26">
        <v>305.40913999999998</v>
      </c>
      <c r="G684" s="26">
        <v>3.409139999999979</v>
      </c>
      <c r="H684" s="26">
        <v>3.409139999999979</v>
      </c>
      <c r="I684" s="26" t="s">
        <v>1230</v>
      </c>
      <c r="J684" s="26" t="s">
        <v>1231</v>
      </c>
      <c r="K684" s="26" t="b">
        <v>0</v>
      </c>
      <c r="L684" s="26">
        <v>2</v>
      </c>
    </row>
    <row r="685" spans="1:12" x14ac:dyDescent="0.25">
      <c r="A685" s="26" t="s">
        <v>727</v>
      </c>
      <c r="B685" s="26" t="s">
        <v>725</v>
      </c>
      <c r="C685" s="26" t="s">
        <v>1242</v>
      </c>
      <c r="D685" s="26" t="s">
        <v>1076</v>
      </c>
      <c r="E685" s="26">
        <v>279</v>
      </c>
      <c r="F685" s="26">
        <v>276.29728999999998</v>
      </c>
      <c r="G685" s="26">
        <v>-2.702710000000025</v>
      </c>
      <c r="H685" s="26">
        <v>2.702710000000025</v>
      </c>
      <c r="I685" s="26" t="s">
        <v>1230</v>
      </c>
      <c r="J685" s="26" t="s">
        <v>1231</v>
      </c>
      <c r="K685" s="26" t="b">
        <v>0</v>
      </c>
      <c r="L685" s="26">
        <v>3</v>
      </c>
    </row>
    <row r="686" spans="1:12" x14ac:dyDescent="0.25">
      <c r="A686" s="26" t="s">
        <v>728</v>
      </c>
      <c r="B686" s="26" t="s">
        <v>725</v>
      </c>
      <c r="C686" s="26" t="s">
        <v>1243</v>
      </c>
      <c r="D686" s="26" t="s">
        <v>1076</v>
      </c>
      <c r="E686" s="26">
        <v>375</v>
      </c>
      <c r="F686" s="26">
        <v>370.66324000000031</v>
      </c>
      <c r="G686" s="26">
        <v>-4.3367599999996864</v>
      </c>
      <c r="H686" s="26">
        <v>4.3367599999996864</v>
      </c>
      <c r="I686" s="26" t="s">
        <v>1230</v>
      </c>
      <c r="J686" s="26" t="s">
        <v>1231</v>
      </c>
      <c r="K686" s="26" t="b">
        <v>0</v>
      </c>
      <c r="L686" s="26">
        <v>4</v>
      </c>
    </row>
    <row r="687" spans="1:12" x14ac:dyDescent="0.25">
      <c r="A687" s="26" t="s">
        <v>729</v>
      </c>
      <c r="B687" s="26" t="s">
        <v>725</v>
      </c>
      <c r="C687" s="26" t="s">
        <v>1244</v>
      </c>
      <c r="D687" s="26" t="s">
        <v>1076</v>
      </c>
      <c r="E687" s="26">
        <v>245</v>
      </c>
      <c r="F687" s="26">
        <v>246.72776000000019</v>
      </c>
      <c r="G687" s="26">
        <v>1.7277600000002169</v>
      </c>
      <c r="H687" s="26">
        <v>1.7277600000002169</v>
      </c>
      <c r="I687" s="26" t="s">
        <v>1230</v>
      </c>
      <c r="J687" s="26" t="s">
        <v>1231</v>
      </c>
      <c r="K687" s="26" t="b">
        <v>0</v>
      </c>
      <c r="L687" s="26">
        <v>5</v>
      </c>
    </row>
    <row r="688" spans="1:12" x14ac:dyDescent="0.25">
      <c r="A688" s="26" t="s">
        <v>730</v>
      </c>
      <c r="B688" s="26" t="s">
        <v>725</v>
      </c>
      <c r="C688" s="26" t="s">
        <v>1245</v>
      </c>
      <c r="D688" s="26" t="s">
        <v>1076</v>
      </c>
      <c r="E688" s="26">
        <v>186</v>
      </c>
      <c r="F688" s="26">
        <v>185.40772000000001</v>
      </c>
      <c r="G688" s="26">
        <v>-0.59227999999998815</v>
      </c>
      <c r="H688" s="26">
        <v>0.59227999999998815</v>
      </c>
      <c r="I688" s="26" t="s">
        <v>1230</v>
      </c>
      <c r="J688" s="26" t="s">
        <v>1231</v>
      </c>
      <c r="K688" s="26" t="b">
        <v>0</v>
      </c>
      <c r="L688" s="26">
        <v>1</v>
      </c>
    </row>
    <row r="689" spans="1:12" x14ac:dyDescent="0.25">
      <c r="A689" s="26" t="s">
        <v>731</v>
      </c>
      <c r="B689" s="26" t="s">
        <v>725</v>
      </c>
      <c r="C689" s="26" t="s">
        <v>1246</v>
      </c>
      <c r="D689" s="26" t="s">
        <v>1076</v>
      </c>
      <c r="E689" s="26">
        <v>330</v>
      </c>
      <c r="F689" s="26">
        <v>325.70392000000038</v>
      </c>
      <c r="G689" s="26">
        <v>-4.2960799999996198</v>
      </c>
      <c r="H689" s="26">
        <v>4.2960799999996198</v>
      </c>
      <c r="I689" s="26" t="s">
        <v>1230</v>
      </c>
      <c r="J689" s="26" t="s">
        <v>1231</v>
      </c>
      <c r="K689" s="26" t="b">
        <v>0</v>
      </c>
      <c r="L689" s="26">
        <v>2</v>
      </c>
    </row>
    <row r="690" spans="1:12" x14ac:dyDescent="0.25">
      <c r="A690" s="26" t="s">
        <v>732</v>
      </c>
      <c r="B690" s="26" t="s">
        <v>725</v>
      </c>
      <c r="C690" s="26" t="s">
        <v>1247</v>
      </c>
      <c r="D690" s="26" t="s">
        <v>1076</v>
      </c>
      <c r="E690" s="26">
        <v>346</v>
      </c>
      <c r="F690" s="26">
        <v>346.34001000000012</v>
      </c>
      <c r="G690" s="26">
        <v>0.34001000000012033</v>
      </c>
      <c r="H690" s="26">
        <v>0.34001000000012033</v>
      </c>
      <c r="I690" s="26" t="s">
        <v>1230</v>
      </c>
      <c r="J690" s="26" t="s">
        <v>1231</v>
      </c>
      <c r="K690" s="26" t="b">
        <v>0</v>
      </c>
      <c r="L690" s="26">
        <v>3</v>
      </c>
    </row>
    <row r="691" spans="1:12" x14ac:dyDescent="0.25">
      <c r="A691" s="26" t="s">
        <v>733</v>
      </c>
      <c r="B691" s="26" t="s">
        <v>725</v>
      </c>
      <c r="C691" s="26" t="s">
        <v>1248</v>
      </c>
      <c r="D691" s="26" t="s">
        <v>1076</v>
      </c>
      <c r="E691" s="26">
        <v>319</v>
      </c>
      <c r="F691" s="26">
        <v>316.65544</v>
      </c>
      <c r="G691" s="26">
        <v>-2.3445600000000009</v>
      </c>
      <c r="H691" s="26">
        <v>2.3445600000000009</v>
      </c>
      <c r="I691" s="26" t="s">
        <v>1230</v>
      </c>
      <c r="J691" s="26" t="s">
        <v>1231</v>
      </c>
      <c r="K691" s="26" t="b">
        <v>0</v>
      </c>
      <c r="L691" s="26">
        <v>4</v>
      </c>
    </row>
    <row r="692" spans="1:12" x14ac:dyDescent="0.25">
      <c r="A692" s="26" t="s">
        <v>734</v>
      </c>
      <c r="B692" s="26" t="s">
        <v>725</v>
      </c>
      <c r="C692" s="26" t="s">
        <v>1249</v>
      </c>
      <c r="D692" s="26" t="s">
        <v>1076</v>
      </c>
      <c r="E692" s="26">
        <v>365</v>
      </c>
      <c r="F692" s="26">
        <v>364.57274999999998</v>
      </c>
      <c r="G692" s="26">
        <v>-0.42725000000001501</v>
      </c>
      <c r="H692" s="26">
        <v>0.42725000000001501</v>
      </c>
      <c r="I692" s="26" t="s">
        <v>1230</v>
      </c>
      <c r="J692" s="26" t="s">
        <v>1231</v>
      </c>
      <c r="K692" s="26" t="b">
        <v>0</v>
      </c>
      <c r="L692" s="26">
        <v>5</v>
      </c>
    </row>
    <row r="693" spans="1:12" x14ac:dyDescent="0.25">
      <c r="A693" s="26" t="s">
        <v>735</v>
      </c>
      <c r="B693" s="26" t="s">
        <v>736</v>
      </c>
      <c r="C693" s="26" t="s">
        <v>1238</v>
      </c>
      <c r="D693" s="26" t="s">
        <v>1076</v>
      </c>
      <c r="E693" s="26">
        <v>196</v>
      </c>
      <c r="F693" s="26">
        <v>199.86540000000011</v>
      </c>
      <c r="G693" s="26">
        <v>3.8654000000001361</v>
      </c>
      <c r="H693" s="26">
        <v>3.8654000000001361</v>
      </c>
      <c r="I693" s="26" t="s">
        <v>1230</v>
      </c>
      <c r="J693" s="26" t="s">
        <v>1231</v>
      </c>
      <c r="K693" s="26" t="b">
        <v>0</v>
      </c>
      <c r="L693" s="26">
        <v>1</v>
      </c>
    </row>
    <row r="694" spans="1:12" x14ac:dyDescent="0.25">
      <c r="A694" s="26" t="s">
        <v>737</v>
      </c>
      <c r="B694" s="26" t="s">
        <v>736</v>
      </c>
      <c r="C694" s="26" t="s">
        <v>1241</v>
      </c>
      <c r="D694" s="26" t="s">
        <v>1076</v>
      </c>
      <c r="E694" s="26">
        <v>227</v>
      </c>
      <c r="F694" s="26">
        <v>229.07420999999999</v>
      </c>
      <c r="G694" s="26">
        <v>2.0742099999999941</v>
      </c>
      <c r="H694" s="26">
        <v>2.0742099999999941</v>
      </c>
      <c r="I694" s="26" t="s">
        <v>1230</v>
      </c>
      <c r="J694" s="26" t="s">
        <v>1231</v>
      </c>
      <c r="K694" s="26" t="b">
        <v>0</v>
      </c>
      <c r="L694" s="26">
        <v>2</v>
      </c>
    </row>
    <row r="695" spans="1:12" x14ac:dyDescent="0.25">
      <c r="A695" s="26" t="s">
        <v>738</v>
      </c>
      <c r="B695" s="26" t="s">
        <v>736</v>
      </c>
      <c r="C695" s="26" t="s">
        <v>1242</v>
      </c>
      <c r="D695" s="26" t="s">
        <v>1076</v>
      </c>
      <c r="E695" s="26">
        <v>312</v>
      </c>
      <c r="F695" s="26">
        <v>310.06331</v>
      </c>
      <c r="G695" s="26">
        <v>-1.9366899999999989</v>
      </c>
      <c r="H695" s="26">
        <v>1.9366899999999989</v>
      </c>
      <c r="I695" s="26" t="s">
        <v>1230</v>
      </c>
      <c r="J695" s="26" t="s">
        <v>1231</v>
      </c>
      <c r="K695" s="26" t="b">
        <v>0</v>
      </c>
      <c r="L695" s="26">
        <v>3</v>
      </c>
    </row>
    <row r="696" spans="1:12" x14ac:dyDescent="0.25">
      <c r="A696" s="26" t="s">
        <v>739</v>
      </c>
      <c r="B696" s="26" t="s">
        <v>736</v>
      </c>
      <c r="C696" s="26" t="s">
        <v>1243</v>
      </c>
      <c r="D696" s="26" t="s">
        <v>1076</v>
      </c>
      <c r="E696" s="26">
        <v>343</v>
      </c>
      <c r="F696" s="26">
        <v>341.30898999999999</v>
      </c>
      <c r="G696" s="26">
        <v>-1.6910100000000059</v>
      </c>
      <c r="H696" s="26">
        <v>1.6910100000000059</v>
      </c>
      <c r="I696" s="26" t="s">
        <v>1230</v>
      </c>
      <c r="J696" s="26" t="s">
        <v>1231</v>
      </c>
      <c r="K696" s="26" t="b">
        <v>0</v>
      </c>
      <c r="L696" s="26">
        <v>4</v>
      </c>
    </row>
    <row r="697" spans="1:12" x14ac:dyDescent="0.25">
      <c r="A697" s="33" t="s">
        <v>740</v>
      </c>
      <c r="B697" s="33" t="s">
        <v>736</v>
      </c>
      <c r="C697" s="33" t="s">
        <v>1244</v>
      </c>
      <c r="D697" s="33" t="s">
        <v>1076</v>
      </c>
      <c r="E697" s="33">
        <v>425</v>
      </c>
      <c r="F697" s="33">
        <v>422.64002000000028</v>
      </c>
      <c r="G697" s="33">
        <v>-2.3599799999997231</v>
      </c>
      <c r="H697" s="33">
        <v>2.3599799999997231</v>
      </c>
      <c r="I697" s="33" t="s">
        <v>1230</v>
      </c>
      <c r="J697" s="33" t="s">
        <v>1231</v>
      </c>
      <c r="K697" s="33" t="b">
        <v>1</v>
      </c>
      <c r="L697" s="33">
        <v>5</v>
      </c>
    </row>
    <row r="698" spans="1:12" x14ac:dyDescent="0.25">
      <c r="A698" s="26" t="s">
        <v>741</v>
      </c>
      <c r="B698" s="26" t="s">
        <v>736</v>
      </c>
      <c r="C698" s="26" t="s">
        <v>1245</v>
      </c>
      <c r="D698" s="26" t="s">
        <v>1076</v>
      </c>
      <c r="E698" s="26">
        <v>292</v>
      </c>
      <c r="F698" s="26">
        <v>288.47570000000019</v>
      </c>
      <c r="G698" s="26">
        <v>-3.5242999999998119</v>
      </c>
      <c r="H698" s="26">
        <v>3.5242999999998119</v>
      </c>
      <c r="I698" s="26" t="s">
        <v>1230</v>
      </c>
      <c r="J698" s="26" t="s">
        <v>1231</v>
      </c>
      <c r="K698" s="26" t="b">
        <v>0</v>
      </c>
      <c r="L698" s="26">
        <v>1</v>
      </c>
    </row>
    <row r="699" spans="1:12" x14ac:dyDescent="0.25">
      <c r="A699" s="26" t="s">
        <v>742</v>
      </c>
      <c r="B699" s="26" t="s">
        <v>736</v>
      </c>
      <c r="C699" s="26" t="s">
        <v>1246</v>
      </c>
      <c r="D699" s="26" t="s">
        <v>1076</v>
      </c>
      <c r="E699" s="26">
        <v>240</v>
      </c>
      <c r="F699" s="26">
        <v>241.91716</v>
      </c>
      <c r="G699" s="26">
        <v>1.917159999999996</v>
      </c>
      <c r="H699" s="26">
        <v>1.917159999999996</v>
      </c>
      <c r="I699" s="26" t="s">
        <v>1230</v>
      </c>
      <c r="J699" s="26" t="s">
        <v>1231</v>
      </c>
      <c r="K699" s="26" t="b">
        <v>0</v>
      </c>
      <c r="L699" s="26">
        <v>2</v>
      </c>
    </row>
    <row r="700" spans="1:12" x14ac:dyDescent="0.25">
      <c r="A700" s="26" t="s">
        <v>743</v>
      </c>
      <c r="B700" s="26" t="s">
        <v>736</v>
      </c>
      <c r="C700" s="26" t="s">
        <v>1247</v>
      </c>
      <c r="D700" s="26" t="s">
        <v>1076</v>
      </c>
      <c r="E700" s="26">
        <v>328</v>
      </c>
      <c r="F700" s="26">
        <v>326.35809000000017</v>
      </c>
      <c r="G700" s="26">
        <v>-1.641909999999825</v>
      </c>
      <c r="H700" s="26">
        <v>1.641909999999825</v>
      </c>
      <c r="I700" s="26" t="s">
        <v>1230</v>
      </c>
      <c r="J700" s="26" t="s">
        <v>1231</v>
      </c>
      <c r="K700" s="26" t="b">
        <v>0</v>
      </c>
      <c r="L700" s="26">
        <v>3</v>
      </c>
    </row>
    <row r="701" spans="1:12" x14ac:dyDescent="0.25">
      <c r="A701" s="26" t="s">
        <v>744</v>
      </c>
      <c r="B701" s="26" t="s">
        <v>736</v>
      </c>
      <c r="C701" s="26" t="s">
        <v>1248</v>
      </c>
      <c r="D701" s="26" t="s">
        <v>1076</v>
      </c>
      <c r="E701" s="26">
        <v>267</v>
      </c>
      <c r="F701" s="26">
        <v>266.17445000000021</v>
      </c>
      <c r="G701" s="26">
        <v>-0.82554999999979373</v>
      </c>
      <c r="H701" s="26">
        <v>0.82554999999979373</v>
      </c>
      <c r="I701" s="26" t="s">
        <v>1230</v>
      </c>
      <c r="J701" s="26" t="s">
        <v>1231</v>
      </c>
      <c r="K701" s="26" t="b">
        <v>0</v>
      </c>
      <c r="L701" s="26">
        <v>4</v>
      </c>
    </row>
    <row r="702" spans="1:12" x14ac:dyDescent="0.25">
      <c r="A702" s="26" t="s">
        <v>745</v>
      </c>
      <c r="B702" s="26" t="s">
        <v>736</v>
      </c>
      <c r="C702" s="26" t="s">
        <v>1249</v>
      </c>
      <c r="D702" s="26" t="s">
        <v>1076</v>
      </c>
      <c r="E702" s="26">
        <v>270</v>
      </c>
      <c r="F702" s="26">
        <v>268.09043000000003</v>
      </c>
      <c r="G702" s="26">
        <v>-1.909569999999974</v>
      </c>
      <c r="H702" s="26">
        <v>1.909569999999974</v>
      </c>
      <c r="I702" s="26" t="s">
        <v>1230</v>
      </c>
      <c r="J702" s="26" t="s">
        <v>1231</v>
      </c>
      <c r="K702" s="26" t="b">
        <v>0</v>
      </c>
      <c r="L702" s="26">
        <v>5</v>
      </c>
    </row>
    <row r="703" spans="1:12" x14ac:dyDescent="0.25">
      <c r="A703" s="26" t="s">
        <v>746</v>
      </c>
      <c r="B703" s="26" t="s">
        <v>747</v>
      </c>
      <c r="C703" s="26" t="s">
        <v>1238</v>
      </c>
      <c r="D703" s="26" t="s">
        <v>1076</v>
      </c>
      <c r="E703" s="26">
        <v>291</v>
      </c>
      <c r="F703" s="26">
        <v>287.40523999999999</v>
      </c>
      <c r="G703" s="26">
        <v>-3.5947599999999511</v>
      </c>
      <c r="H703" s="26">
        <v>3.5947599999999511</v>
      </c>
      <c r="I703" s="26" t="s">
        <v>1230</v>
      </c>
      <c r="J703" s="26" t="s">
        <v>1231</v>
      </c>
      <c r="K703" s="26" t="b">
        <v>0</v>
      </c>
      <c r="L703" s="26">
        <v>1</v>
      </c>
    </row>
    <row r="704" spans="1:12" x14ac:dyDescent="0.25">
      <c r="A704" s="26" t="s">
        <v>748</v>
      </c>
      <c r="B704" s="26" t="s">
        <v>747</v>
      </c>
      <c r="C704" s="26" t="s">
        <v>1241</v>
      </c>
      <c r="D704" s="26" t="s">
        <v>1076</v>
      </c>
      <c r="E704" s="26">
        <v>296</v>
      </c>
      <c r="F704" s="26">
        <v>295.20033000000001</v>
      </c>
      <c r="G704" s="26">
        <v>-0.79966999999999189</v>
      </c>
      <c r="H704" s="26">
        <v>0.79966999999999189</v>
      </c>
      <c r="I704" s="26" t="s">
        <v>1230</v>
      </c>
      <c r="J704" s="26" t="s">
        <v>1231</v>
      </c>
      <c r="K704" s="26" t="b">
        <v>0</v>
      </c>
      <c r="L704" s="26">
        <v>2</v>
      </c>
    </row>
    <row r="705" spans="1:12" x14ac:dyDescent="0.25">
      <c r="A705" s="33" t="s">
        <v>749</v>
      </c>
      <c r="B705" s="33" t="s">
        <v>747</v>
      </c>
      <c r="C705" s="33" t="s">
        <v>1242</v>
      </c>
      <c r="D705" s="33" t="s">
        <v>1076</v>
      </c>
      <c r="E705" s="33">
        <v>402</v>
      </c>
      <c r="F705" s="33">
        <v>399.01297</v>
      </c>
      <c r="G705" s="33">
        <v>-2.9870300000000038</v>
      </c>
      <c r="H705" s="33">
        <v>2.9870300000000038</v>
      </c>
      <c r="I705" s="33" t="s">
        <v>1230</v>
      </c>
      <c r="J705" s="33" t="s">
        <v>1231</v>
      </c>
      <c r="K705" s="33" t="b">
        <v>1</v>
      </c>
      <c r="L705" s="33">
        <v>3</v>
      </c>
    </row>
    <row r="706" spans="1:12" x14ac:dyDescent="0.25">
      <c r="A706" s="26" t="s">
        <v>750</v>
      </c>
      <c r="B706" s="26" t="s">
        <v>747</v>
      </c>
      <c r="C706" s="26" t="s">
        <v>1243</v>
      </c>
      <c r="D706" s="26" t="s">
        <v>1076</v>
      </c>
      <c r="E706" s="26">
        <v>357</v>
      </c>
      <c r="F706" s="26">
        <v>355.05365</v>
      </c>
      <c r="G706" s="26">
        <v>-1.9463499999999949</v>
      </c>
      <c r="H706" s="26">
        <v>1.9463499999999949</v>
      </c>
      <c r="I706" s="26" t="s">
        <v>1230</v>
      </c>
      <c r="J706" s="26" t="s">
        <v>1231</v>
      </c>
      <c r="K706" s="26" t="b">
        <v>0</v>
      </c>
      <c r="L706" s="26">
        <v>4</v>
      </c>
    </row>
    <row r="707" spans="1:12" x14ac:dyDescent="0.25">
      <c r="A707" s="26" t="s">
        <v>751</v>
      </c>
      <c r="B707" s="26" t="s">
        <v>747</v>
      </c>
      <c r="C707" s="26" t="s">
        <v>1244</v>
      </c>
      <c r="D707" s="26" t="s">
        <v>1076</v>
      </c>
      <c r="E707" s="26">
        <v>247</v>
      </c>
      <c r="F707" s="26">
        <v>246.98956999999999</v>
      </c>
      <c r="G707" s="26">
        <v>-1.043000000001371E-2</v>
      </c>
      <c r="H707" s="26">
        <v>1.043000000001371E-2</v>
      </c>
      <c r="I707" s="26" t="s">
        <v>1230</v>
      </c>
      <c r="J707" s="26" t="s">
        <v>1231</v>
      </c>
      <c r="K707" s="26" t="b">
        <v>0</v>
      </c>
      <c r="L707" s="26">
        <v>5</v>
      </c>
    </row>
    <row r="708" spans="1:12" x14ac:dyDescent="0.25">
      <c r="A708" s="26" t="s">
        <v>752</v>
      </c>
      <c r="B708" s="26" t="s">
        <v>747</v>
      </c>
      <c r="C708" s="26" t="s">
        <v>1245</v>
      </c>
      <c r="D708" s="26" t="s">
        <v>1076</v>
      </c>
      <c r="E708" s="26">
        <v>301</v>
      </c>
      <c r="F708" s="26">
        <v>298.70648999999997</v>
      </c>
      <c r="G708" s="26">
        <v>-2.2935100000000261</v>
      </c>
      <c r="H708" s="26">
        <v>2.2935100000000261</v>
      </c>
      <c r="I708" s="26" t="s">
        <v>1230</v>
      </c>
      <c r="J708" s="26" t="s">
        <v>1231</v>
      </c>
      <c r="K708" s="26" t="b">
        <v>0</v>
      </c>
      <c r="L708" s="26">
        <v>1</v>
      </c>
    </row>
    <row r="709" spans="1:12" x14ac:dyDescent="0.25">
      <c r="A709" s="26" t="s">
        <v>753</v>
      </c>
      <c r="B709" s="26" t="s">
        <v>747</v>
      </c>
      <c r="C709" s="26" t="s">
        <v>1246</v>
      </c>
      <c r="D709" s="26" t="s">
        <v>1076</v>
      </c>
      <c r="E709" s="26">
        <v>237</v>
      </c>
      <c r="F709" s="26">
        <v>235.74132</v>
      </c>
      <c r="G709" s="26">
        <v>-1.258679999999998</v>
      </c>
      <c r="H709" s="26">
        <v>1.258679999999998</v>
      </c>
      <c r="I709" s="26" t="s">
        <v>1230</v>
      </c>
      <c r="J709" s="26" t="s">
        <v>1231</v>
      </c>
      <c r="K709" s="26" t="b">
        <v>0</v>
      </c>
      <c r="L709" s="26">
        <v>2</v>
      </c>
    </row>
    <row r="710" spans="1:12" x14ac:dyDescent="0.25">
      <c r="A710" s="26" t="s">
        <v>754</v>
      </c>
      <c r="B710" s="26" t="s">
        <v>747</v>
      </c>
      <c r="C710" s="26" t="s">
        <v>1247</v>
      </c>
      <c r="D710" s="26" t="s">
        <v>1076</v>
      </c>
      <c r="E710" s="26">
        <v>255</v>
      </c>
      <c r="F710" s="26">
        <v>251.47436999999999</v>
      </c>
      <c r="G710" s="26">
        <v>-3.5256300000000071</v>
      </c>
      <c r="H710" s="26">
        <v>3.5256300000000071</v>
      </c>
      <c r="I710" s="26" t="s">
        <v>1230</v>
      </c>
      <c r="J710" s="26" t="s">
        <v>1231</v>
      </c>
      <c r="K710" s="26" t="b">
        <v>0</v>
      </c>
      <c r="L710" s="26">
        <v>3</v>
      </c>
    </row>
    <row r="711" spans="1:12" x14ac:dyDescent="0.25">
      <c r="A711" s="26" t="s">
        <v>755</v>
      </c>
      <c r="B711" s="26" t="s">
        <v>747</v>
      </c>
      <c r="C711" s="26" t="s">
        <v>1248</v>
      </c>
      <c r="D711" s="26" t="s">
        <v>1076</v>
      </c>
      <c r="E711" s="26">
        <v>204</v>
      </c>
      <c r="F711" s="26">
        <v>201.03281999999999</v>
      </c>
      <c r="G711" s="26">
        <v>-2.9671800000000128</v>
      </c>
      <c r="H711" s="26">
        <v>2.9671800000000128</v>
      </c>
      <c r="I711" s="26" t="s">
        <v>1230</v>
      </c>
      <c r="J711" s="26" t="s">
        <v>1231</v>
      </c>
      <c r="K711" s="26" t="b">
        <v>0</v>
      </c>
      <c r="L711" s="26">
        <v>4</v>
      </c>
    </row>
    <row r="712" spans="1:12" x14ac:dyDescent="0.25">
      <c r="A712" s="26" t="s">
        <v>756</v>
      </c>
      <c r="B712" s="26" t="s">
        <v>747</v>
      </c>
      <c r="C712" s="26" t="s">
        <v>1249</v>
      </c>
      <c r="D712" s="26" t="s">
        <v>1076</v>
      </c>
      <c r="E712" s="26">
        <v>318</v>
      </c>
      <c r="F712" s="26">
        <v>317.69</v>
      </c>
      <c r="G712" s="26">
        <v>-0.31000000000000227</v>
      </c>
      <c r="H712" s="26">
        <v>0.31000000000000227</v>
      </c>
      <c r="I712" s="26" t="s">
        <v>1230</v>
      </c>
      <c r="J712" s="26" t="s">
        <v>1231</v>
      </c>
      <c r="K712" s="26" t="b">
        <v>0</v>
      </c>
      <c r="L712" s="26">
        <v>5</v>
      </c>
    </row>
    <row r="713" spans="1:12" x14ac:dyDescent="0.25">
      <c r="A713" s="26" t="s">
        <v>757</v>
      </c>
      <c r="B713" s="26" t="s">
        <v>758</v>
      </c>
      <c r="C713" s="26" t="s">
        <v>1238</v>
      </c>
      <c r="D713" s="26" t="s">
        <v>1076</v>
      </c>
      <c r="E713" s="26">
        <v>204</v>
      </c>
      <c r="F713" s="26">
        <v>201.0813</v>
      </c>
      <c r="G713" s="26">
        <v>-2.9187000000000012</v>
      </c>
      <c r="H713" s="26">
        <v>2.9187000000000012</v>
      </c>
      <c r="I713" s="26" t="s">
        <v>1230</v>
      </c>
      <c r="J713" s="26" t="s">
        <v>1231</v>
      </c>
      <c r="K713" s="26" t="b">
        <v>0</v>
      </c>
      <c r="L713" s="26">
        <v>1</v>
      </c>
    </row>
    <row r="714" spans="1:12" x14ac:dyDescent="0.25">
      <c r="A714" s="26" t="s">
        <v>759</v>
      </c>
      <c r="B714" s="26" t="s">
        <v>758</v>
      </c>
      <c r="C714" s="26" t="s">
        <v>1241</v>
      </c>
      <c r="D714" s="26" t="s">
        <v>1076</v>
      </c>
      <c r="E714" s="26">
        <v>374</v>
      </c>
      <c r="F714" s="26">
        <v>375.61</v>
      </c>
      <c r="G714" s="26">
        <v>1.6100000000000141</v>
      </c>
      <c r="H714" s="26">
        <v>1.6100000000000141</v>
      </c>
      <c r="I714" s="26" t="s">
        <v>1230</v>
      </c>
      <c r="J714" s="26" t="s">
        <v>1231</v>
      </c>
      <c r="K714" s="26" t="b">
        <v>0</v>
      </c>
      <c r="L714" s="26">
        <v>2</v>
      </c>
    </row>
    <row r="715" spans="1:12" x14ac:dyDescent="0.25">
      <c r="A715" s="26" t="s">
        <v>760</v>
      </c>
      <c r="B715" s="26" t="s">
        <v>758</v>
      </c>
      <c r="C715" s="26" t="s">
        <v>1242</v>
      </c>
      <c r="D715" s="26" t="s">
        <v>1076</v>
      </c>
      <c r="E715" s="26">
        <v>339</v>
      </c>
      <c r="F715" s="26">
        <v>335.40204999999997</v>
      </c>
      <c r="G715" s="26">
        <v>-3.5979500000000262</v>
      </c>
      <c r="H715" s="26">
        <v>3.5979500000000262</v>
      </c>
      <c r="I715" s="26" t="s">
        <v>1230</v>
      </c>
      <c r="J715" s="26" t="s">
        <v>1231</v>
      </c>
      <c r="K715" s="26" t="b">
        <v>0</v>
      </c>
      <c r="L715" s="26">
        <v>3</v>
      </c>
    </row>
    <row r="716" spans="1:12" x14ac:dyDescent="0.25">
      <c r="A716" s="26" t="s">
        <v>761</v>
      </c>
      <c r="B716" s="26" t="s">
        <v>758</v>
      </c>
      <c r="C716" s="26" t="s">
        <v>1243</v>
      </c>
      <c r="D716" s="26" t="s">
        <v>1076</v>
      </c>
      <c r="E716" s="26">
        <v>202</v>
      </c>
      <c r="F716" s="26">
        <v>199.82144</v>
      </c>
      <c r="G716" s="26">
        <v>-2.178560000000004</v>
      </c>
      <c r="H716" s="26">
        <v>2.178560000000004</v>
      </c>
      <c r="I716" s="26" t="s">
        <v>1230</v>
      </c>
      <c r="J716" s="26" t="s">
        <v>1231</v>
      </c>
      <c r="K716" s="26" t="b">
        <v>0</v>
      </c>
      <c r="L716" s="26">
        <v>4</v>
      </c>
    </row>
    <row r="717" spans="1:12" x14ac:dyDescent="0.25">
      <c r="A717" s="26" t="s">
        <v>762</v>
      </c>
      <c r="B717" s="26" t="s">
        <v>758</v>
      </c>
      <c r="C717" s="26" t="s">
        <v>1244</v>
      </c>
      <c r="D717" s="26" t="s">
        <v>1076</v>
      </c>
      <c r="E717" s="26">
        <v>249</v>
      </c>
      <c r="F717" s="26">
        <v>251.90165000000019</v>
      </c>
      <c r="G717" s="26">
        <v>2.9016500000002452</v>
      </c>
      <c r="H717" s="26">
        <v>2.9016500000002452</v>
      </c>
      <c r="I717" s="26" t="s">
        <v>1230</v>
      </c>
      <c r="J717" s="26" t="s">
        <v>1231</v>
      </c>
      <c r="K717" s="26" t="b">
        <v>0</v>
      </c>
      <c r="L717" s="26">
        <v>5</v>
      </c>
    </row>
    <row r="718" spans="1:12" x14ac:dyDescent="0.25">
      <c r="A718" s="26" t="s">
        <v>763</v>
      </c>
      <c r="B718" s="26" t="s">
        <v>758</v>
      </c>
      <c r="C718" s="26" t="s">
        <v>1245</v>
      </c>
      <c r="D718" s="26" t="s">
        <v>1076</v>
      </c>
      <c r="E718" s="26">
        <v>258</v>
      </c>
      <c r="F718" s="26">
        <v>254.83118999999999</v>
      </c>
      <c r="G718" s="26">
        <v>-3.1688100000000081</v>
      </c>
      <c r="H718" s="26">
        <v>3.1688100000000081</v>
      </c>
      <c r="I718" s="26" t="s">
        <v>1230</v>
      </c>
      <c r="J718" s="26" t="s">
        <v>1231</v>
      </c>
      <c r="K718" s="26" t="b">
        <v>0</v>
      </c>
      <c r="L718" s="26">
        <v>1</v>
      </c>
    </row>
    <row r="719" spans="1:12" x14ac:dyDescent="0.25">
      <c r="A719" s="26" t="s">
        <v>764</v>
      </c>
      <c r="B719" s="26" t="s">
        <v>758</v>
      </c>
      <c r="C719" s="26" t="s">
        <v>1246</v>
      </c>
      <c r="D719" s="26" t="s">
        <v>1076</v>
      </c>
      <c r="E719" s="26">
        <v>167</v>
      </c>
      <c r="F719" s="26">
        <v>164.41224</v>
      </c>
      <c r="G719" s="26">
        <v>-2.5877600000000029</v>
      </c>
      <c r="H719" s="26">
        <v>2.5877600000000029</v>
      </c>
      <c r="I719" s="26" t="s">
        <v>1230</v>
      </c>
      <c r="J719" s="26" t="s">
        <v>1231</v>
      </c>
      <c r="K719" s="26" t="b">
        <v>0</v>
      </c>
      <c r="L719" s="26">
        <v>2</v>
      </c>
    </row>
    <row r="720" spans="1:12" x14ac:dyDescent="0.25">
      <c r="A720" s="26" t="s">
        <v>765</v>
      </c>
      <c r="B720" s="26" t="s">
        <v>758</v>
      </c>
      <c r="C720" s="26" t="s">
        <v>1247</v>
      </c>
      <c r="D720" s="26" t="s">
        <v>1076</v>
      </c>
      <c r="E720" s="26">
        <v>338</v>
      </c>
      <c r="F720" s="26">
        <v>340.39301000000052</v>
      </c>
      <c r="G720" s="26">
        <v>2.393010000000459</v>
      </c>
      <c r="H720" s="26">
        <v>2.393010000000459</v>
      </c>
      <c r="I720" s="26" t="s">
        <v>1230</v>
      </c>
      <c r="J720" s="26" t="s">
        <v>1231</v>
      </c>
      <c r="K720" s="26" t="b">
        <v>0</v>
      </c>
      <c r="L720" s="26">
        <v>3</v>
      </c>
    </row>
    <row r="721" spans="1:12" x14ac:dyDescent="0.25">
      <c r="A721" s="26" t="s">
        <v>766</v>
      </c>
      <c r="B721" s="26" t="s">
        <v>758</v>
      </c>
      <c r="C721" s="26" t="s">
        <v>1248</v>
      </c>
      <c r="D721" s="26" t="s">
        <v>1076</v>
      </c>
      <c r="E721" s="26">
        <v>199</v>
      </c>
      <c r="F721" s="26">
        <v>202.90935999999999</v>
      </c>
      <c r="G721" s="26">
        <v>3.909359999999992</v>
      </c>
      <c r="H721" s="26">
        <v>3.909359999999992</v>
      </c>
      <c r="I721" s="26" t="s">
        <v>1230</v>
      </c>
      <c r="J721" s="26" t="s">
        <v>1231</v>
      </c>
      <c r="K721" s="26" t="b">
        <v>0</v>
      </c>
      <c r="L721" s="26">
        <v>4</v>
      </c>
    </row>
    <row r="722" spans="1:12" x14ac:dyDescent="0.25">
      <c r="A722" s="26" t="s">
        <v>767</v>
      </c>
      <c r="B722" s="26" t="s">
        <v>758</v>
      </c>
      <c r="C722" s="26" t="s">
        <v>1249</v>
      </c>
      <c r="D722" s="26" t="s">
        <v>1076</v>
      </c>
      <c r="E722" s="26">
        <v>350</v>
      </c>
      <c r="F722" s="26">
        <v>349.01616000000013</v>
      </c>
      <c r="G722" s="26">
        <v>-0.98383999999987282</v>
      </c>
      <c r="H722" s="26">
        <v>0.98383999999987282</v>
      </c>
      <c r="I722" s="26" t="s">
        <v>1230</v>
      </c>
      <c r="J722" s="26" t="s">
        <v>1231</v>
      </c>
      <c r="K722" s="26" t="b">
        <v>0</v>
      </c>
      <c r="L722" s="26">
        <v>5</v>
      </c>
    </row>
    <row r="723" spans="1:12" x14ac:dyDescent="0.25">
      <c r="A723" s="26" t="s">
        <v>768</v>
      </c>
      <c r="B723" s="26" t="s">
        <v>769</v>
      </c>
      <c r="C723" s="26" t="s">
        <v>1238</v>
      </c>
      <c r="D723" s="26" t="s">
        <v>1076</v>
      </c>
      <c r="E723" s="26">
        <v>328</v>
      </c>
      <c r="F723" s="26">
        <v>327.18</v>
      </c>
      <c r="G723" s="26">
        <v>-0.81999999999999318</v>
      </c>
      <c r="H723" s="26">
        <v>0.81999999999999318</v>
      </c>
      <c r="I723" s="26" t="s">
        <v>1230</v>
      </c>
      <c r="J723" s="26" t="s">
        <v>1231</v>
      </c>
      <c r="K723" s="26" t="b">
        <v>0</v>
      </c>
      <c r="L723" s="26">
        <v>1</v>
      </c>
    </row>
    <row r="724" spans="1:12" x14ac:dyDescent="0.25">
      <c r="A724" s="26" t="s">
        <v>770</v>
      </c>
      <c r="B724" s="26" t="s">
        <v>769</v>
      </c>
      <c r="C724" s="26" t="s">
        <v>1241</v>
      </c>
      <c r="D724" s="26" t="s">
        <v>1076</v>
      </c>
      <c r="E724" s="26">
        <v>313</v>
      </c>
      <c r="F724" s="26">
        <v>312.52</v>
      </c>
      <c r="G724" s="26">
        <v>-0.48000000000001819</v>
      </c>
      <c r="H724" s="26">
        <v>0.48000000000001819</v>
      </c>
      <c r="I724" s="26" t="s">
        <v>1230</v>
      </c>
      <c r="J724" s="26" t="s">
        <v>1231</v>
      </c>
      <c r="K724" s="26" t="b">
        <v>0</v>
      </c>
      <c r="L724" s="26">
        <v>2</v>
      </c>
    </row>
    <row r="725" spans="1:12" x14ac:dyDescent="0.25">
      <c r="A725" s="26" t="s">
        <v>771</v>
      </c>
      <c r="B725" s="26" t="s">
        <v>769</v>
      </c>
      <c r="C725" s="26" t="s">
        <v>1242</v>
      </c>
      <c r="D725" s="26" t="s">
        <v>1076</v>
      </c>
      <c r="E725" s="26">
        <v>307</v>
      </c>
      <c r="F725" s="26">
        <v>305.66705000000002</v>
      </c>
      <c r="G725" s="26">
        <v>-1.332949999999983</v>
      </c>
      <c r="H725" s="26">
        <v>1.332949999999983</v>
      </c>
      <c r="I725" s="26" t="s">
        <v>1230</v>
      </c>
      <c r="J725" s="26" t="s">
        <v>1231</v>
      </c>
      <c r="K725" s="26" t="b">
        <v>0</v>
      </c>
      <c r="L725" s="26">
        <v>3</v>
      </c>
    </row>
    <row r="726" spans="1:12" x14ac:dyDescent="0.25">
      <c r="A726" s="33" t="s">
        <v>772</v>
      </c>
      <c r="B726" s="33" t="s">
        <v>769</v>
      </c>
      <c r="C726" s="33" t="s">
        <v>1243</v>
      </c>
      <c r="D726" s="33" t="s">
        <v>1076</v>
      </c>
      <c r="E726" s="33">
        <v>411</v>
      </c>
      <c r="F726" s="33">
        <v>409.25670000000002</v>
      </c>
      <c r="G726" s="33">
        <v>-1.743299999999977</v>
      </c>
      <c r="H726" s="33">
        <v>1.743299999999977</v>
      </c>
      <c r="I726" s="33" t="s">
        <v>1230</v>
      </c>
      <c r="J726" s="33" t="s">
        <v>1231</v>
      </c>
      <c r="K726" s="33" t="b">
        <v>1</v>
      </c>
      <c r="L726" s="33">
        <v>4</v>
      </c>
    </row>
    <row r="727" spans="1:12" x14ac:dyDescent="0.25">
      <c r="A727" s="26" t="s">
        <v>773</v>
      </c>
      <c r="B727" s="26" t="s">
        <v>769</v>
      </c>
      <c r="C727" s="26" t="s">
        <v>1244</v>
      </c>
      <c r="D727" s="26" t="s">
        <v>1076</v>
      </c>
      <c r="E727" s="26">
        <v>271</v>
      </c>
      <c r="F727" s="26">
        <v>274.85707000000019</v>
      </c>
      <c r="G727" s="26">
        <v>3.8570700000002489</v>
      </c>
      <c r="H727" s="26">
        <v>3.8570700000002489</v>
      </c>
      <c r="I727" s="26" t="s">
        <v>1230</v>
      </c>
      <c r="J727" s="26" t="s">
        <v>1231</v>
      </c>
      <c r="K727" s="26" t="b">
        <v>0</v>
      </c>
      <c r="L727" s="26">
        <v>5</v>
      </c>
    </row>
    <row r="728" spans="1:12" x14ac:dyDescent="0.25">
      <c r="A728" s="26" t="s">
        <v>774</v>
      </c>
      <c r="B728" s="26" t="s">
        <v>769</v>
      </c>
      <c r="C728" s="26" t="s">
        <v>1245</v>
      </c>
      <c r="D728" s="26" t="s">
        <v>1076</v>
      </c>
      <c r="E728" s="26">
        <v>216</v>
      </c>
      <c r="F728" s="26">
        <v>215.15</v>
      </c>
      <c r="G728" s="26">
        <v>-0.84999999999999432</v>
      </c>
      <c r="H728" s="26">
        <v>0.84999999999999432</v>
      </c>
      <c r="I728" s="26" t="s">
        <v>1230</v>
      </c>
      <c r="J728" s="26" t="s">
        <v>1231</v>
      </c>
      <c r="K728" s="26" t="b">
        <v>0</v>
      </c>
      <c r="L728" s="26">
        <v>1</v>
      </c>
    </row>
    <row r="729" spans="1:12" x14ac:dyDescent="0.25">
      <c r="A729" s="26" t="s">
        <v>775</v>
      </c>
      <c r="B729" s="26" t="s">
        <v>769</v>
      </c>
      <c r="C729" s="26" t="s">
        <v>1246</v>
      </c>
      <c r="D729" s="26" t="s">
        <v>1076</v>
      </c>
      <c r="E729" s="26">
        <v>342</v>
      </c>
      <c r="F729" s="26">
        <v>341.1066500000004</v>
      </c>
      <c r="G729" s="26">
        <v>-0.89334999999960019</v>
      </c>
      <c r="H729" s="26">
        <v>0.89334999999960019</v>
      </c>
      <c r="I729" s="26" t="s">
        <v>1230</v>
      </c>
      <c r="J729" s="26" t="s">
        <v>1231</v>
      </c>
      <c r="K729" s="26" t="b">
        <v>0</v>
      </c>
      <c r="L729" s="26">
        <v>2</v>
      </c>
    </row>
    <row r="730" spans="1:12" x14ac:dyDescent="0.25">
      <c r="A730" s="26" t="s">
        <v>776</v>
      </c>
      <c r="B730" s="26" t="s">
        <v>769</v>
      </c>
      <c r="C730" s="26" t="s">
        <v>1247</v>
      </c>
      <c r="D730" s="26" t="s">
        <v>1076</v>
      </c>
      <c r="E730" s="26">
        <v>250</v>
      </c>
      <c r="F730" s="26">
        <v>249.34639000000001</v>
      </c>
      <c r="G730" s="26">
        <v>-0.65360999999998626</v>
      </c>
      <c r="H730" s="26">
        <v>0.65360999999998626</v>
      </c>
      <c r="I730" s="26" t="s">
        <v>1230</v>
      </c>
      <c r="J730" s="26" t="s">
        <v>1231</v>
      </c>
      <c r="K730" s="26" t="b">
        <v>0</v>
      </c>
      <c r="L730" s="26">
        <v>3</v>
      </c>
    </row>
    <row r="731" spans="1:12" x14ac:dyDescent="0.25">
      <c r="A731" s="26" t="s">
        <v>777</v>
      </c>
      <c r="B731" s="26" t="s">
        <v>769</v>
      </c>
      <c r="C731" s="26" t="s">
        <v>1248</v>
      </c>
      <c r="D731" s="26" t="s">
        <v>1076</v>
      </c>
      <c r="E731" s="26">
        <v>272</v>
      </c>
      <c r="F731" s="26">
        <v>271.36579999999998</v>
      </c>
      <c r="G731" s="26">
        <v>-0.63420000000002119</v>
      </c>
      <c r="H731" s="26">
        <v>0.63420000000002119</v>
      </c>
      <c r="I731" s="26" t="s">
        <v>1230</v>
      </c>
      <c r="J731" s="26" t="s">
        <v>1231</v>
      </c>
      <c r="K731" s="26" t="b">
        <v>0</v>
      </c>
      <c r="L731" s="26">
        <v>4</v>
      </c>
    </row>
    <row r="732" spans="1:12" x14ac:dyDescent="0.25">
      <c r="A732" s="26" t="s">
        <v>778</v>
      </c>
      <c r="B732" s="26" t="s">
        <v>769</v>
      </c>
      <c r="C732" s="26" t="s">
        <v>1249</v>
      </c>
      <c r="D732" s="26" t="s">
        <v>1076</v>
      </c>
      <c r="E732" s="26">
        <v>303</v>
      </c>
      <c r="F732" s="26">
        <v>299.96892000000003</v>
      </c>
      <c r="G732" s="26">
        <v>-3.031079999999974</v>
      </c>
      <c r="H732" s="26">
        <v>3.031079999999974</v>
      </c>
      <c r="I732" s="26" t="s">
        <v>1230</v>
      </c>
      <c r="J732" s="26" t="s">
        <v>1231</v>
      </c>
      <c r="K732" s="26" t="b">
        <v>0</v>
      </c>
      <c r="L732" s="26">
        <v>5</v>
      </c>
    </row>
    <row r="733" spans="1:12" x14ac:dyDescent="0.25">
      <c r="A733" s="26" t="s">
        <v>779</v>
      </c>
      <c r="B733" s="26" t="s">
        <v>780</v>
      </c>
      <c r="C733" s="26" t="s">
        <v>1238</v>
      </c>
      <c r="D733" s="26" t="s">
        <v>1076</v>
      </c>
      <c r="E733" s="26">
        <v>112</v>
      </c>
      <c r="F733" s="26">
        <v>113.9862</v>
      </c>
      <c r="G733" s="26">
        <v>1.9861999999999971</v>
      </c>
      <c r="H733" s="26">
        <v>1.9861999999999971</v>
      </c>
      <c r="I733" s="26" t="s">
        <v>1230</v>
      </c>
      <c r="J733" s="26" t="s">
        <v>1231</v>
      </c>
      <c r="K733" s="26" t="b">
        <v>0</v>
      </c>
      <c r="L733" s="26">
        <v>1</v>
      </c>
    </row>
    <row r="734" spans="1:12" x14ac:dyDescent="0.25">
      <c r="A734" s="26" t="s">
        <v>781</v>
      </c>
      <c r="B734" s="26" t="s">
        <v>780</v>
      </c>
      <c r="C734" s="26" t="s">
        <v>1241</v>
      </c>
      <c r="D734" s="26" t="s">
        <v>1076</v>
      </c>
      <c r="E734" s="26">
        <v>295</v>
      </c>
      <c r="F734" s="26">
        <v>293.17383000000018</v>
      </c>
      <c r="G734" s="26">
        <v>-1.82616999999982</v>
      </c>
      <c r="H734" s="26">
        <v>1.82616999999982</v>
      </c>
      <c r="I734" s="26" t="s">
        <v>1230</v>
      </c>
      <c r="J734" s="26" t="s">
        <v>1231</v>
      </c>
      <c r="K734" s="26" t="b">
        <v>0</v>
      </c>
      <c r="L734" s="26">
        <v>2</v>
      </c>
    </row>
    <row r="735" spans="1:12" x14ac:dyDescent="0.25">
      <c r="A735" s="26" t="s">
        <v>782</v>
      </c>
      <c r="B735" s="26" t="s">
        <v>780</v>
      </c>
      <c r="C735" s="26" t="s">
        <v>1242</v>
      </c>
      <c r="D735" s="26" t="s">
        <v>1076</v>
      </c>
      <c r="E735" s="26">
        <v>274</v>
      </c>
      <c r="F735" s="26">
        <v>273.01350000000019</v>
      </c>
      <c r="G735" s="26">
        <v>-0.9864999999997508</v>
      </c>
      <c r="H735" s="26">
        <v>0.9864999999997508</v>
      </c>
      <c r="I735" s="26" t="s">
        <v>1230</v>
      </c>
      <c r="J735" s="26" t="s">
        <v>1231</v>
      </c>
      <c r="K735" s="26" t="b">
        <v>0</v>
      </c>
      <c r="L735" s="26">
        <v>3</v>
      </c>
    </row>
    <row r="736" spans="1:12" x14ac:dyDescent="0.25">
      <c r="A736" s="26" t="s">
        <v>783</v>
      </c>
      <c r="B736" s="26" t="s">
        <v>780</v>
      </c>
      <c r="C736" s="26" t="s">
        <v>1243</v>
      </c>
      <c r="D736" s="26" t="s">
        <v>1076</v>
      </c>
      <c r="E736" s="26">
        <v>362</v>
      </c>
      <c r="F736" s="26">
        <v>363.16550000000001</v>
      </c>
      <c r="G736" s="26">
        <v>1.1655000000000091</v>
      </c>
      <c r="H736" s="26">
        <v>1.1655000000000091</v>
      </c>
      <c r="I736" s="26" t="s">
        <v>1230</v>
      </c>
      <c r="J736" s="26" t="s">
        <v>1231</v>
      </c>
      <c r="K736" s="26" t="b">
        <v>0</v>
      </c>
      <c r="L736" s="26">
        <v>4</v>
      </c>
    </row>
    <row r="737" spans="1:12" x14ac:dyDescent="0.25">
      <c r="A737" s="26" t="s">
        <v>784</v>
      </c>
      <c r="B737" s="26" t="s">
        <v>780</v>
      </c>
      <c r="C737" s="26" t="s">
        <v>1244</v>
      </c>
      <c r="D737" s="26" t="s">
        <v>1076</v>
      </c>
      <c r="E737" s="26">
        <v>278</v>
      </c>
      <c r="F737" s="26">
        <v>277.52</v>
      </c>
      <c r="G737" s="26">
        <v>-0.48000000000001819</v>
      </c>
      <c r="H737" s="26">
        <v>0.48000000000001819</v>
      </c>
      <c r="I737" s="26" t="s">
        <v>1230</v>
      </c>
      <c r="J737" s="26" t="s">
        <v>1231</v>
      </c>
      <c r="K737" s="26" t="b">
        <v>0</v>
      </c>
      <c r="L737" s="26">
        <v>5</v>
      </c>
    </row>
    <row r="738" spans="1:12" x14ac:dyDescent="0.25">
      <c r="A738" s="26" t="s">
        <v>785</v>
      </c>
      <c r="B738" s="26" t="s">
        <v>780</v>
      </c>
      <c r="C738" s="26" t="s">
        <v>1245</v>
      </c>
      <c r="D738" s="26" t="s">
        <v>1076</v>
      </c>
      <c r="E738" s="26">
        <v>323</v>
      </c>
      <c r="F738" s="26">
        <v>321.19970999999998</v>
      </c>
      <c r="G738" s="26">
        <v>-1.8002900000000179</v>
      </c>
      <c r="H738" s="26">
        <v>1.8002900000000179</v>
      </c>
      <c r="I738" s="26" t="s">
        <v>1230</v>
      </c>
      <c r="J738" s="26" t="s">
        <v>1231</v>
      </c>
      <c r="K738" s="26" t="b">
        <v>0</v>
      </c>
      <c r="L738" s="26">
        <v>1</v>
      </c>
    </row>
    <row r="739" spans="1:12" x14ac:dyDescent="0.25">
      <c r="A739" s="26" t="s">
        <v>786</v>
      </c>
      <c r="B739" s="26" t="s">
        <v>780</v>
      </c>
      <c r="C739" s="26" t="s">
        <v>1246</v>
      </c>
      <c r="D739" s="26" t="s">
        <v>1076</v>
      </c>
      <c r="E739" s="26">
        <v>278</v>
      </c>
      <c r="F739" s="26">
        <v>277.56</v>
      </c>
      <c r="G739" s="26">
        <v>-0.43999999999999773</v>
      </c>
      <c r="H739" s="26">
        <v>0.43999999999999773</v>
      </c>
      <c r="I739" s="26" t="s">
        <v>1230</v>
      </c>
      <c r="J739" s="26" t="s">
        <v>1231</v>
      </c>
      <c r="K739" s="26" t="b">
        <v>0</v>
      </c>
      <c r="L739" s="26">
        <v>2</v>
      </c>
    </row>
    <row r="740" spans="1:12" x14ac:dyDescent="0.25">
      <c r="A740" s="26" t="s">
        <v>787</v>
      </c>
      <c r="B740" s="26" t="s">
        <v>780</v>
      </c>
      <c r="C740" s="26" t="s">
        <v>1247</v>
      </c>
      <c r="D740" s="26" t="s">
        <v>1076</v>
      </c>
      <c r="E740" s="26">
        <v>247</v>
      </c>
      <c r="F740" s="26">
        <v>244.8247200000003</v>
      </c>
      <c r="G740" s="26">
        <v>-2.1752799999997019</v>
      </c>
      <c r="H740" s="26">
        <v>2.1752799999997019</v>
      </c>
      <c r="I740" s="26" t="s">
        <v>1230</v>
      </c>
      <c r="J740" s="26" t="s">
        <v>1231</v>
      </c>
      <c r="K740" s="26" t="b">
        <v>0</v>
      </c>
      <c r="L740" s="26">
        <v>3</v>
      </c>
    </row>
    <row r="741" spans="1:12" x14ac:dyDescent="0.25">
      <c r="A741" s="26" t="s">
        <v>788</v>
      </c>
      <c r="B741" s="26" t="s">
        <v>780</v>
      </c>
      <c r="C741" s="26" t="s">
        <v>1248</v>
      </c>
      <c r="D741" s="26" t="s">
        <v>1076</v>
      </c>
      <c r="E741" s="26">
        <v>334</v>
      </c>
      <c r="F741" s="26">
        <v>336.67937000000001</v>
      </c>
      <c r="G741" s="26">
        <v>2.6793700000000058</v>
      </c>
      <c r="H741" s="26">
        <v>2.6793700000000058</v>
      </c>
      <c r="I741" s="26" t="s">
        <v>1230</v>
      </c>
      <c r="J741" s="26" t="s">
        <v>1231</v>
      </c>
      <c r="K741" s="26" t="b">
        <v>0</v>
      </c>
      <c r="L741" s="26">
        <v>4</v>
      </c>
    </row>
    <row r="742" spans="1:12" x14ac:dyDescent="0.25">
      <c r="A742" s="26" t="s">
        <v>789</v>
      </c>
      <c r="B742" s="26" t="s">
        <v>780</v>
      </c>
      <c r="C742" s="26" t="s">
        <v>1249</v>
      </c>
      <c r="D742" s="26" t="s">
        <v>1076</v>
      </c>
      <c r="E742" s="26">
        <v>298</v>
      </c>
      <c r="F742" s="26">
        <v>297.42721999999998</v>
      </c>
      <c r="G742" s="26">
        <v>-0.57278000000002294</v>
      </c>
      <c r="H742" s="26">
        <v>0.57278000000002294</v>
      </c>
      <c r="I742" s="26" t="s">
        <v>1230</v>
      </c>
      <c r="J742" s="26" t="s">
        <v>1231</v>
      </c>
      <c r="K742" s="26" t="b">
        <v>0</v>
      </c>
      <c r="L742" s="26">
        <v>5</v>
      </c>
    </row>
    <row r="743" spans="1:12" x14ac:dyDescent="0.25">
      <c r="A743" s="26" t="s">
        <v>790</v>
      </c>
      <c r="B743" s="26" t="s">
        <v>791</v>
      </c>
      <c r="C743" s="26" t="s">
        <v>1238</v>
      </c>
      <c r="D743" s="26" t="s">
        <v>1076</v>
      </c>
      <c r="E743" s="26">
        <v>253</v>
      </c>
      <c r="F743" s="26">
        <v>254.98956999999999</v>
      </c>
      <c r="G743" s="26">
        <v>1.9895699999999861</v>
      </c>
      <c r="H743" s="26">
        <v>1.9895699999999861</v>
      </c>
      <c r="I743" s="26" t="s">
        <v>1230</v>
      </c>
      <c r="J743" s="26" t="s">
        <v>1231</v>
      </c>
      <c r="K743" s="26" t="b">
        <v>0</v>
      </c>
      <c r="L743" s="26">
        <v>1</v>
      </c>
    </row>
    <row r="744" spans="1:12" x14ac:dyDescent="0.25">
      <c r="A744" s="26" t="s">
        <v>792</v>
      </c>
      <c r="B744" s="26" t="s">
        <v>791</v>
      </c>
      <c r="C744" s="26" t="s">
        <v>1241</v>
      </c>
      <c r="D744" s="26" t="s">
        <v>1076</v>
      </c>
      <c r="E744" s="26">
        <v>275</v>
      </c>
      <c r="F744" s="26">
        <v>276.10594000000009</v>
      </c>
      <c r="G744" s="26">
        <v>1.105940000000146</v>
      </c>
      <c r="H744" s="26">
        <v>1.105940000000146</v>
      </c>
      <c r="I744" s="26" t="s">
        <v>1230</v>
      </c>
      <c r="J744" s="26" t="s">
        <v>1231</v>
      </c>
      <c r="K744" s="26" t="b">
        <v>0</v>
      </c>
      <c r="L744" s="26">
        <v>2</v>
      </c>
    </row>
    <row r="745" spans="1:12" x14ac:dyDescent="0.25">
      <c r="A745" s="26" t="s">
        <v>793</v>
      </c>
      <c r="B745" s="26" t="s">
        <v>791</v>
      </c>
      <c r="C745" s="26" t="s">
        <v>1242</v>
      </c>
      <c r="D745" s="26" t="s">
        <v>1076</v>
      </c>
      <c r="E745" s="26">
        <v>316</v>
      </c>
      <c r="F745" s="26">
        <v>314.77695</v>
      </c>
      <c r="G745" s="26">
        <v>-1.2230500000000011</v>
      </c>
      <c r="H745" s="26">
        <v>1.2230500000000011</v>
      </c>
      <c r="I745" s="26" t="s">
        <v>1230</v>
      </c>
      <c r="J745" s="26" t="s">
        <v>1231</v>
      </c>
      <c r="K745" s="26" t="b">
        <v>0</v>
      </c>
      <c r="L745" s="26">
        <v>3</v>
      </c>
    </row>
    <row r="746" spans="1:12" x14ac:dyDescent="0.25">
      <c r="A746" s="26" t="s">
        <v>794</v>
      </c>
      <c r="B746" s="26" t="s">
        <v>791</v>
      </c>
      <c r="C746" s="26" t="s">
        <v>1243</v>
      </c>
      <c r="D746" s="26" t="s">
        <v>1076</v>
      </c>
      <c r="E746" s="26">
        <v>373</v>
      </c>
      <c r="F746" s="26">
        <v>371.95411999999999</v>
      </c>
      <c r="G746" s="26">
        <v>-1.045880000000011</v>
      </c>
      <c r="H746" s="26">
        <v>1.045880000000011</v>
      </c>
      <c r="I746" s="26" t="s">
        <v>1230</v>
      </c>
      <c r="J746" s="26" t="s">
        <v>1231</v>
      </c>
      <c r="K746" s="26" t="b">
        <v>0</v>
      </c>
      <c r="L746" s="26">
        <v>4</v>
      </c>
    </row>
    <row r="747" spans="1:12" x14ac:dyDescent="0.25">
      <c r="A747" s="26" t="s">
        <v>795</v>
      </c>
      <c r="B747" s="26" t="s">
        <v>791</v>
      </c>
      <c r="C747" s="26" t="s">
        <v>1244</v>
      </c>
      <c r="D747" s="26" t="s">
        <v>1076</v>
      </c>
      <c r="E747" s="26">
        <v>254</v>
      </c>
      <c r="F747" s="26">
        <v>253.34187</v>
      </c>
      <c r="G747" s="26">
        <v>-0.65812999999999988</v>
      </c>
      <c r="H747" s="26">
        <v>0.65812999999999988</v>
      </c>
      <c r="I747" s="26" t="s">
        <v>1230</v>
      </c>
      <c r="J747" s="26" t="s">
        <v>1231</v>
      </c>
      <c r="K747" s="26" t="b">
        <v>0</v>
      </c>
      <c r="L747" s="26">
        <v>5</v>
      </c>
    </row>
    <row r="748" spans="1:12" x14ac:dyDescent="0.25">
      <c r="A748" s="26" t="s">
        <v>796</v>
      </c>
      <c r="B748" s="26" t="s">
        <v>791</v>
      </c>
      <c r="C748" s="26" t="s">
        <v>1245</v>
      </c>
      <c r="D748" s="26" t="s">
        <v>1076</v>
      </c>
      <c r="E748" s="26">
        <v>319</v>
      </c>
      <c r="F748" s="26">
        <v>321.83837000000022</v>
      </c>
      <c r="G748" s="26">
        <v>2.8383700000001681</v>
      </c>
      <c r="H748" s="26">
        <v>2.8383700000001681</v>
      </c>
      <c r="I748" s="26" t="s">
        <v>1230</v>
      </c>
      <c r="J748" s="26" t="s">
        <v>1231</v>
      </c>
      <c r="K748" s="26" t="b">
        <v>0</v>
      </c>
      <c r="L748" s="26">
        <v>1</v>
      </c>
    </row>
    <row r="749" spans="1:12" x14ac:dyDescent="0.25">
      <c r="A749" s="26" t="s">
        <v>797</v>
      </c>
      <c r="B749" s="26" t="s">
        <v>791</v>
      </c>
      <c r="C749" s="26" t="s">
        <v>1246</v>
      </c>
      <c r="D749" s="26" t="s">
        <v>1076</v>
      </c>
      <c r="E749" s="26">
        <v>289</v>
      </c>
      <c r="F749" s="26">
        <v>292.99542000000019</v>
      </c>
      <c r="G749" s="26">
        <v>3.9954200000001951</v>
      </c>
      <c r="H749" s="26">
        <v>3.9954200000001951</v>
      </c>
      <c r="I749" s="26" t="s">
        <v>1230</v>
      </c>
      <c r="J749" s="26" t="s">
        <v>1231</v>
      </c>
      <c r="K749" s="26" t="b">
        <v>0</v>
      </c>
      <c r="L749" s="26">
        <v>2</v>
      </c>
    </row>
    <row r="750" spans="1:12" x14ac:dyDescent="0.25">
      <c r="A750" s="26" t="s">
        <v>798</v>
      </c>
      <c r="B750" s="26" t="s">
        <v>791</v>
      </c>
      <c r="C750" s="26" t="s">
        <v>1247</v>
      </c>
      <c r="D750" s="26" t="s">
        <v>1076</v>
      </c>
      <c r="E750" s="26">
        <v>316</v>
      </c>
      <c r="F750" s="26">
        <v>319.48155000000003</v>
      </c>
      <c r="G750" s="26">
        <v>3.481550000000027</v>
      </c>
      <c r="H750" s="26">
        <v>3.481550000000027</v>
      </c>
      <c r="I750" s="26" t="s">
        <v>1230</v>
      </c>
      <c r="J750" s="26" t="s">
        <v>1231</v>
      </c>
      <c r="K750" s="26" t="b">
        <v>0</v>
      </c>
      <c r="L750" s="26">
        <v>3</v>
      </c>
    </row>
    <row r="751" spans="1:12" x14ac:dyDescent="0.25">
      <c r="A751" s="26" t="s">
        <v>799</v>
      </c>
      <c r="B751" s="26" t="s">
        <v>791</v>
      </c>
      <c r="C751" s="26" t="s">
        <v>1248</v>
      </c>
      <c r="D751" s="26" t="s">
        <v>1076</v>
      </c>
      <c r="E751" s="26">
        <v>311</v>
      </c>
      <c r="F751" s="26">
        <v>310.69</v>
      </c>
      <c r="G751" s="26">
        <v>-0.31000000000000227</v>
      </c>
      <c r="H751" s="26">
        <v>0.31000000000000227</v>
      </c>
      <c r="I751" s="26" t="s">
        <v>1230</v>
      </c>
      <c r="J751" s="26" t="s">
        <v>1231</v>
      </c>
      <c r="K751" s="26" t="b">
        <v>0</v>
      </c>
      <c r="L751" s="26">
        <v>4</v>
      </c>
    </row>
    <row r="752" spans="1:12" x14ac:dyDescent="0.25">
      <c r="A752" s="26" t="s">
        <v>800</v>
      </c>
      <c r="B752" s="26" t="s">
        <v>791</v>
      </c>
      <c r="C752" s="26" t="s">
        <v>1249</v>
      </c>
      <c r="D752" s="26" t="s">
        <v>1076</v>
      </c>
      <c r="E752" s="26">
        <v>305</v>
      </c>
      <c r="F752" s="26">
        <v>301.14281000000011</v>
      </c>
      <c r="G752" s="26">
        <v>-3.8571899999999459</v>
      </c>
      <c r="H752" s="26">
        <v>3.8571899999999459</v>
      </c>
      <c r="I752" s="26" t="s">
        <v>1230</v>
      </c>
      <c r="J752" s="26" t="s">
        <v>1231</v>
      </c>
      <c r="K752" s="26" t="b">
        <v>0</v>
      </c>
      <c r="L752" s="26">
        <v>5</v>
      </c>
    </row>
    <row r="753" spans="1:12" x14ac:dyDescent="0.25">
      <c r="A753" s="26" t="s">
        <v>801</v>
      </c>
      <c r="B753" s="26" t="s">
        <v>802</v>
      </c>
      <c r="C753" s="26" t="s">
        <v>1238</v>
      </c>
      <c r="D753" s="26" t="s">
        <v>1076</v>
      </c>
      <c r="E753" s="26">
        <v>221</v>
      </c>
      <c r="F753" s="26">
        <v>219.69283999999999</v>
      </c>
      <c r="G753" s="26">
        <v>-1.3071600000000101</v>
      </c>
      <c r="H753" s="26">
        <v>1.3071600000000101</v>
      </c>
      <c r="I753" s="26" t="s">
        <v>1230</v>
      </c>
      <c r="J753" s="26" t="s">
        <v>1231</v>
      </c>
      <c r="K753" s="26" t="b">
        <v>0</v>
      </c>
      <c r="L753" s="26">
        <v>1</v>
      </c>
    </row>
    <row r="754" spans="1:12" x14ac:dyDescent="0.25">
      <c r="A754" s="26" t="s">
        <v>803</v>
      </c>
      <c r="B754" s="26" t="s">
        <v>802</v>
      </c>
      <c r="C754" s="26" t="s">
        <v>1241</v>
      </c>
      <c r="D754" s="26" t="s">
        <v>1076</v>
      </c>
      <c r="E754" s="26">
        <v>310</v>
      </c>
      <c r="F754" s="26">
        <v>308.38069000000002</v>
      </c>
      <c r="G754" s="26">
        <v>-1.619309999999984</v>
      </c>
      <c r="H754" s="26">
        <v>1.619309999999984</v>
      </c>
      <c r="I754" s="26" t="s">
        <v>1230</v>
      </c>
      <c r="J754" s="26" t="s">
        <v>1231</v>
      </c>
      <c r="K754" s="26" t="b">
        <v>0</v>
      </c>
      <c r="L754" s="26">
        <v>2</v>
      </c>
    </row>
    <row r="755" spans="1:12" x14ac:dyDescent="0.25">
      <c r="A755" s="26" t="s">
        <v>804</v>
      </c>
      <c r="B755" s="26" t="s">
        <v>802</v>
      </c>
      <c r="C755" s="26" t="s">
        <v>1242</v>
      </c>
      <c r="D755" s="26" t="s">
        <v>1076</v>
      </c>
      <c r="E755" s="26">
        <v>322</v>
      </c>
      <c r="F755" s="26">
        <v>321.58999999999997</v>
      </c>
      <c r="G755" s="26">
        <v>-0.41000000000002501</v>
      </c>
      <c r="H755" s="26">
        <v>0.41000000000002501</v>
      </c>
      <c r="I755" s="26" t="s">
        <v>1230</v>
      </c>
      <c r="J755" s="26" t="s">
        <v>1231</v>
      </c>
      <c r="K755" s="26" t="b">
        <v>0</v>
      </c>
      <c r="L755" s="26">
        <v>3</v>
      </c>
    </row>
    <row r="756" spans="1:12" x14ac:dyDescent="0.25">
      <c r="A756" s="26" t="s">
        <v>805</v>
      </c>
      <c r="B756" s="26" t="s">
        <v>802</v>
      </c>
      <c r="C756" s="26" t="s">
        <v>1243</v>
      </c>
      <c r="D756" s="26" t="s">
        <v>1076</v>
      </c>
      <c r="E756" s="26">
        <v>258</v>
      </c>
      <c r="F756" s="26">
        <v>259.51</v>
      </c>
      <c r="G756" s="26">
        <v>1.5099999999999909</v>
      </c>
      <c r="H756" s="26">
        <v>1.5099999999999909</v>
      </c>
      <c r="I756" s="26" t="s">
        <v>1230</v>
      </c>
      <c r="J756" s="26" t="s">
        <v>1231</v>
      </c>
      <c r="K756" s="26" t="b">
        <v>0</v>
      </c>
      <c r="L756" s="26">
        <v>4</v>
      </c>
    </row>
    <row r="757" spans="1:12" x14ac:dyDescent="0.25">
      <c r="A757" s="26" t="s">
        <v>806</v>
      </c>
      <c r="B757" s="26" t="s">
        <v>802</v>
      </c>
      <c r="C757" s="26" t="s">
        <v>1244</v>
      </c>
      <c r="D757" s="26" t="s">
        <v>1076</v>
      </c>
      <c r="E757" s="26">
        <v>332</v>
      </c>
      <c r="F757" s="26">
        <v>329.39947999999998</v>
      </c>
      <c r="G757" s="26">
        <v>-2.6005200000000168</v>
      </c>
      <c r="H757" s="26">
        <v>2.6005200000000168</v>
      </c>
      <c r="I757" s="26" t="s">
        <v>1230</v>
      </c>
      <c r="J757" s="26" t="s">
        <v>1231</v>
      </c>
      <c r="K757" s="26" t="b">
        <v>0</v>
      </c>
      <c r="L757" s="26">
        <v>5</v>
      </c>
    </row>
    <row r="758" spans="1:12" x14ac:dyDescent="0.25">
      <c r="A758" s="26" t="s">
        <v>807</v>
      </c>
      <c r="B758" s="26" t="s">
        <v>802</v>
      </c>
      <c r="C758" s="26" t="s">
        <v>1245</v>
      </c>
      <c r="D758" s="26" t="s">
        <v>1076</v>
      </c>
      <c r="E758" s="26">
        <v>337</v>
      </c>
      <c r="F758" s="26">
        <v>340.80929999999989</v>
      </c>
      <c r="G758" s="26">
        <v>3.8092999999998942</v>
      </c>
      <c r="H758" s="26">
        <v>3.8092999999998942</v>
      </c>
      <c r="I758" s="26" t="s">
        <v>1230</v>
      </c>
      <c r="J758" s="26" t="s">
        <v>1231</v>
      </c>
      <c r="K758" s="26" t="b">
        <v>0</v>
      </c>
      <c r="L758" s="26">
        <v>1</v>
      </c>
    </row>
    <row r="759" spans="1:12" x14ac:dyDescent="0.25">
      <c r="A759" s="26" t="s">
        <v>808</v>
      </c>
      <c r="B759" s="26" t="s">
        <v>802</v>
      </c>
      <c r="C759" s="26" t="s">
        <v>1246</v>
      </c>
      <c r="D759" s="26" t="s">
        <v>1076</v>
      </c>
      <c r="E759" s="26">
        <v>306</v>
      </c>
      <c r="F759" s="26">
        <v>304.18</v>
      </c>
      <c r="G759" s="26">
        <v>-1.819999999999993</v>
      </c>
      <c r="H759" s="26">
        <v>1.819999999999993</v>
      </c>
      <c r="I759" s="26" t="s">
        <v>1230</v>
      </c>
      <c r="J759" s="26" t="s">
        <v>1231</v>
      </c>
      <c r="K759" s="26" t="b">
        <v>0</v>
      </c>
      <c r="L759" s="26">
        <v>2</v>
      </c>
    </row>
    <row r="760" spans="1:12" x14ac:dyDescent="0.25">
      <c r="A760" s="26" t="s">
        <v>809</v>
      </c>
      <c r="B760" s="26" t="s">
        <v>802</v>
      </c>
      <c r="C760" s="26" t="s">
        <v>1247</v>
      </c>
      <c r="D760" s="26" t="s">
        <v>1076</v>
      </c>
      <c r="E760" s="26">
        <v>251</v>
      </c>
      <c r="F760" s="26">
        <v>254.90812</v>
      </c>
      <c r="G760" s="26">
        <v>3.9081199999999972</v>
      </c>
      <c r="H760" s="26">
        <v>3.9081199999999972</v>
      </c>
      <c r="I760" s="26" t="s">
        <v>1230</v>
      </c>
      <c r="J760" s="26" t="s">
        <v>1231</v>
      </c>
      <c r="K760" s="26" t="b">
        <v>0</v>
      </c>
      <c r="L760" s="26">
        <v>3</v>
      </c>
    </row>
    <row r="761" spans="1:12" x14ac:dyDescent="0.25">
      <c r="A761" s="26" t="s">
        <v>810</v>
      </c>
      <c r="B761" s="26" t="s">
        <v>802</v>
      </c>
      <c r="C761" s="26" t="s">
        <v>1248</v>
      </c>
      <c r="D761" s="26" t="s">
        <v>1076</v>
      </c>
      <c r="E761" s="26">
        <v>316</v>
      </c>
      <c r="F761" s="26">
        <v>311.72847000000053</v>
      </c>
      <c r="G761" s="26">
        <v>-4.2715299999995304</v>
      </c>
      <c r="H761" s="26">
        <v>4.2715299999995304</v>
      </c>
      <c r="I761" s="26" t="s">
        <v>1230</v>
      </c>
      <c r="J761" s="26" t="s">
        <v>1231</v>
      </c>
      <c r="K761" s="26" t="b">
        <v>0</v>
      </c>
      <c r="L761" s="26">
        <v>4</v>
      </c>
    </row>
    <row r="762" spans="1:12" x14ac:dyDescent="0.25">
      <c r="A762" s="26" t="s">
        <v>811</v>
      </c>
      <c r="B762" s="26" t="s">
        <v>802</v>
      </c>
      <c r="C762" s="26" t="s">
        <v>1249</v>
      </c>
      <c r="D762" s="26" t="s">
        <v>1076</v>
      </c>
      <c r="E762" s="26">
        <v>281</v>
      </c>
      <c r="F762" s="26">
        <v>279.02449000000001</v>
      </c>
      <c r="G762" s="26">
        <v>-1.9755099999999861</v>
      </c>
      <c r="H762" s="26">
        <v>1.9755099999999861</v>
      </c>
      <c r="I762" s="26" t="s">
        <v>1230</v>
      </c>
      <c r="J762" s="26" t="s">
        <v>1231</v>
      </c>
      <c r="K762" s="26" t="b">
        <v>0</v>
      </c>
      <c r="L762" s="26">
        <v>5</v>
      </c>
    </row>
    <row r="763" spans="1:12" x14ac:dyDescent="0.25">
      <c r="A763" s="26" t="s">
        <v>812</v>
      </c>
      <c r="B763" s="26" t="s">
        <v>813</v>
      </c>
      <c r="C763" s="26" t="s">
        <v>1238</v>
      </c>
      <c r="D763" s="26" t="s">
        <v>1076</v>
      </c>
      <c r="E763" s="26">
        <v>258</v>
      </c>
      <c r="F763" s="26">
        <v>255.4718</v>
      </c>
      <c r="G763" s="26">
        <v>-2.5281999999999978</v>
      </c>
      <c r="H763" s="26">
        <v>2.5281999999999978</v>
      </c>
      <c r="I763" s="26" t="s">
        <v>1230</v>
      </c>
      <c r="J763" s="26" t="s">
        <v>1231</v>
      </c>
      <c r="K763" s="26" t="b">
        <v>0</v>
      </c>
      <c r="L763" s="26">
        <v>1</v>
      </c>
    </row>
    <row r="764" spans="1:12" x14ac:dyDescent="0.25">
      <c r="A764" s="26" t="s">
        <v>814</v>
      </c>
      <c r="B764" s="26" t="s">
        <v>813</v>
      </c>
      <c r="C764" s="26" t="s">
        <v>1241</v>
      </c>
      <c r="D764" s="26" t="s">
        <v>1076</v>
      </c>
      <c r="E764" s="26">
        <v>277</v>
      </c>
      <c r="F764" s="26">
        <v>276.9979900000003</v>
      </c>
      <c r="G764" s="26">
        <v>-2.009999999700085E-3</v>
      </c>
      <c r="H764" s="26">
        <v>2.009999999700085E-3</v>
      </c>
      <c r="I764" s="26" t="s">
        <v>1230</v>
      </c>
      <c r="J764" s="26" t="s">
        <v>1231</v>
      </c>
      <c r="K764" s="26" t="b">
        <v>0</v>
      </c>
      <c r="L764" s="26">
        <v>2</v>
      </c>
    </row>
    <row r="765" spans="1:12" x14ac:dyDescent="0.25">
      <c r="A765" s="26" t="s">
        <v>815</v>
      </c>
      <c r="B765" s="26" t="s">
        <v>813</v>
      </c>
      <c r="C765" s="26" t="s">
        <v>1242</v>
      </c>
      <c r="D765" s="26" t="s">
        <v>1076</v>
      </c>
      <c r="E765" s="26">
        <v>233</v>
      </c>
      <c r="F765" s="26">
        <v>231.52</v>
      </c>
      <c r="G765" s="26">
        <v>-1.47999999999999</v>
      </c>
      <c r="H765" s="26">
        <v>1.47999999999999</v>
      </c>
      <c r="I765" s="26" t="s">
        <v>1230</v>
      </c>
      <c r="J765" s="26" t="s">
        <v>1231</v>
      </c>
      <c r="K765" s="26" t="b">
        <v>0</v>
      </c>
      <c r="L765" s="26">
        <v>3</v>
      </c>
    </row>
    <row r="766" spans="1:12" x14ac:dyDescent="0.25">
      <c r="A766" s="26" t="s">
        <v>816</v>
      </c>
      <c r="B766" s="26" t="s">
        <v>813</v>
      </c>
      <c r="C766" s="26" t="s">
        <v>1243</v>
      </c>
      <c r="D766" s="26" t="s">
        <v>1076</v>
      </c>
      <c r="E766" s="26">
        <v>254</v>
      </c>
      <c r="F766" s="26">
        <v>252.31988999999999</v>
      </c>
      <c r="G766" s="26">
        <v>-1.6801100000000131</v>
      </c>
      <c r="H766" s="26">
        <v>1.6801100000000131</v>
      </c>
      <c r="I766" s="26" t="s">
        <v>1230</v>
      </c>
      <c r="J766" s="26" t="s">
        <v>1231</v>
      </c>
      <c r="K766" s="26" t="b">
        <v>0</v>
      </c>
      <c r="L766" s="26">
        <v>4</v>
      </c>
    </row>
    <row r="767" spans="1:12" x14ac:dyDescent="0.25">
      <c r="A767" s="26" t="s">
        <v>817</v>
      </c>
      <c r="B767" s="26" t="s">
        <v>813</v>
      </c>
      <c r="C767" s="26" t="s">
        <v>1244</v>
      </c>
      <c r="D767" s="26" t="s">
        <v>1076</v>
      </c>
      <c r="E767" s="26">
        <v>303</v>
      </c>
      <c r="F767" s="26">
        <v>305.48412000000008</v>
      </c>
      <c r="G767" s="26">
        <v>2.4841200000000749</v>
      </c>
      <c r="H767" s="26">
        <v>2.4841200000000749</v>
      </c>
      <c r="I767" s="26" t="s">
        <v>1230</v>
      </c>
      <c r="J767" s="26" t="s">
        <v>1231</v>
      </c>
      <c r="K767" s="26" t="b">
        <v>0</v>
      </c>
      <c r="L767" s="26">
        <v>5</v>
      </c>
    </row>
    <row r="768" spans="1:12" x14ac:dyDescent="0.25">
      <c r="A768" s="26" t="s">
        <v>818</v>
      </c>
      <c r="B768" s="26" t="s">
        <v>813</v>
      </c>
      <c r="C768" s="26" t="s">
        <v>1245</v>
      </c>
      <c r="D768" s="26" t="s">
        <v>1076</v>
      </c>
      <c r="E768" s="26">
        <v>262</v>
      </c>
      <c r="F768" s="26">
        <v>259.96501999999998</v>
      </c>
      <c r="G768" s="26">
        <v>-2.0349800000000191</v>
      </c>
      <c r="H768" s="26">
        <v>2.0349800000000191</v>
      </c>
      <c r="I768" s="26" t="s">
        <v>1230</v>
      </c>
      <c r="J768" s="26" t="s">
        <v>1231</v>
      </c>
      <c r="K768" s="26" t="b">
        <v>0</v>
      </c>
      <c r="L768" s="26">
        <v>1</v>
      </c>
    </row>
    <row r="769" spans="1:12" x14ac:dyDescent="0.25">
      <c r="A769" s="26" t="s">
        <v>819</v>
      </c>
      <c r="B769" s="26" t="s">
        <v>813</v>
      </c>
      <c r="C769" s="26" t="s">
        <v>1246</v>
      </c>
      <c r="D769" s="26" t="s">
        <v>1076</v>
      </c>
      <c r="E769" s="26">
        <v>376</v>
      </c>
      <c r="F769" s="26">
        <v>375.19</v>
      </c>
      <c r="G769" s="26">
        <v>-0.81000000000000227</v>
      </c>
      <c r="H769" s="26">
        <v>0.81000000000000227</v>
      </c>
      <c r="I769" s="26" t="s">
        <v>1230</v>
      </c>
      <c r="J769" s="26" t="s">
        <v>1231</v>
      </c>
      <c r="K769" s="26" t="b">
        <v>0</v>
      </c>
      <c r="L769" s="26">
        <v>2</v>
      </c>
    </row>
    <row r="770" spans="1:12" x14ac:dyDescent="0.25">
      <c r="A770" s="26" t="s">
        <v>820</v>
      </c>
      <c r="B770" s="26" t="s">
        <v>813</v>
      </c>
      <c r="C770" s="26" t="s">
        <v>1247</v>
      </c>
      <c r="D770" s="26" t="s">
        <v>1076</v>
      </c>
      <c r="E770" s="26">
        <v>308</v>
      </c>
      <c r="F770" s="26">
        <v>306.54102</v>
      </c>
      <c r="G770" s="26">
        <v>-1.4589799999999971</v>
      </c>
      <c r="H770" s="26">
        <v>1.4589799999999971</v>
      </c>
      <c r="I770" s="26" t="s">
        <v>1230</v>
      </c>
      <c r="J770" s="26" t="s">
        <v>1231</v>
      </c>
      <c r="K770" s="26" t="b">
        <v>0</v>
      </c>
      <c r="L770" s="26">
        <v>3</v>
      </c>
    </row>
    <row r="771" spans="1:12" x14ac:dyDescent="0.25">
      <c r="A771" s="26" t="s">
        <v>821</v>
      </c>
      <c r="B771" s="26" t="s">
        <v>813</v>
      </c>
      <c r="C771" s="26" t="s">
        <v>1248</v>
      </c>
      <c r="D771" s="26" t="s">
        <v>1076</v>
      </c>
      <c r="E771" s="26">
        <v>237</v>
      </c>
      <c r="F771" s="26">
        <v>240.4834100000003</v>
      </c>
      <c r="G771" s="26">
        <v>3.4834100000002759</v>
      </c>
      <c r="H771" s="26">
        <v>3.4834100000002759</v>
      </c>
      <c r="I771" s="26" t="s">
        <v>1230</v>
      </c>
      <c r="J771" s="26" t="s">
        <v>1231</v>
      </c>
      <c r="K771" s="26" t="b">
        <v>0</v>
      </c>
      <c r="L771" s="26">
        <v>4</v>
      </c>
    </row>
    <row r="772" spans="1:12" x14ac:dyDescent="0.25">
      <c r="A772" s="26" t="s">
        <v>822</v>
      </c>
      <c r="B772" s="26" t="s">
        <v>813</v>
      </c>
      <c r="C772" s="26" t="s">
        <v>1249</v>
      </c>
      <c r="D772" s="26" t="s">
        <v>1076</v>
      </c>
      <c r="E772" s="26">
        <v>280</v>
      </c>
      <c r="F772" s="26">
        <v>278.72262000000001</v>
      </c>
      <c r="G772" s="26">
        <v>-1.277379999999994</v>
      </c>
      <c r="H772" s="26">
        <v>1.277379999999994</v>
      </c>
      <c r="I772" s="26" t="s">
        <v>1230</v>
      </c>
      <c r="J772" s="26" t="s">
        <v>1231</v>
      </c>
      <c r="K772" s="26" t="b">
        <v>0</v>
      </c>
      <c r="L772" s="26">
        <v>5</v>
      </c>
    </row>
    <row r="773" spans="1:12" x14ac:dyDescent="0.25">
      <c r="A773" s="26" t="s">
        <v>823</v>
      </c>
      <c r="B773" s="26" t="s">
        <v>824</v>
      </c>
      <c r="C773" s="26" t="s">
        <v>1238</v>
      </c>
      <c r="D773" s="26" t="s">
        <v>1076</v>
      </c>
      <c r="E773" s="26">
        <v>276</v>
      </c>
      <c r="F773" s="26">
        <v>274.56</v>
      </c>
      <c r="G773" s="26">
        <v>-1.4399999999999979</v>
      </c>
      <c r="H773" s="26">
        <v>1.4399999999999979</v>
      </c>
      <c r="I773" s="26" t="s">
        <v>1230</v>
      </c>
      <c r="J773" s="26" t="s">
        <v>1231</v>
      </c>
      <c r="K773" s="26" t="b">
        <v>0</v>
      </c>
      <c r="L773" s="26">
        <v>1</v>
      </c>
    </row>
    <row r="774" spans="1:12" x14ac:dyDescent="0.25">
      <c r="A774" s="26" t="s">
        <v>825</v>
      </c>
      <c r="B774" s="26" t="s">
        <v>824</v>
      </c>
      <c r="C774" s="26" t="s">
        <v>1241</v>
      </c>
      <c r="D774" s="26" t="s">
        <v>1076</v>
      </c>
      <c r="E774" s="26">
        <v>286</v>
      </c>
      <c r="F774" s="26">
        <v>281.65606000000002</v>
      </c>
      <c r="G774" s="26">
        <v>-4.343939999999975</v>
      </c>
      <c r="H774" s="26">
        <v>4.343939999999975</v>
      </c>
      <c r="I774" s="26" t="s">
        <v>1230</v>
      </c>
      <c r="J774" s="26" t="s">
        <v>1231</v>
      </c>
      <c r="K774" s="26" t="b">
        <v>0</v>
      </c>
      <c r="L774" s="26">
        <v>2</v>
      </c>
    </row>
    <row r="775" spans="1:12" x14ac:dyDescent="0.25">
      <c r="A775" s="33" t="s">
        <v>826</v>
      </c>
      <c r="B775" s="33" t="s">
        <v>824</v>
      </c>
      <c r="C775" s="33" t="s">
        <v>1242</v>
      </c>
      <c r="D775" s="33" t="s">
        <v>1076</v>
      </c>
      <c r="E775" s="33">
        <v>415</v>
      </c>
      <c r="F775" s="33">
        <v>413.89</v>
      </c>
      <c r="G775" s="33">
        <v>-1.1100000000000141</v>
      </c>
      <c r="H775" s="33">
        <v>1.1100000000000141</v>
      </c>
      <c r="I775" s="33" t="s">
        <v>1230</v>
      </c>
      <c r="J775" s="33" t="s">
        <v>1231</v>
      </c>
      <c r="K775" s="33" t="b">
        <v>1</v>
      </c>
      <c r="L775" s="33">
        <v>3</v>
      </c>
    </row>
    <row r="776" spans="1:12" x14ac:dyDescent="0.25">
      <c r="A776" s="26" t="s">
        <v>827</v>
      </c>
      <c r="B776" s="26" t="s">
        <v>824</v>
      </c>
      <c r="C776" s="26" t="s">
        <v>1243</v>
      </c>
      <c r="D776" s="26" t="s">
        <v>1076</v>
      </c>
      <c r="E776" s="26">
        <v>384</v>
      </c>
      <c r="F776" s="26">
        <v>383.15194000000002</v>
      </c>
      <c r="G776" s="26">
        <v>-0.84806000000003223</v>
      </c>
      <c r="H776" s="26">
        <v>0.84806000000003223</v>
      </c>
      <c r="I776" s="26" t="s">
        <v>1230</v>
      </c>
      <c r="J776" s="26" t="s">
        <v>1231</v>
      </c>
      <c r="K776" s="26" t="b">
        <v>0</v>
      </c>
      <c r="L776" s="26">
        <v>4</v>
      </c>
    </row>
    <row r="777" spans="1:12" x14ac:dyDescent="0.25">
      <c r="A777" s="26" t="s">
        <v>828</v>
      </c>
      <c r="B777" s="26" t="s">
        <v>824</v>
      </c>
      <c r="C777" s="26" t="s">
        <v>1244</v>
      </c>
      <c r="D777" s="26" t="s">
        <v>1076</v>
      </c>
      <c r="E777" s="26">
        <v>303</v>
      </c>
      <c r="F777" s="26">
        <v>299.02582000000001</v>
      </c>
      <c r="G777" s="26">
        <v>-3.9741799999999898</v>
      </c>
      <c r="H777" s="26">
        <v>3.9741799999999898</v>
      </c>
      <c r="I777" s="26" t="s">
        <v>1230</v>
      </c>
      <c r="J777" s="26" t="s">
        <v>1231</v>
      </c>
      <c r="K777" s="26" t="b">
        <v>0</v>
      </c>
      <c r="L777" s="26">
        <v>5</v>
      </c>
    </row>
    <row r="778" spans="1:12" x14ac:dyDescent="0.25">
      <c r="A778" s="26" t="s">
        <v>829</v>
      </c>
      <c r="B778" s="26" t="s">
        <v>824</v>
      </c>
      <c r="C778" s="26" t="s">
        <v>1245</v>
      </c>
      <c r="D778" s="26" t="s">
        <v>1076</v>
      </c>
      <c r="E778" s="26">
        <v>275</v>
      </c>
      <c r="F778" s="26">
        <v>271.45629000000002</v>
      </c>
      <c r="G778" s="26">
        <v>-3.5437099999999759</v>
      </c>
      <c r="H778" s="26">
        <v>3.5437099999999759</v>
      </c>
      <c r="I778" s="26" t="s">
        <v>1230</v>
      </c>
      <c r="J778" s="26" t="s">
        <v>1231</v>
      </c>
      <c r="K778" s="26" t="b">
        <v>0</v>
      </c>
      <c r="L778" s="26">
        <v>1</v>
      </c>
    </row>
    <row r="779" spans="1:12" x14ac:dyDescent="0.25">
      <c r="A779" s="26" t="s">
        <v>830</v>
      </c>
      <c r="B779" s="26" t="s">
        <v>824</v>
      </c>
      <c r="C779" s="26" t="s">
        <v>1246</v>
      </c>
      <c r="D779" s="26" t="s">
        <v>1076</v>
      </c>
      <c r="E779" s="26">
        <v>249</v>
      </c>
      <c r="F779" s="26">
        <v>246.60882000000021</v>
      </c>
      <c r="G779" s="26">
        <v>-2.3911799999998489</v>
      </c>
      <c r="H779" s="26">
        <v>2.3911799999998489</v>
      </c>
      <c r="I779" s="26" t="s">
        <v>1230</v>
      </c>
      <c r="J779" s="26" t="s">
        <v>1231</v>
      </c>
      <c r="K779" s="26" t="b">
        <v>0</v>
      </c>
      <c r="L779" s="26">
        <v>2</v>
      </c>
    </row>
    <row r="780" spans="1:12" x14ac:dyDescent="0.25">
      <c r="A780" s="26" t="s">
        <v>831</v>
      </c>
      <c r="B780" s="26" t="s">
        <v>824</v>
      </c>
      <c r="C780" s="26" t="s">
        <v>1247</v>
      </c>
      <c r="D780" s="26" t="s">
        <v>1076</v>
      </c>
      <c r="E780" s="26">
        <v>344</v>
      </c>
      <c r="F780" s="26">
        <v>345.61086</v>
      </c>
      <c r="G780" s="26">
        <v>1.610860000000002</v>
      </c>
      <c r="H780" s="26">
        <v>1.610860000000002</v>
      </c>
      <c r="I780" s="26" t="s">
        <v>1230</v>
      </c>
      <c r="J780" s="26" t="s">
        <v>1231</v>
      </c>
      <c r="K780" s="26" t="b">
        <v>0</v>
      </c>
      <c r="L780" s="26">
        <v>3</v>
      </c>
    </row>
    <row r="781" spans="1:12" x14ac:dyDescent="0.25">
      <c r="A781" s="26" t="s">
        <v>832</v>
      </c>
      <c r="B781" s="26" t="s">
        <v>824</v>
      </c>
      <c r="C781" s="26" t="s">
        <v>1248</v>
      </c>
      <c r="D781" s="26" t="s">
        <v>1076</v>
      </c>
      <c r="E781" s="26">
        <v>290</v>
      </c>
      <c r="F781" s="26">
        <v>289.36775000000011</v>
      </c>
      <c r="G781" s="26">
        <v>-0.6322499999998854</v>
      </c>
      <c r="H781" s="26">
        <v>0.6322499999998854</v>
      </c>
      <c r="I781" s="26" t="s">
        <v>1230</v>
      </c>
      <c r="J781" s="26" t="s">
        <v>1231</v>
      </c>
      <c r="K781" s="26" t="b">
        <v>0</v>
      </c>
      <c r="L781" s="26">
        <v>4</v>
      </c>
    </row>
    <row r="782" spans="1:12" x14ac:dyDescent="0.25">
      <c r="A782" s="26" t="s">
        <v>833</v>
      </c>
      <c r="B782" s="26" t="s">
        <v>824</v>
      </c>
      <c r="C782" s="26" t="s">
        <v>1249</v>
      </c>
      <c r="D782" s="26" t="s">
        <v>1076</v>
      </c>
      <c r="E782" s="26">
        <v>313</v>
      </c>
      <c r="F782" s="26">
        <v>316.48607000000038</v>
      </c>
      <c r="G782" s="26">
        <v>3.4860700000003821</v>
      </c>
      <c r="H782" s="26">
        <v>3.4860700000003821</v>
      </c>
      <c r="I782" s="26" t="s">
        <v>1230</v>
      </c>
      <c r="J782" s="26" t="s">
        <v>1231</v>
      </c>
      <c r="K782" s="26" t="b">
        <v>0</v>
      </c>
      <c r="L782" s="26">
        <v>5</v>
      </c>
    </row>
    <row r="783" spans="1:12" x14ac:dyDescent="0.25">
      <c r="A783" s="26" t="s">
        <v>834</v>
      </c>
      <c r="B783" s="26" t="s">
        <v>835</v>
      </c>
      <c r="C783" s="26" t="s">
        <v>1238</v>
      </c>
      <c r="D783" s="26" t="s">
        <v>1076</v>
      </c>
      <c r="E783" s="26">
        <v>289</v>
      </c>
      <c r="F783" s="26">
        <v>287.76206000000002</v>
      </c>
      <c r="G783" s="26">
        <v>-1.2379399999999809</v>
      </c>
      <c r="H783" s="26">
        <v>1.2379399999999809</v>
      </c>
      <c r="I783" s="26" t="s">
        <v>1230</v>
      </c>
      <c r="J783" s="26" t="s">
        <v>1231</v>
      </c>
      <c r="K783" s="26" t="b">
        <v>0</v>
      </c>
      <c r="L783" s="26">
        <v>1</v>
      </c>
    </row>
    <row r="784" spans="1:12" x14ac:dyDescent="0.25">
      <c r="A784" s="26" t="s">
        <v>836</v>
      </c>
      <c r="B784" s="26" t="s">
        <v>835</v>
      </c>
      <c r="C784" s="26" t="s">
        <v>1241</v>
      </c>
      <c r="D784" s="26" t="s">
        <v>1076</v>
      </c>
      <c r="E784" s="26">
        <v>304</v>
      </c>
      <c r="F784" s="26">
        <v>302.39620000000002</v>
      </c>
      <c r="G784" s="26">
        <v>-1.6037999999999779</v>
      </c>
      <c r="H784" s="26">
        <v>1.6037999999999779</v>
      </c>
      <c r="I784" s="26" t="s">
        <v>1230</v>
      </c>
      <c r="J784" s="26" t="s">
        <v>1231</v>
      </c>
      <c r="K784" s="26" t="b">
        <v>0</v>
      </c>
      <c r="L784" s="26">
        <v>2</v>
      </c>
    </row>
    <row r="785" spans="1:12" x14ac:dyDescent="0.25">
      <c r="A785" s="26" t="s">
        <v>837</v>
      </c>
      <c r="B785" s="26" t="s">
        <v>835</v>
      </c>
      <c r="C785" s="26" t="s">
        <v>1242</v>
      </c>
      <c r="D785" s="26" t="s">
        <v>1076</v>
      </c>
      <c r="E785" s="26">
        <v>300</v>
      </c>
      <c r="F785" s="26">
        <v>298.89</v>
      </c>
      <c r="G785" s="26">
        <v>-1.1100000000000141</v>
      </c>
      <c r="H785" s="26">
        <v>1.1100000000000141</v>
      </c>
      <c r="I785" s="26" t="s">
        <v>1230</v>
      </c>
      <c r="J785" s="26" t="s">
        <v>1231</v>
      </c>
      <c r="K785" s="26" t="b">
        <v>0</v>
      </c>
      <c r="L785" s="26">
        <v>3</v>
      </c>
    </row>
    <row r="786" spans="1:12" x14ac:dyDescent="0.25">
      <c r="A786" s="26" t="s">
        <v>838</v>
      </c>
      <c r="B786" s="26" t="s">
        <v>835</v>
      </c>
      <c r="C786" s="26" t="s">
        <v>1243</v>
      </c>
      <c r="D786" s="26" t="s">
        <v>1076</v>
      </c>
      <c r="E786" s="26">
        <v>283</v>
      </c>
      <c r="F786" s="26">
        <v>281.77951999999999</v>
      </c>
      <c r="G786" s="26">
        <v>-1.2204800000000089</v>
      </c>
      <c r="H786" s="26">
        <v>1.2204800000000089</v>
      </c>
      <c r="I786" s="26" t="s">
        <v>1230</v>
      </c>
      <c r="J786" s="26" t="s">
        <v>1231</v>
      </c>
      <c r="K786" s="26" t="b">
        <v>0</v>
      </c>
      <c r="L786" s="26">
        <v>4</v>
      </c>
    </row>
    <row r="787" spans="1:12" x14ac:dyDescent="0.25">
      <c r="A787" s="26" t="s">
        <v>839</v>
      </c>
      <c r="B787" s="26" t="s">
        <v>835</v>
      </c>
      <c r="C787" s="26" t="s">
        <v>1244</v>
      </c>
      <c r="D787" s="26" t="s">
        <v>1076</v>
      </c>
      <c r="E787" s="26">
        <v>307</v>
      </c>
      <c r="F787" s="26">
        <v>306.61</v>
      </c>
      <c r="G787" s="26">
        <v>-0.38999999999998641</v>
      </c>
      <c r="H787" s="26">
        <v>0.38999999999998641</v>
      </c>
      <c r="I787" s="26" t="s">
        <v>1230</v>
      </c>
      <c r="J787" s="26" t="s">
        <v>1231</v>
      </c>
      <c r="K787" s="26" t="b">
        <v>0</v>
      </c>
      <c r="L787" s="26">
        <v>5</v>
      </c>
    </row>
    <row r="788" spans="1:12" x14ac:dyDescent="0.25">
      <c r="A788" s="26" t="s">
        <v>840</v>
      </c>
      <c r="B788" s="26" t="s">
        <v>835</v>
      </c>
      <c r="C788" s="26" t="s">
        <v>1245</v>
      </c>
      <c r="D788" s="26" t="s">
        <v>1076</v>
      </c>
      <c r="E788" s="26">
        <v>255</v>
      </c>
      <c r="F788" s="26">
        <v>254.31</v>
      </c>
      <c r="G788" s="26">
        <v>-0.68999999999999773</v>
      </c>
      <c r="H788" s="26">
        <v>0.68999999999999773</v>
      </c>
      <c r="I788" s="26" t="s">
        <v>1230</v>
      </c>
      <c r="J788" s="26" t="s">
        <v>1231</v>
      </c>
      <c r="K788" s="26" t="b">
        <v>0</v>
      </c>
      <c r="L788" s="26">
        <v>1</v>
      </c>
    </row>
    <row r="789" spans="1:12" x14ac:dyDescent="0.25">
      <c r="A789" s="26" t="s">
        <v>841</v>
      </c>
      <c r="B789" s="26" t="s">
        <v>835</v>
      </c>
      <c r="C789" s="26" t="s">
        <v>1246</v>
      </c>
      <c r="D789" s="26" t="s">
        <v>1076</v>
      </c>
      <c r="E789" s="26">
        <v>247</v>
      </c>
      <c r="F789" s="26">
        <v>248.27398000000019</v>
      </c>
      <c r="G789" s="26">
        <v>1.2739800000001651</v>
      </c>
      <c r="H789" s="26">
        <v>1.2739800000001651</v>
      </c>
      <c r="I789" s="26" t="s">
        <v>1230</v>
      </c>
      <c r="J789" s="26" t="s">
        <v>1231</v>
      </c>
      <c r="K789" s="26" t="b">
        <v>0</v>
      </c>
      <c r="L789" s="26">
        <v>2</v>
      </c>
    </row>
    <row r="790" spans="1:12" x14ac:dyDescent="0.25">
      <c r="A790" s="26" t="s">
        <v>842</v>
      </c>
      <c r="B790" s="26" t="s">
        <v>835</v>
      </c>
      <c r="C790" s="26" t="s">
        <v>1247</v>
      </c>
      <c r="D790" s="26" t="s">
        <v>1076</v>
      </c>
      <c r="E790" s="26">
        <v>180</v>
      </c>
      <c r="F790" s="26">
        <v>179.65011999999999</v>
      </c>
      <c r="G790" s="26">
        <v>-0.34988000000001312</v>
      </c>
      <c r="H790" s="26">
        <v>0.34988000000001312</v>
      </c>
      <c r="I790" s="26" t="s">
        <v>1230</v>
      </c>
      <c r="J790" s="26" t="s">
        <v>1231</v>
      </c>
      <c r="K790" s="26" t="b">
        <v>0</v>
      </c>
      <c r="L790" s="26">
        <v>3</v>
      </c>
    </row>
    <row r="791" spans="1:12" x14ac:dyDescent="0.25">
      <c r="A791" s="26" t="s">
        <v>843</v>
      </c>
      <c r="B791" s="26" t="s">
        <v>835</v>
      </c>
      <c r="C791" s="26" t="s">
        <v>1248</v>
      </c>
      <c r="D791" s="26" t="s">
        <v>1076</v>
      </c>
      <c r="E791" s="26">
        <v>256</v>
      </c>
      <c r="F791" s="26">
        <v>253.62628000000021</v>
      </c>
      <c r="G791" s="26">
        <v>-2.3737199999998211</v>
      </c>
      <c r="H791" s="26">
        <v>2.3737199999998211</v>
      </c>
      <c r="I791" s="26" t="s">
        <v>1230</v>
      </c>
      <c r="J791" s="26" t="s">
        <v>1231</v>
      </c>
      <c r="K791" s="26" t="b">
        <v>0</v>
      </c>
      <c r="L791" s="26">
        <v>4</v>
      </c>
    </row>
    <row r="792" spans="1:12" x14ac:dyDescent="0.25">
      <c r="A792" s="26" t="s">
        <v>844</v>
      </c>
      <c r="B792" s="26" t="s">
        <v>835</v>
      </c>
      <c r="C792" s="26" t="s">
        <v>1249</v>
      </c>
      <c r="D792" s="26" t="s">
        <v>1076</v>
      </c>
      <c r="E792" s="26">
        <v>222</v>
      </c>
      <c r="F792" s="26">
        <v>225.93523999999999</v>
      </c>
      <c r="G792" s="26">
        <v>3.9352399999999932</v>
      </c>
      <c r="H792" s="26">
        <v>3.9352399999999932</v>
      </c>
      <c r="I792" s="26" t="s">
        <v>1230</v>
      </c>
      <c r="J792" s="26" t="s">
        <v>1231</v>
      </c>
      <c r="K792" s="26" t="b">
        <v>0</v>
      </c>
      <c r="L792" s="26">
        <v>5</v>
      </c>
    </row>
    <row r="793" spans="1:12" x14ac:dyDescent="0.25">
      <c r="A793" s="26" t="s">
        <v>845</v>
      </c>
      <c r="B793" s="26" t="s">
        <v>846</v>
      </c>
      <c r="C793" s="26" t="s">
        <v>1238</v>
      </c>
      <c r="D793" s="26" t="s">
        <v>1076</v>
      </c>
      <c r="E793" s="26">
        <v>312</v>
      </c>
      <c r="F793" s="26">
        <v>314.22620999999998</v>
      </c>
      <c r="G793" s="26">
        <v>2.2262100000000369</v>
      </c>
      <c r="H793" s="26">
        <v>2.2262100000000369</v>
      </c>
      <c r="I793" s="26" t="s">
        <v>1230</v>
      </c>
      <c r="J793" s="26" t="s">
        <v>1231</v>
      </c>
      <c r="K793" s="26" t="b">
        <v>0</v>
      </c>
      <c r="L793" s="26">
        <v>1</v>
      </c>
    </row>
    <row r="794" spans="1:12" x14ac:dyDescent="0.25">
      <c r="A794" s="26" t="s">
        <v>847</v>
      </c>
      <c r="B794" s="26" t="s">
        <v>846</v>
      </c>
      <c r="C794" s="26" t="s">
        <v>1241</v>
      </c>
      <c r="D794" s="26" t="s">
        <v>1076</v>
      </c>
      <c r="E794" s="26">
        <v>233</v>
      </c>
      <c r="F794" s="26">
        <v>236.92619999999999</v>
      </c>
      <c r="G794" s="26">
        <v>3.9261999999999939</v>
      </c>
      <c r="H794" s="26">
        <v>3.9261999999999939</v>
      </c>
      <c r="I794" s="26" t="s">
        <v>1230</v>
      </c>
      <c r="J794" s="26" t="s">
        <v>1231</v>
      </c>
      <c r="K794" s="26" t="b">
        <v>0</v>
      </c>
      <c r="L794" s="26">
        <v>2</v>
      </c>
    </row>
    <row r="795" spans="1:12" x14ac:dyDescent="0.25">
      <c r="A795" s="26" t="s">
        <v>848</v>
      </c>
      <c r="B795" s="26" t="s">
        <v>846</v>
      </c>
      <c r="C795" s="26" t="s">
        <v>1242</v>
      </c>
      <c r="D795" s="26" t="s">
        <v>1076</v>
      </c>
      <c r="E795" s="26">
        <v>364</v>
      </c>
      <c r="F795" s="26">
        <v>363.41437000000002</v>
      </c>
      <c r="G795" s="26">
        <v>-0.58562999999998056</v>
      </c>
      <c r="H795" s="26">
        <v>0.58562999999998056</v>
      </c>
      <c r="I795" s="26" t="s">
        <v>1230</v>
      </c>
      <c r="J795" s="26" t="s">
        <v>1231</v>
      </c>
      <c r="K795" s="26" t="b">
        <v>0</v>
      </c>
      <c r="L795" s="26">
        <v>3</v>
      </c>
    </row>
    <row r="796" spans="1:12" x14ac:dyDescent="0.25">
      <c r="A796" s="26" t="s">
        <v>849</v>
      </c>
      <c r="B796" s="26" t="s">
        <v>846</v>
      </c>
      <c r="C796" s="26" t="s">
        <v>1243</v>
      </c>
      <c r="D796" s="26" t="s">
        <v>1076</v>
      </c>
      <c r="E796" s="26">
        <v>320</v>
      </c>
      <c r="F796" s="26">
        <v>318.72847000000002</v>
      </c>
      <c r="G796" s="26">
        <v>-1.2715299999999841</v>
      </c>
      <c r="H796" s="26">
        <v>1.2715299999999841</v>
      </c>
      <c r="I796" s="26" t="s">
        <v>1230</v>
      </c>
      <c r="J796" s="26" t="s">
        <v>1231</v>
      </c>
      <c r="K796" s="26" t="b">
        <v>0</v>
      </c>
      <c r="L796" s="26">
        <v>4</v>
      </c>
    </row>
    <row r="797" spans="1:12" x14ac:dyDescent="0.25">
      <c r="A797" s="26" t="s">
        <v>850</v>
      </c>
      <c r="B797" s="26" t="s">
        <v>846</v>
      </c>
      <c r="C797" s="26" t="s">
        <v>1244</v>
      </c>
      <c r="D797" s="26" t="s">
        <v>1076</v>
      </c>
      <c r="E797" s="26">
        <v>326</v>
      </c>
      <c r="F797" s="26">
        <v>322.84936000000022</v>
      </c>
      <c r="G797" s="26">
        <v>-3.1506399999998389</v>
      </c>
      <c r="H797" s="26">
        <v>3.1506399999998389</v>
      </c>
      <c r="I797" s="26" t="s">
        <v>1230</v>
      </c>
      <c r="J797" s="26" t="s">
        <v>1231</v>
      </c>
      <c r="K797" s="26" t="b">
        <v>0</v>
      </c>
      <c r="L797" s="26">
        <v>5</v>
      </c>
    </row>
    <row r="798" spans="1:12" x14ac:dyDescent="0.25">
      <c r="A798" s="26" t="s">
        <v>851</v>
      </c>
      <c r="B798" s="26" t="s">
        <v>846</v>
      </c>
      <c r="C798" s="26" t="s">
        <v>1245</v>
      </c>
      <c r="D798" s="26" t="s">
        <v>1076</v>
      </c>
      <c r="E798" s="26">
        <v>283</v>
      </c>
      <c r="F798" s="26">
        <v>284.6651</v>
      </c>
      <c r="G798" s="26">
        <v>1.6650999999999949</v>
      </c>
      <c r="H798" s="26">
        <v>1.6650999999999949</v>
      </c>
      <c r="I798" s="26" t="s">
        <v>1230</v>
      </c>
      <c r="J798" s="26" t="s">
        <v>1231</v>
      </c>
      <c r="K798" s="26" t="b">
        <v>0</v>
      </c>
      <c r="L798" s="26">
        <v>1</v>
      </c>
    </row>
    <row r="799" spans="1:12" x14ac:dyDescent="0.25">
      <c r="A799" s="26" t="s">
        <v>852</v>
      </c>
      <c r="B799" s="26" t="s">
        <v>846</v>
      </c>
      <c r="C799" s="26" t="s">
        <v>1246</v>
      </c>
      <c r="D799" s="26" t="s">
        <v>1076</v>
      </c>
      <c r="E799" s="26">
        <v>227</v>
      </c>
      <c r="F799" s="26">
        <v>225.06322</v>
      </c>
      <c r="G799" s="26">
        <v>-1.9367799999999991</v>
      </c>
      <c r="H799" s="26">
        <v>1.9367799999999991</v>
      </c>
      <c r="I799" s="26" t="s">
        <v>1230</v>
      </c>
      <c r="J799" s="26" t="s">
        <v>1231</v>
      </c>
      <c r="K799" s="26" t="b">
        <v>0</v>
      </c>
      <c r="L799" s="26">
        <v>2</v>
      </c>
    </row>
    <row r="800" spans="1:12" x14ac:dyDescent="0.25">
      <c r="A800" s="26" t="s">
        <v>853</v>
      </c>
      <c r="B800" s="26" t="s">
        <v>846</v>
      </c>
      <c r="C800" s="26" t="s">
        <v>1247</v>
      </c>
      <c r="D800" s="26" t="s">
        <v>1076</v>
      </c>
      <c r="E800" s="26">
        <v>275</v>
      </c>
      <c r="F800" s="26">
        <v>271.64569000000012</v>
      </c>
      <c r="G800" s="26">
        <v>-3.3543099999999408</v>
      </c>
      <c r="H800" s="26">
        <v>3.3543099999999408</v>
      </c>
      <c r="I800" s="26" t="s">
        <v>1230</v>
      </c>
      <c r="J800" s="26" t="s">
        <v>1231</v>
      </c>
      <c r="K800" s="26" t="b">
        <v>0</v>
      </c>
      <c r="L800" s="26">
        <v>3</v>
      </c>
    </row>
    <row r="801" spans="1:12" x14ac:dyDescent="0.25">
      <c r="A801" s="26" t="s">
        <v>854</v>
      </c>
      <c r="B801" s="26" t="s">
        <v>846</v>
      </c>
      <c r="C801" s="26" t="s">
        <v>1248</v>
      </c>
      <c r="D801" s="26" t="s">
        <v>1076</v>
      </c>
      <c r="E801" s="26">
        <v>262</v>
      </c>
      <c r="F801" s="26">
        <v>259.10203999999999</v>
      </c>
      <c r="G801" s="26">
        <v>-2.8979600000000119</v>
      </c>
      <c r="H801" s="26">
        <v>2.8979600000000119</v>
      </c>
      <c r="I801" s="26" t="s">
        <v>1230</v>
      </c>
      <c r="J801" s="26" t="s">
        <v>1231</v>
      </c>
      <c r="K801" s="26" t="b">
        <v>0</v>
      </c>
      <c r="L801" s="26">
        <v>4</v>
      </c>
    </row>
    <row r="802" spans="1:12" x14ac:dyDescent="0.25">
      <c r="A802" s="26" t="s">
        <v>855</v>
      </c>
      <c r="B802" s="26" t="s">
        <v>846</v>
      </c>
      <c r="C802" s="26" t="s">
        <v>1249</v>
      </c>
      <c r="D802" s="26" t="s">
        <v>1076</v>
      </c>
      <c r="E802" s="26">
        <v>212</v>
      </c>
      <c r="F802" s="26">
        <v>209.46656999999999</v>
      </c>
      <c r="G802" s="26">
        <v>-2.5334300000000098</v>
      </c>
      <c r="H802" s="26">
        <v>2.5334300000000098</v>
      </c>
      <c r="I802" s="26" t="s">
        <v>1230</v>
      </c>
      <c r="J802" s="26" t="s">
        <v>1231</v>
      </c>
      <c r="K802" s="26" t="b">
        <v>0</v>
      </c>
      <c r="L802" s="26">
        <v>5</v>
      </c>
    </row>
    <row r="803" spans="1:12" x14ac:dyDescent="0.25">
      <c r="A803" s="26" t="s">
        <v>856</v>
      </c>
      <c r="B803" s="26" t="s">
        <v>857</v>
      </c>
      <c r="C803" s="26" t="s">
        <v>1238</v>
      </c>
      <c r="D803" s="26" t="s">
        <v>1076</v>
      </c>
      <c r="E803" s="26">
        <v>299</v>
      </c>
      <c r="F803" s="26">
        <v>301.61405000000002</v>
      </c>
      <c r="G803" s="26">
        <v>2.6140500000000202</v>
      </c>
      <c r="H803" s="26">
        <v>2.6140500000000202</v>
      </c>
      <c r="I803" s="26" t="s">
        <v>1230</v>
      </c>
      <c r="J803" s="26" t="s">
        <v>1231</v>
      </c>
      <c r="K803" s="26" t="b">
        <v>0</v>
      </c>
      <c r="L803" s="26">
        <v>1</v>
      </c>
    </row>
    <row r="804" spans="1:12" x14ac:dyDescent="0.25">
      <c r="A804" s="26" t="s">
        <v>858</v>
      </c>
      <c r="B804" s="26" t="s">
        <v>857</v>
      </c>
      <c r="C804" s="26" t="s">
        <v>1241</v>
      </c>
      <c r="D804" s="26" t="s">
        <v>1076</v>
      </c>
      <c r="E804" s="26">
        <v>257</v>
      </c>
      <c r="F804" s="26">
        <v>259.36837000000003</v>
      </c>
      <c r="G804" s="26">
        <v>2.3683700000000272</v>
      </c>
      <c r="H804" s="26">
        <v>2.3683700000000272</v>
      </c>
      <c r="I804" s="26" t="s">
        <v>1230</v>
      </c>
      <c r="J804" s="26" t="s">
        <v>1231</v>
      </c>
      <c r="K804" s="26" t="b">
        <v>0</v>
      </c>
      <c r="L804" s="26">
        <v>2</v>
      </c>
    </row>
    <row r="805" spans="1:12" x14ac:dyDescent="0.25">
      <c r="A805" s="26" t="s">
        <v>859</v>
      </c>
      <c r="B805" s="26" t="s">
        <v>857</v>
      </c>
      <c r="C805" s="26" t="s">
        <v>1242</v>
      </c>
      <c r="D805" s="26" t="s">
        <v>1076</v>
      </c>
      <c r="E805" s="26">
        <v>369</v>
      </c>
      <c r="F805" s="26">
        <v>365.38592</v>
      </c>
      <c r="G805" s="26">
        <v>-3.6140800000000008</v>
      </c>
      <c r="H805" s="26">
        <v>3.6140800000000008</v>
      </c>
      <c r="I805" s="26" t="s">
        <v>1230</v>
      </c>
      <c r="J805" s="26" t="s">
        <v>1231</v>
      </c>
      <c r="K805" s="26" t="b">
        <v>0</v>
      </c>
      <c r="L805" s="26">
        <v>3</v>
      </c>
    </row>
    <row r="806" spans="1:12" x14ac:dyDescent="0.25">
      <c r="A806" s="26" t="s">
        <v>860</v>
      </c>
      <c r="B806" s="26" t="s">
        <v>857</v>
      </c>
      <c r="C806" s="26" t="s">
        <v>1243</v>
      </c>
      <c r="D806" s="26" t="s">
        <v>1076</v>
      </c>
      <c r="E806" s="26">
        <v>360</v>
      </c>
      <c r="F806" s="26">
        <v>359.83323000000001</v>
      </c>
      <c r="G806" s="26">
        <v>-0.1667699999999854</v>
      </c>
      <c r="H806" s="26">
        <v>0.1667699999999854</v>
      </c>
      <c r="I806" s="26" t="s">
        <v>1230</v>
      </c>
      <c r="J806" s="26" t="s">
        <v>1231</v>
      </c>
      <c r="K806" s="26" t="b">
        <v>0</v>
      </c>
      <c r="L806" s="26">
        <v>4</v>
      </c>
    </row>
    <row r="807" spans="1:12" x14ac:dyDescent="0.25">
      <c r="A807" s="26" t="s">
        <v>861</v>
      </c>
      <c r="B807" s="26" t="s">
        <v>857</v>
      </c>
      <c r="C807" s="26" t="s">
        <v>1244</v>
      </c>
      <c r="D807" s="26" t="s">
        <v>1076</v>
      </c>
      <c r="E807" s="26">
        <v>252</v>
      </c>
      <c r="F807" s="26">
        <v>251.72324000000029</v>
      </c>
      <c r="G807" s="26">
        <v>-0.2767599999997401</v>
      </c>
      <c r="H807" s="26">
        <v>0.2767599999997401</v>
      </c>
      <c r="I807" s="26" t="s">
        <v>1230</v>
      </c>
      <c r="J807" s="26" t="s">
        <v>1231</v>
      </c>
      <c r="K807" s="26" t="b">
        <v>0</v>
      </c>
      <c r="L807" s="26">
        <v>5</v>
      </c>
    </row>
    <row r="808" spans="1:12" x14ac:dyDescent="0.25">
      <c r="A808" s="26" t="s">
        <v>862</v>
      </c>
      <c r="B808" s="26" t="s">
        <v>857</v>
      </c>
      <c r="C808" s="26" t="s">
        <v>1245</v>
      </c>
      <c r="D808" s="26" t="s">
        <v>1076</v>
      </c>
      <c r="E808" s="26">
        <v>216</v>
      </c>
      <c r="F808" s="26">
        <v>215.26813000000021</v>
      </c>
      <c r="G808" s="26">
        <v>-0.73186999999984437</v>
      </c>
      <c r="H808" s="26">
        <v>0.73186999999984437</v>
      </c>
      <c r="I808" s="26" t="s">
        <v>1230</v>
      </c>
      <c r="J808" s="26" t="s">
        <v>1231</v>
      </c>
      <c r="K808" s="26" t="b">
        <v>0</v>
      </c>
      <c r="L808" s="26">
        <v>1</v>
      </c>
    </row>
    <row r="809" spans="1:12" x14ac:dyDescent="0.25">
      <c r="A809" s="26" t="s">
        <v>863</v>
      </c>
      <c r="B809" s="26" t="s">
        <v>857</v>
      </c>
      <c r="C809" s="26" t="s">
        <v>1246</v>
      </c>
      <c r="D809" s="26" t="s">
        <v>1076</v>
      </c>
      <c r="E809" s="26">
        <v>239</v>
      </c>
      <c r="F809" s="26">
        <v>238.46</v>
      </c>
      <c r="G809" s="26">
        <v>-0.53999999999999204</v>
      </c>
      <c r="H809" s="26">
        <v>0.53999999999999204</v>
      </c>
      <c r="I809" s="26" t="s">
        <v>1230</v>
      </c>
      <c r="J809" s="26" t="s">
        <v>1231</v>
      </c>
      <c r="K809" s="26" t="b">
        <v>0</v>
      </c>
      <c r="L809" s="26">
        <v>2</v>
      </c>
    </row>
    <row r="810" spans="1:12" x14ac:dyDescent="0.25">
      <c r="A810" s="26" t="s">
        <v>864</v>
      </c>
      <c r="B810" s="26" t="s">
        <v>857</v>
      </c>
      <c r="C810" s="26" t="s">
        <v>1247</v>
      </c>
      <c r="D810" s="26" t="s">
        <v>1076</v>
      </c>
      <c r="E810" s="26">
        <v>276</v>
      </c>
      <c r="F810" s="26">
        <v>279.57718</v>
      </c>
      <c r="G810" s="26">
        <v>3.577179999999998</v>
      </c>
      <c r="H810" s="26">
        <v>3.577179999999998</v>
      </c>
      <c r="I810" s="26" t="s">
        <v>1230</v>
      </c>
      <c r="J810" s="26" t="s">
        <v>1231</v>
      </c>
      <c r="K810" s="26" t="b">
        <v>0</v>
      </c>
      <c r="L810" s="26">
        <v>3</v>
      </c>
    </row>
    <row r="811" spans="1:12" x14ac:dyDescent="0.25">
      <c r="A811" s="26" t="s">
        <v>865</v>
      </c>
      <c r="B811" s="26" t="s">
        <v>857</v>
      </c>
      <c r="C811" s="26" t="s">
        <v>1248</v>
      </c>
      <c r="D811" s="26" t="s">
        <v>1076</v>
      </c>
      <c r="E811" s="26">
        <v>296</v>
      </c>
      <c r="F811" s="26">
        <v>299.73556000000002</v>
      </c>
      <c r="G811" s="26">
        <v>3.7355600000000209</v>
      </c>
      <c r="H811" s="26">
        <v>3.7355600000000209</v>
      </c>
      <c r="I811" s="26" t="s">
        <v>1230</v>
      </c>
      <c r="J811" s="26" t="s">
        <v>1231</v>
      </c>
      <c r="K811" s="26" t="b">
        <v>0</v>
      </c>
      <c r="L811" s="26">
        <v>4</v>
      </c>
    </row>
    <row r="812" spans="1:12" x14ac:dyDescent="0.25">
      <c r="A812" s="26" t="s">
        <v>866</v>
      </c>
      <c r="B812" s="26" t="s">
        <v>857</v>
      </c>
      <c r="C812" s="26" t="s">
        <v>1249</v>
      </c>
      <c r="D812" s="26" t="s">
        <v>1076</v>
      </c>
      <c r="E812" s="26">
        <v>226</v>
      </c>
      <c r="F812" s="26">
        <v>227.8757700000001</v>
      </c>
      <c r="G812" s="26">
        <v>1.8757700000001021</v>
      </c>
      <c r="H812" s="26">
        <v>1.8757700000001021</v>
      </c>
      <c r="I812" s="26" t="s">
        <v>1230</v>
      </c>
      <c r="J812" s="26" t="s">
        <v>1231</v>
      </c>
      <c r="K812" s="26" t="b">
        <v>0</v>
      </c>
      <c r="L812" s="26">
        <v>5</v>
      </c>
    </row>
    <row r="813" spans="1:12" x14ac:dyDescent="0.25">
      <c r="A813" s="26" t="s">
        <v>867</v>
      </c>
      <c r="B813" s="26" t="s">
        <v>868</v>
      </c>
      <c r="C813" s="26" t="s">
        <v>1238</v>
      </c>
      <c r="D813" s="26" t="s">
        <v>1076</v>
      </c>
      <c r="E813" s="26">
        <v>158</v>
      </c>
      <c r="F813" s="26">
        <v>160.13943999999989</v>
      </c>
      <c r="G813" s="26">
        <v>2.1394399999999218</v>
      </c>
      <c r="H813" s="26">
        <v>2.1394399999999218</v>
      </c>
      <c r="I813" s="26" t="s">
        <v>1230</v>
      </c>
      <c r="J813" s="26" t="s">
        <v>1231</v>
      </c>
      <c r="K813" s="26" t="b">
        <v>0</v>
      </c>
      <c r="L813" s="26">
        <v>1</v>
      </c>
    </row>
    <row r="814" spans="1:12" x14ac:dyDescent="0.25">
      <c r="A814" s="26" t="s">
        <v>869</v>
      </c>
      <c r="B814" s="26" t="s">
        <v>868</v>
      </c>
      <c r="C814" s="26" t="s">
        <v>1241</v>
      </c>
      <c r="D814" s="26" t="s">
        <v>1076</v>
      </c>
      <c r="E814" s="26">
        <v>318</v>
      </c>
      <c r="F814" s="26">
        <v>316.89</v>
      </c>
      <c r="G814" s="26">
        <v>-1.1100000000000141</v>
      </c>
      <c r="H814" s="26">
        <v>1.1100000000000141</v>
      </c>
      <c r="I814" s="26" t="s">
        <v>1230</v>
      </c>
      <c r="J814" s="26" t="s">
        <v>1231</v>
      </c>
      <c r="K814" s="26" t="b">
        <v>0</v>
      </c>
      <c r="L814" s="26">
        <v>2</v>
      </c>
    </row>
    <row r="815" spans="1:12" x14ac:dyDescent="0.25">
      <c r="A815" s="26" t="s">
        <v>870</v>
      </c>
      <c r="B815" s="26" t="s">
        <v>868</v>
      </c>
      <c r="C815" s="26" t="s">
        <v>1242</v>
      </c>
      <c r="D815" s="26" t="s">
        <v>1076</v>
      </c>
      <c r="E815" s="26">
        <v>280</v>
      </c>
      <c r="F815" s="26">
        <v>278.53773999999999</v>
      </c>
      <c r="G815" s="26">
        <v>-1.462260000000015</v>
      </c>
      <c r="H815" s="26">
        <v>1.462260000000015</v>
      </c>
      <c r="I815" s="26" t="s">
        <v>1230</v>
      </c>
      <c r="J815" s="26" t="s">
        <v>1231</v>
      </c>
      <c r="K815" s="26" t="b">
        <v>0</v>
      </c>
      <c r="L815" s="26">
        <v>3</v>
      </c>
    </row>
    <row r="816" spans="1:12" x14ac:dyDescent="0.25">
      <c r="A816" s="26" t="s">
        <v>871</v>
      </c>
      <c r="B816" s="26" t="s">
        <v>868</v>
      </c>
      <c r="C816" s="26" t="s">
        <v>1243</v>
      </c>
      <c r="D816" s="26" t="s">
        <v>1076</v>
      </c>
      <c r="E816" s="26">
        <v>313</v>
      </c>
      <c r="F816" s="26">
        <v>311.54358999999999</v>
      </c>
      <c r="G816" s="26">
        <v>-1.4564100000000051</v>
      </c>
      <c r="H816" s="26">
        <v>1.4564100000000051</v>
      </c>
      <c r="I816" s="26" t="s">
        <v>1230</v>
      </c>
      <c r="J816" s="26" t="s">
        <v>1231</v>
      </c>
      <c r="K816" s="26" t="b">
        <v>0</v>
      </c>
      <c r="L816" s="26">
        <v>4</v>
      </c>
    </row>
    <row r="817" spans="1:12" x14ac:dyDescent="0.25">
      <c r="A817" s="26" t="s">
        <v>872</v>
      </c>
      <c r="B817" s="26" t="s">
        <v>868</v>
      </c>
      <c r="C817" s="26" t="s">
        <v>1244</v>
      </c>
      <c r="D817" s="26" t="s">
        <v>1076</v>
      </c>
      <c r="E817" s="26">
        <v>255</v>
      </c>
      <c r="F817" s="26">
        <v>254.18</v>
      </c>
      <c r="G817" s="26">
        <v>-0.81999999999999318</v>
      </c>
      <c r="H817" s="26">
        <v>0.81999999999999318</v>
      </c>
      <c r="I817" s="26" t="s">
        <v>1230</v>
      </c>
      <c r="J817" s="26" t="s">
        <v>1231</v>
      </c>
      <c r="K817" s="26" t="b">
        <v>0</v>
      </c>
      <c r="L817" s="26">
        <v>5</v>
      </c>
    </row>
    <row r="818" spans="1:12" x14ac:dyDescent="0.25">
      <c r="A818" s="26" t="s">
        <v>873</v>
      </c>
      <c r="B818" s="26" t="s">
        <v>868</v>
      </c>
      <c r="C818" s="26" t="s">
        <v>1245</v>
      </c>
      <c r="D818" s="26" t="s">
        <v>1076</v>
      </c>
      <c r="E818" s="26">
        <v>165</v>
      </c>
      <c r="F818" s="26">
        <v>165.19439000000011</v>
      </c>
      <c r="G818" s="26">
        <v>0.1943900000001122</v>
      </c>
      <c r="H818" s="26">
        <v>0.1943900000001122</v>
      </c>
      <c r="I818" s="26" t="s">
        <v>1230</v>
      </c>
      <c r="J818" s="26" t="s">
        <v>1231</v>
      </c>
      <c r="K818" s="26" t="b">
        <v>0</v>
      </c>
      <c r="L818" s="26">
        <v>1</v>
      </c>
    </row>
    <row r="819" spans="1:12" x14ac:dyDescent="0.25">
      <c r="A819" s="26" t="s">
        <v>874</v>
      </c>
      <c r="B819" s="26" t="s">
        <v>868</v>
      </c>
      <c r="C819" s="26" t="s">
        <v>1246</v>
      </c>
      <c r="D819" s="26" t="s">
        <v>1076</v>
      </c>
      <c r="E819" s="26">
        <v>292</v>
      </c>
      <c r="F819" s="26">
        <v>289.68061</v>
      </c>
      <c r="G819" s="26">
        <v>-2.319389999999999</v>
      </c>
      <c r="H819" s="26">
        <v>2.319389999999999</v>
      </c>
      <c r="I819" s="26" t="s">
        <v>1230</v>
      </c>
      <c r="J819" s="26" t="s">
        <v>1231</v>
      </c>
      <c r="K819" s="26" t="b">
        <v>0</v>
      </c>
      <c r="L819" s="26">
        <v>2</v>
      </c>
    </row>
    <row r="820" spans="1:12" x14ac:dyDescent="0.25">
      <c r="A820" s="26" t="s">
        <v>875</v>
      </c>
      <c r="B820" s="26" t="s">
        <v>868</v>
      </c>
      <c r="C820" s="26" t="s">
        <v>1247</v>
      </c>
      <c r="D820" s="26" t="s">
        <v>1076</v>
      </c>
      <c r="E820" s="26">
        <v>276</v>
      </c>
      <c r="F820" s="26">
        <v>278.84156000000007</v>
      </c>
      <c r="G820" s="26">
        <v>2.8415600000000718</v>
      </c>
      <c r="H820" s="26">
        <v>2.8415600000000718</v>
      </c>
      <c r="I820" s="26" t="s">
        <v>1230</v>
      </c>
      <c r="J820" s="26" t="s">
        <v>1231</v>
      </c>
      <c r="K820" s="26" t="b">
        <v>0</v>
      </c>
      <c r="L820" s="26">
        <v>3</v>
      </c>
    </row>
    <row r="821" spans="1:12" x14ac:dyDescent="0.25">
      <c r="A821" s="26" t="s">
        <v>876</v>
      </c>
      <c r="B821" s="26" t="s">
        <v>868</v>
      </c>
      <c r="C821" s="26" t="s">
        <v>1248</v>
      </c>
      <c r="D821" s="26" t="s">
        <v>1076</v>
      </c>
      <c r="E821" s="26">
        <v>243</v>
      </c>
      <c r="F821" s="26">
        <v>240.18606</v>
      </c>
      <c r="G821" s="26">
        <v>-2.8139400000000019</v>
      </c>
      <c r="H821" s="26">
        <v>2.8139400000000019</v>
      </c>
      <c r="I821" s="26" t="s">
        <v>1230</v>
      </c>
      <c r="J821" s="26" t="s">
        <v>1231</v>
      </c>
      <c r="K821" s="26" t="b">
        <v>0</v>
      </c>
      <c r="L821" s="26">
        <v>4</v>
      </c>
    </row>
    <row r="822" spans="1:12" x14ac:dyDescent="0.25">
      <c r="A822" s="26" t="s">
        <v>877</v>
      </c>
      <c r="B822" s="26" t="s">
        <v>868</v>
      </c>
      <c r="C822" s="26" t="s">
        <v>1249</v>
      </c>
      <c r="D822" s="26" t="s">
        <v>1076</v>
      </c>
      <c r="E822" s="26">
        <v>308</v>
      </c>
      <c r="F822" s="26">
        <v>308.87391000000031</v>
      </c>
      <c r="G822" s="26">
        <v>0.87391000000025088</v>
      </c>
      <c r="H822" s="26">
        <v>0.87391000000025088</v>
      </c>
      <c r="I822" s="26" t="s">
        <v>1230</v>
      </c>
      <c r="J822" s="26" t="s">
        <v>1231</v>
      </c>
      <c r="K822" s="26" t="b">
        <v>0</v>
      </c>
      <c r="L822" s="26">
        <v>5</v>
      </c>
    </row>
    <row r="823" spans="1:12" x14ac:dyDescent="0.25">
      <c r="A823" s="26" t="s">
        <v>878</v>
      </c>
      <c r="B823" s="26" t="s">
        <v>879</v>
      </c>
      <c r="C823" s="26" t="s">
        <v>1238</v>
      </c>
      <c r="D823" s="26" t="s">
        <v>1076</v>
      </c>
      <c r="E823" s="26">
        <v>287</v>
      </c>
      <c r="F823" s="26">
        <v>286.33477999999991</v>
      </c>
      <c r="G823" s="26">
        <v>-0.66522000000009029</v>
      </c>
      <c r="H823" s="26">
        <v>0.66522000000009029</v>
      </c>
      <c r="I823" s="26" t="s">
        <v>1230</v>
      </c>
      <c r="J823" s="26" t="s">
        <v>1231</v>
      </c>
      <c r="K823" s="26" t="b">
        <v>0</v>
      </c>
      <c r="L823" s="26">
        <v>1</v>
      </c>
    </row>
    <row r="824" spans="1:12" x14ac:dyDescent="0.25">
      <c r="A824" s="26" t="s">
        <v>880</v>
      </c>
      <c r="B824" s="26" t="s">
        <v>879</v>
      </c>
      <c r="C824" s="26" t="s">
        <v>1241</v>
      </c>
      <c r="D824" s="26" t="s">
        <v>1076</v>
      </c>
      <c r="E824" s="26">
        <v>316</v>
      </c>
      <c r="F824" s="26">
        <v>314.18225000000001</v>
      </c>
      <c r="G824" s="26">
        <v>-1.81774999999999</v>
      </c>
      <c r="H824" s="26">
        <v>1.81774999999999</v>
      </c>
      <c r="I824" s="26" t="s">
        <v>1230</v>
      </c>
      <c r="J824" s="26" t="s">
        <v>1231</v>
      </c>
      <c r="K824" s="26" t="b">
        <v>0</v>
      </c>
      <c r="L824" s="26">
        <v>2</v>
      </c>
    </row>
    <row r="825" spans="1:12" x14ac:dyDescent="0.25">
      <c r="A825" s="26" t="s">
        <v>881</v>
      </c>
      <c r="B825" s="26" t="s">
        <v>879</v>
      </c>
      <c r="C825" s="26" t="s">
        <v>1242</v>
      </c>
      <c r="D825" s="26" t="s">
        <v>1076</v>
      </c>
      <c r="E825" s="26">
        <v>134</v>
      </c>
      <c r="F825" s="26">
        <v>135.28745000000001</v>
      </c>
      <c r="G825" s="26">
        <v>1.2874500000000071</v>
      </c>
      <c r="H825" s="26">
        <v>1.2874500000000071</v>
      </c>
      <c r="I825" s="26" t="s">
        <v>1230</v>
      </c>
      <c r="J825" s="26" t="s">
        <v>1231</v>
      </c>
      <c r="K825" s="26" t="b">
        <v>0</v>
      </c>
      <c r="L825" s="26">
        <v>3</v>
      </c>
    </row>
    <row r="826" spans="1:12" x14ac:dyDescent="0.25">
      <c r="A826" s="26" t="s">
        <v>882</v>
      </c>
      <c r="B826" s="26" t="s">
        <v>879</v>
      </c>
      <c r="C826" s="26" t="s">
        <v>1243</v>
      </c>
      <c r="D826" s="26" t="s">
        <v>1076</v>
      </c>
      <c r="E826" s="26">
        <v>328</v>
      </c>
      <c r="F826" s="26">
        <v>327.52</v>
      </c>
      <c r="G826" s="26">
        <v>-0.48000000000001819</v>
      </c>
      <c r="H826" s="26">
        <v>0.48000000000001819</v>
      </c>
      <c r="I826" s="26" t="s">
        <v>1230</v>
      </c>
      <c r="J826" s="26" t="s">
        <v>1231</v>
      </c>
      <c r="K826" s="26" t="b">
        <v>0</v>
      </c>
      <c r="L826" s="26">
        <v>4</v>
      </c>
    </row>
    <row r="827" spans="1:12" x14ac:dyDescent="0.25">
      <c r="A827" s="26" t="s">
        <v>883</v>
      </c>
      <c r="B827" s="26" t="s">
        <v>879</v>
      </c>
      <c r="C827" s="26" t="s">
        <v>1244</v>
      </c>
      <c r="D827" s="26" t="s">
        <v>1076</v>
      </c>
      <c r="E827" s="26">
        <v>253</v>
      </c>
      <c r="F827" s="26">
        <v>254.30889999999999</v>
      </c>
      <c r="G827" s="26">
        <v>1.308899999999994</v>
      </c>
      <c r="H827" s="26">
        <v>1.308899999999994</v>
      </c>
      <c r="I827" s="26" t="s">
        <v>1230</v>
      </c>
      <c r="J827" s="26" t="s">
        <v>1231</v>
      </c>
      <c r="K827" s="26" t="b">
        <v>0</v>
      </c>
      <c r="L827" s="26">
        <v>5</v>
      </c>
    </row>
    <row r="828" spans="1:12" x14ac:dyDescent="0.25">
      <c r="A828" s="26" t="s">
        <v>884</v>
      </c>
      <c r="B828" s="26" t="s">
        <v>879</v>
      </c>
      <c r="C828" s="26" t="s">
        <v>1245</v>
      </c>
      <c r="D828" s="26" t="s">
        <v>1076</v>
      </c>
      <c r="E828" s="26">
        <v>276</v>
      </c>
      <c r="F828" s="26">
        <v>275.40523999999999</v>
      </c>
      <c r="G828" s="26">
        <v>-0.59476000000000795</v>
      </c>
      <c r="H828" s="26">
        <v>0.59476000000000795</v>
      </c>
      <c r="I828" s="26" t="s">
        <v>1230</v>
      </c>
      <c r="J828" s="26" t="s">
        <v>1231</v>
      </c>
      <c r="K828" s="26" t="b">
        <v>0</v>
      </c>
      <c r="L828" s="26">
        <v>1</v>
      </c>
    </row>
    <row r="829" spans="1:12" x14ac:dyDescent="0.25">
      <c r="A829" s="26" t="s">
        <v>885</v>
      </c>
      <c r="B829" s="26" t="s">
        <v>879</v>
      </c>
      <c r="C829" s="26" t="s">
        <v>1246</v>
      </c>
      <c r="D829" s="26" t="s">
        <v>1076</v>
      </c>
      <c r="E829" s="26">
        <v>359</v>
      </c>
      <c r="F829" s="26">
        <v>356.51</v>
      </c>
      <c r="G829" s="26">
        <v>-2.4900000000000091</v>
      </c>
      <c r="H829" s="26">
        <v>2.4900000000000091</v>
      </c>
      <c r="I829" s="26" t="s">
        <v>1230</v>
      </c>
      <c r="J829" s="26" t="s">
        <v>1231</v>
      </c>
      <c r="K829" s="26" t="b">
        <v>0</v>
      </c>
      <c r="L829" s="26">
        <v>2</v>
      </c>
    </row>
    <row r="830" spans="1:12" x14ac:dyDescent="0.25">
      <c r="A830" s="26" t="s">
        <v>886</v>
      </c>
      <c r="B830" s="26" t="s">
        <v>879</v>
      </c>
      <c r="C830" s="26" t="s">
        <v>1247</v>
      </c>
      <c r="D830" s="26" t="s">
        <v>1076</v>
      </c>
      <c r="E830" s="26">
        <v>220</v>
      </c>
      <c r="F830" s="26">
        <v>218.82986</v>
      </c>
      <c r="G830" s="26">
        <v>-1.170140000000004</v>
      </c>
      <c r="H830" s="26">
        <v>1.170140000000004</v>
      </c>
      <c r="I830" s="26" t="s">
        <v>1230</v>
      </c>
      <c r="J830" s="26" t="s">
        <v>1231</v>
      </c>
      <c r="K830" s="26" t="b">
        <v>0</v>
      </c>
      <c r="L830" s="26">
        <v>3</v>
      </c>
    </row>
    <row r="831" spans="1:12" x14ac:dyDescent="0.25">
      <c r="A831" s="26" t="s">
        <v>887</v>
      </c>
      <c r="B831" s="26" t="s">
        <v>879</v>
      </c>
      <c r="C831" s="26" t="s">
        <v>1248</v>
      </c>
      <c r="D831" s="26" t="s">
        <v>1076</v>
      </c>
      <c r="E831" s="26">
        <v>259</v>
      </c>
      <c r="F831" s="26">
        <v>258.32893000000001</v>
      </c>
      <c r="G831" s="26">
        <v>-0.67106999999998607</v>
      </c>
      <c r="H831" s="26">
        <v>0.67106999999998607</v>
      </c>
      <c r="I831" s="26" t="s">
        <v>1230</v>
      </c>
      <c r="J831" s="26" t="s">
        <v>1231</v>
      </c>
      <c r="K831" s="26" t="b">
        <v>0</v>
      </c>
      <c r="L831" s="26">
        <v>4</v>
      </c>
    </row>
    <row r="832" spans="1:12" x14ac:dyDescent="0.25">
      <c r="A832" s="26" t="s">
        <v>888</v>
      </c>
      <c r="B832" s="26" t="s">
        <v>879</v>
      </c>
      <c r="C832" s="26" t="s">
        <v>1249</v>
      </c>
      <c r="D832" s="26" t="s">
        <v>1076</v>
      </c>
      <c r="E832" s="26">
        <v>319</v>
      </c>
      <c r="F832" s="26">
        <v>316.73946000000001</v>
      </c>
      <c r="G832" s="26">
        <v>-2.2605399999999918</v>
      </c>
      <c r="H832" s="26">
        <v>2.2605399999999918</v>
      </c>
      <c r="I832" s="26" t="s">
        <v>1230</v>
      </c>
      <c r="J832" s="26" t="s">
        <v>1231</v>
      </c>
      <c r="K832" s="26" t="b">
        <v>0</v>
      </c>
      <c r="L832" s="26">
        <v>5</v>
      </c>
    </row>
    <row r="833" spans="1:12" x14ac:dyDescent="0.25">
      <c r="A833" s="26" t="s">
        <v>889</v>
      </c>
      <c r="B833" s="26" t="s">
        <v>890</v>
      </c>
      <c r="C833" s="26" t="s">
        <v>1238</v>
      </c>
      <c r="D833" s="26" t="s">
        <v>1076</v>
      </c>
      <c r="E833" s="26">
        <v>335</v>
      </c>
      <c r="F833" s="26">
        <v>334.38654000000042</v>
      </c>
      <c r="G833" s="26">
        <v>-0.61345999999957712</v>
      </c>
      <c r="H833" s="26">
        <v>0.61345999999957712</v>
      </c>
      <c r="I833" s="26" t="s">
        <v>1230</v>
      </c>
      <c r="J833" s="26" t="s">
        <v>1231</v>
      </c>
      <c r="K833" s="26" t="b">
        <v>0</v>
      </c>
      <c r="L833" s="26">
        <v>1</v>
      </c>
    </row>
    <row r="834" spans="1:12" x14ac:dyDescent="0.25">
      <c r="A834" s="26" t="s">
        <v>891</v>
      </c>
      <c r="B834" s="26" t="s">
        <v>890</v>
      </c>
      <c r="C834" s="26" t="s">
        <v>1241</v>
      </c>
      <c r="D834" s="26" t="s">
        <v>1076</v>
      </c>
      <c r="E834" s="26">
        <v>274</v>
      </c>
      <c r="F834" s="26">
        <v>269.64764000000002</v>
      </c>
      <c r="G834" s="26">
        <v>-4.352359999999976</v>
      </c>
      <c r="H834" s="26">
        <v>4.352359999999976</v>
      </c>
      <c r="I834" s="26" t="s">
        <v>1230</v>
      </c>
      <c r="J834" s="26" t="s">
        <v>1231</v>
      </c>
      <c r="K834" s="26" t="b">
        <v>0</v>
      </c>
      <c r="L834" s="26">
        <v>2</v>
      </c>
    </row>
    <row r="835" spans="1:12" x14ac:dyDescent="0.25">
      <c r="A835" s="26" t="s">
        <v>892</v>
      </c>
      <c r="B835" s="26" t="s">
        <v>890</v>
      </c>
      <c r="C835" s="26" t="s">
        <v>1242</v>
      </c>
      <c r="D835" s="26" t="s">
        <v>1076</v>
      </c>
      <c r="E835" s="26">
        <v>336</v>
      </c>
      <c r="F835" s="26">
        <v>335.33805999999981</v>
      </c>
      <c r="G835" s="26">
        <v>-0.66194000000018605</v>
      </c>
      <c r="H835" s="26">
        <v>0.66194000000018605</v>
      </c>
      <c r="I835" s="26" t="s">
        <v>1230</v>
      </c>
      <c r="J835" s="26" t="s">
        <v>1231</v>
      </c>
      <c r="K835" s="26" t="b">
        <v>0</v>
      </c>
      <c r="L835" s="26">
        <v>3</v>
      </c>
    </row>
    <row r="836" spans="1:12" x14ac:dyDescent="0.25">
      <c r="A836" s="26" t="s">
        <v>893</v>
      </c>
      <c r="B836" s="26" t="s">
        <v>890</v>
      </c>
      <c r="C836" s="26" t="s">
        <v>1243</v>
      </c>
      <c r="D836" s="26" t="s">
        <v>1076</v>
      </c>
      <c r="E836" s="26">
        <v>344</v>
      </c>
      <c r="F836" s="26">
        <v>344.3245</v>
      </c>
      <c r="G836" s="26">
        <v>0.32450000000000051</v>
      </c>
      <c r="H836" s="26">
        <v>0.32450000000000051</v>
      </c>
      <c r="I836" s="26" t="s">
        <v>1230</v>
      </c>
      <c r="J836" s="26" t="s">
        <v>1231</v>
      </c>
      <c r="K836" s="26" t="b">
        <v>0</v>
      </c>
      <c r="L836" s="26">
        <v>4</v>
      </c>
    </row>
    <row r="837" spans="1:12" x14ac:dyDescent="0.25">
      <c r="A837" s="26" t="s">
        <v>894</v>
      </c>
      <c r="B837" s="26" t="s">
        <v>890</v>
      </c>
      <c r="C837" s="26" t="s">
        <v>1244</v>
      </c>
      <c r="D837" s="26" t="s">
        <v>1076</v>
      </c>
      <c r="E837" s="26">
        <v>285</v>
      </c>
      <c r="F837" s="26">
        <v>282.16541000000001</v>
      </c>
      <c r="G837" s="26">
        <v>-2.8345899999999919</v>
      </c>
      <c r="H837" s="26">
        <v>2.8345899999999919</v>
      </c>
      <c r="I837" s="26" t="s">
        <v>1230</v>
      </c>
      <c r="J837" s="26" t="s">
        <v>1231</v>
      </c>
      <c r="K837" s="26" t="b">
        <v>0</v>
      </c>
      <c r="L837" s="26">
        <v>5</v>
      </c>
    </row>
    <row r="838" spans="1:12" x14ac:dyDescent="0.25">
      <c r="A838" s="26" t="s">
        <v>895</v>
      </c>
      <c r="B838" s="26" t="s">
        <v>890</v>
      </c>
      <c r="C838" s="26" t="s">
        <v>1245</v>
      </c>
      <c r="D838" s="26" t="s">
        <v>1076</v>
      </c>
      <c r="E838" s="26">
        <v>253</v>
      </c>
      <c r="F838" s="26">
        <v>253.74521999999999</v>
      </c>
      <c r="G838" s="26">
        <v>0.74522000000001754</v>
      </c>
      <c r="H838" s="26">
        <v>0.74522000000001754</v>
      </c>
      <c r="I838" s="26" t="s">
        <v>1230</v>
      </c>
      <c r="J838" s="26" t="s">
        <v>1231</v>
      </c>
      <c r="K838" s="26" t="b">
        <v>0</v>
      </c>
      <c r="L838" s="26">
        <v>1</v>
      </c>
    </row>
    <row r="839" spans="1:12" x14ac:dyDescent="0.25">
      <c r="A839" s="26" t="s">
        <v>896</v>
      </c>
      <c r="B839" s="26" t="s">
        <v>890</v>
      </c>
      <c r="C839" s="26" t="s">
        <v>1246</v>
      </c>
      <c r="D839" s="26" t="s">
        <v>1076</v>
      </c>
      <c r="E839" s="26">
        <v>310</v>
      </c>
      <c r="F839" s="26">
        <v>309.14024000000001</v>
      </c>
      <c r="G839" s="26">
        <v>-0.85975999999999431</v>
      </c>
      <c r="H839" s="26">
        <v>0.85975999999999431</v>
      </c>
      <c r="I839" s="26" t="s">
        <v>1230</v>
      </c>
      <c r="J839" s="26" t="s">
        <v>1231</v>
      </c>
      <c r="K839" s="26" t="b">
        <v>0</v>
      </c>
      <c r="L839" s="26">
        <v>2</v>
      </c>
    </row>
    <row r="840" spans="1:12" x14ac:dyDescent="0.25">
      <c r="A840" s="26" t="s">
        <v>897</v>
      </c>
      <c r="B840" s="26" t="s">
        <v>890</v>
      </c>
      <c r="C840" s="26" t="s">
        <v>1247</v>
      </c>
      <c r="D840" s="26" t="s">
        <v>1076</v>
      </c>
      <c r="E840" s="26">
        <v>329</v>
      </c>
      <c r="F840" s="26">
        <v>331.35357000000022</v>
      </c>
      <c r="G840" s="26">
        <v>2.353570000000218</v>
      </c>
      <c r="H840" s="26">
        <v>2.353570000000218</v>
      </c>
      <c r="I840" s="26" t="s">
        <v>1230</v>
      </c>
      <c r="J840" s="26" t="s">
        <v>1231</v>
      </c>
      <c r="K840" s="26" t="b">
        <v>0</v>
      </c>
      <c r="L840" s="26">
        <v>3</v>
      </c>
    </row>
    <row r="841" spans="1:12" x14ac:dyDescent="0.25">
      <c r="A841" s="26" t="s">
        <v>898</v>
      </c>
      <c r="B841" s="26" t="s">
        <v>890</v>
      </c>
      <c r="C841" s="26" t="s">
        <v>1248</v>
      </c>
      <c r="D841" s="26" t="s">
        <v>1076</v>
      </c>
      <c r="E841" s="26">
        <v>304</v>
      </c>
      <c r="F841" s="26">
        <v>299.71553000000017</v>
      </c>
      <c r="G841" s="26">
        <v>-4.2844699999998284</v>
      </c>
      <c r="H841" s="26">
        <v>4.2844699999998284</v>
      </c>
      <c r="I841" s="26" t="s">
        <v>1230</v>
      </c>
      <c r="J841" s="26" t="s">
        <v>1231</v>
      </c>
      <c r="K841" s="26" t="b">
        <v>0</v>
      </c>
      <c r="L841" s="26">
        <v>4</v>
      </c>
    </row>
    <row r="842" spans="1:12" x14ac:dyDescent="0.25">
      <c r="A842" s="26" t="s">
        <v>899</v>
      </c>
      <c r="B842" s="26" t="s">
        <v>890</v>
      </c>
      <c r="C842" s="26" t="s">
        <v>1249</v>
      </c>
      <c r="D842" s="26" t="s">
        <v>1076</v>
      </c>
      <c r="E842" s="26">
        <v>345</v>
      </c>
      <c r="F842" s="26">
        <v>349.3245</v>
      </c>
      <c r="G842" s="26">
        <v>4.3244999999999996</v>
      </c>
      <c r="H842" s="26">
        <v>4.3244999999999996</v>
      </c>
      <c r="I842" s="26" t="s">
        <v>1230</v>
      </c>
      <c r="J842" s="26" t="s">
        <v>1231</v>
      </c>
      <c r="K842" s="26" t="b">
        <v>0</v>
      </c>
      <c r="L842" s="26">
        <v>5</v>
      </c>
    </row>
    <row r="843" spans="1:12" x14ac:dyDescent="0.25">
      <c r="A843" s="26" t="s">
        <v>900</v>
      </c>
      <c r="B843" s="26" t="s">
        <v>901</v>
      </c>
      <c r="C843" s="26" t="s">
        <v>1238</v>
      </c>
      <c r="D843" s="26" t="s">
        <v>1076</v>
      </c>
      <c r="E843" s="26">
        <v>181</v>
      </c>
      <c r="F843" s="26">
        <v>185.14981</v>
      </c>
      <c r="G843" s="26">
        <v>4.1498100000000022</v>
      </c>
      <c r="H843" s="26">
        <v>4.1498100000000022</v>
      </c>
      <c r="I843" s="26" t="s">
        <v>1230</v>
      </c>
      <c r="J843" s="26" t="s">
        <v>1231</v>
      </c>
      <c r="K843" s="26" t="b">
        <v>0</v>
      </c>
      <c r="L843" s="26">
        <v>1</v>
      </c>
    </row>
    <row r="844" spans="1:12" x14ac:dyDescent="0.25">
      <c r="A844" s="26" t="s">
        <v>902</v>
      </c>
      <c r="B844" s="26" t="s">
        <v>901</v>
      </c>
      <c r="C844" s="26" t="s">
        <v>1241</v>
      </c>
      <c r="D844" s="26" t="s">
        <v>1076</v>
      </c>
      <c r="E844" s="26">
        <v>382</v>
      </c>
      <c r="F844" s="26">
        <v>378.92957000000018</v>
      </c>
      <c r="G844" s="26">
        <v>-3.0704299999997602</v>
      </c>
      <c r="H844" s="26">
        <v>3.0704299999997602</v>
      </c>
      <c r="I844" s="26" t="s">
        <v>1230</v>
      </c>
      <c r="J844" s="26" t="s">
        <v>1231</v>
      </c>
      <c r="K844" s="26" t="b">
        <v>0</v>
      </c>
      <c r="L844" s="26">
        <v>2</v>
      </c>
    </row>
    <row r="845" spans="1:12" x14ac:dyDescent="0.25">
      <c r="A845" s="26" t="s">
        <v>903</v>
      </c>
      <c r="B845" s="26" t="s">
        <v>901</v>
      </c>
      <c r="C845" s="26" t="s">
        <v>1242</v>
      </c>
      <c r="D845" s="26" t="s">
        <v>1076</v>
      </c>
      <c r="E845" s="26">
        <v>317</v>
      </c>
      <c r="F845" s="26">
        <v>314.64249999999993</v>
      </c>
      <c r="G845" s="26">
        <v>-2.3575000000000732</v>
      </c>
      <c r="H845" s="26">
        <v>2.3575000000000732</v>
      </c>
      <c r="I845" s="26" t="s">
        <v>1230</v>
      </c>
      <c r="J845" s="26" t="s">
        <v>1231</v>
      </c>
      <c r="K845" s="26" t="b">
        <v>0</v>
      </c>
      <c r="L845" s="26">
        <v>3</v>
      </c>
    </row>
    <row r="846" spans="1:12" x14ac:dyDescent="0.25">
      <c r="A846" s="26" t="s">
        <v>904</v>
      </c>
      <c r="B846" s="26" t="s">
        <v>901</v>
      </c>
      <c r="C846" s="26" t="s">
        <v>1243</v>
      </c>
      <c r="D846" s="26" t="s">
        <v>1076</v>
      </c>
      <c r="E846" s="26">
        <v>242</v>
      </c>
      <c r="F846" s="26">
        <v>245.8467</v>
      </c>
      <c r="G846" s="26">
        <v>3.846699999999998</v>
      </c>
      <c r="H846" s="26">
        <v>3.846699999999998</v>
      </c>
      <c r="I846" s="26" t="s">
        <v>1230</v>
      </c>
      <c r="J846" s="26" t="s">
        <v>1231</v>
      </c>
      <c r="K846" s="26" t="b">
        <v>0</v>
      </c>
      <c r="L846" s="26">
        <v>4</v>
      </c>
    </row>
    <row r="847" spans="1:12" x14ac:dyDescent="0.25">
      <c r="A847" s="26" t="s">
        <v>905</v>
      </c>
      <c r="B847" s="26" t="s">
        <v>901</v>
      </c>
      <c r="C847" s="26" t="s">
        <v>1244</v>
      </c>
      <c r="D847" s="26" t="s">
        <v>1076</v>
      </c>
      <c r="E847" s="26">
        <v>247</v>
      </c>
      <c r="F847" s="26">
        <v>251.30695000000011</v>
      </c>
      <c r="G847" s="26">
        <v>4.3069500000001426</v>
      </c>
      <c r="H847" s="26">
        <v>4.3069500000001426</v>
      </c>
      <c r="I847" s="26" t="s">
        <v>1230</v>
      </c>
      <c r="J847" s="26" t="s">
        <v>1231</v>
      </c>
      <c r="K847" s="26" t="b">
        <v>0</v>
      </c>
      <c r="L847" s="26">
        <v>5</v>
      </c>
    </row>
    <row r="848" spans="1:12" x14ac:dyDescent="0.25">
      <c r="A848" s="26" t="s">
        <v>906</v>
      </c>
      <c r="B848" s="26" t="s">
        <v>901</v>
      </c>
      <c r="C848" s="26" t="s">
        <v>1245</v>
      </c>
      <c r="D848" s="26" t="s">
        <v>1076</v>
      </c>
      <c r="E848" s="26">
        <v>313</v>
      </c>
      <c r="F848" s="26">
        <v>310.95536000000021</v>
      </c>
      <c r="G848" s="26">
        <v>-2.0446399999998448</v>
      </c>
      <c r="H848" s="26">
        <v>2.0446399999998448</v>
      </c>
      <c r="I848" s="26" t="s">
        <v>1230</v>
      </c>
      <c r="J848" s="26" t="s">
        <v>1231</v>
      </c>
      <c r="K848" s="26" t="b">
        <v>0</v>
      </c>
      <c r="L848" s="26">
        <v>1</v>
      </c>
    </row>
    <row r="849" spans="1:12" x14ac:dyDescent="0.25">
      <c r="A849" s="26" t="s">
        <v>907</v>
      </c>
      <c r="B849" s="26" t="s">
        <v>901</v>
      </c>
      <c r="C849" s="26" t="s">
        <v>1246</v>
      </c>
      <c r="D849" s="26" t="s">
        <v>1076</v>
      </c>
      <c r="E849" s="26">
        <v>230</v>
      </c>
      <c r="F849" s="26">
        <v>229.92168000000001</v>
      </c>
      <c r="G849" s="26">
        <v>-7.8319999999990841E-2</v>
      </c>
      <c r="H849" s="26">
        <v>7.8319999999990841E-2</v>
      </c>
      <c r="I849" s="26" t="s">
        <v>1230</v>
      </c>
      <c r="J849" s="26" t="s">
        <v>1231</v>
      </c>
      <c r="K849" s="26" t="b">
        <v>0</v>
      </c>
      <c r="L849" s="26">
        <v>2</v>
      </c>
    </row>
    <row r="850" spans="1:12" x14ac:dyDescent="0.25">
      <c r="A850" s="26" t="s">
        <v>908</v>
      </c>
      <c r="B850" s="26" t="s">
        <v>901</v>
      </c>
      <c r="C850" s="26" t="s">
        <v>1247</v>
      </c>
      <c r="D850" s="26" t="s">
        <v>1076</v>
      </c>
      <c r="E850" s="26">
        <v>324</v>
      </c>
      <c r="F850" s="26">
        <v>319.76533999999998</v>
      </c>
      <c r="G850" s="26">
        <v>-4.2346600000000194</v>
      </c>
      <c r="H850" s="26">
        <v>4.2346600000000194</v>
      </c>
      <c r="I850" s="26" t="s">
        <v>1230</v>
      </c>
      <c r="J850" s="26" t="s">
        <v>1231</v>
      </c>
      <c r="K850" s="26" t="b">
        <v>0</v>
      </c>
      <c r="L850" s="26">
        <v>3</v>
      </c>
    </row>
    <row r="851" spans="1:12" x14ac:dyDescent="0.25">
      <c r="A851" s="26" t="s">
        <v>909</v>
      </c>
      <c r="B851" s="26" t="s">
        <v>901</v>
      </c>
      <c r="C851" s="26" t="s">
        <v>1248</v>
      </c>
      <c r="D851" s="26" t="s">
        <v>1076</v>
      </c>
      <c r="E851" s="26">
        <v>264</v>
      </c>
      <c r="F851" s="26">
        <v>268.45629000000002</v>
      </c>
      <c r="G851" s="26">
        <v>4.4562900000000241</v>
      </c>
      <c r="H851" s="26">
        <v>4.4562900000000241</v>
      </c>
      <c r="I851" s="26" t="s">
        <v>1230</v>
      </c>
      <c r="J851" s="26" t="s">
        <v>1231</v>
      </c>
      <c r="K851" s="26" t="b">
        <v>0</v>
      </c>
      <c r="L851" s="26">
        <v>4</v>
      </c>
    </row>
    <row r="852" spans="1:12" x14ac:dyDescent="0.25">
      <c r="A852" s="26" t="s">
        <v>910</v>
      </c>
      <c r="B852" s="26" t="s">
        <v>901</v>
      </c>
      <c r="C852" s="26" t="s">
        <v>1249</v>
      </c>
      <c r="D852" s="26" t="s">
        <v>1076</v>
      </c>
      <c r="E852" s="26">
        <v>299</v>
      </c>
      <c r="F852" s="26">
        <v>300.72652000000039</v>
      </c>
      <c r="G852" s="26">
        <v>1.726520000000392</v>
      </c>
      <c r="H852" s="26">
        <v>1.726520000000392</v>
      </c>
      <c r="I852" s="26" t="s">
        <v>1230</v>
      </c>
      <c r="J852" s="26" t="s">
        <v>1231</v>
      </c>
      <c r="K852" s="26" t="b">
        <v>0</v>
      </c>
      <c r="L852" s="26">
        <v>5</v>
      </c>
    </row>
    <row r="853" spans="1:12" x14ac:dyDescent="0.25">
      <c r="A853" s="26" t="s">
        <v>911</v>
      </c>
      <c r="B853" s="26" t="s">
        <v>912</v>
      </c>
      <c r="C853" s="26" t="s">
        <v>1238</v>
      </c>
      <c r="D853" s="26" t="s">
        <v>1076</v>
      </c>
      <c r="E853" s="26">
        <v>369</v>
      </c>
      <c r="F853" s="26">
        <v>366.08405000000022</v>
      </c>
      <c r="G853" s="26">
        <v>-2.9159499999998388</v>
      </c>
      <c r="H853" s="26">
        <v>2.9159499999998388</v>
      </c>
      <c r="I853" s="26" t="s">
        <v>1230</v>
      </c>
      <c r="J853" s="26" t="s">
        <v>1231</v>
      </c>
      <c r="K853" s="26" t="b">
        <v>0</v>
      </c>
      <c r="L853" s="26">
        <v>1</v>
      </c>
    </row>
    <row r="854" spans="1:12" x14ac:dyDescent="0.25">
      <c r="A854" s="26" t="s">
        <v>913</v>
      </c>
      <c r="B854" s="26" t="s">
        <v>912</v>
      </c>
      <c r="C854" s="26" t="s">
        <v>1241</v>
      </c>
      <c r="D854" s="26" t="s">
        <v>1076</v>
      </c>
      <c r="E854" s="26">
        <v>225</v>
      </c>
      <c r="F854" s="26">
        <v>224.89</v>
      </c>
      <c r="G854" s="26">
        <v>-0.1100000000000136</v>
      </c>
      <c r="H854" s="26">
        <v>0.1100000000000136</v>
      </c>
      <c r="I854" s="26" t="s">
        <v>1230</v>
      </c>
      <c r="J854" s="26" t="s">
        <v>1231</v>
      </c>
      <c r="K854" s="26" t="b">
        <v>0</v>
      </c>
      <c r="L854" s="26">
        <v>2</v>
      </c>
    </row>
    <row r="855" spans="1:12" x14ac:dyDescent="0.25">
      <c r="A855" s="26" t="s">
        <v>914</v>
      </c>
      <c r="B855" s="26" t="s">
        <v>912</v>
      </c>
      <c r="C855" s="26" t="s">
        <v>1242</v>
      </c>
      <c r="D855" s="26" t="s">
        <v>1076</v>
      </c>
      <c r="E855" s="26">
        <v>235</v>
      </c>
      <c r="F855" s="26">
        <v>231.44848999999999</v>
      </c>
      <c r="G855" s="26">
        <v>-3.5515100000000071</v>
      </c>
      <c r="H855" s="26">
        <v>3.5515100000000071</v>
      </c>
      <c r="I855" s="26" t="s">
        <v>1230</v>
      </c>
      <c r="J855" s="26" t="s">
        <v>1231</v>
      </c>
      <c r="K855" s="26" t="b">
        <v>0</v>
      </c>
      <c r="L855" s="26">
        <v>3</v>
      </c>
    </row>
    <row r="856" spans="1:12" x14ac:dyDescent="0.25">
      <c r="A856" s="26" t="s">
        <v>915</v>
      </c>
      <c r="B856" s="26" t="s">
        <v>912</v>
      </c>
      <c r="C856" s="26" t="s">
        <v>1243</v>
      </c>
      <c r="D856" s="26" t="s">
        <v>1076</v>
      </c>
      <c r="E856" s="26">
        <v>358</v>
      </c>
      <c r="F856" s="26">
        <v>359.54235000000023</v>
      </c>
      <c r="G856" s="26">
        <v>1.54235000000017</v>
      </c>
      <c r="H856" s="26">
        <v>1.54235000000017</v>
      </c>
      <c r="I856" s="26" t="s">
        <v>1230</v>
      </c>
      <c r="J856" s="26" t="s">
        <v>1231</v>
      </c>
      <c r="K856" s="26" t="b">
        <v>0</v>
      </c>
      <c r="L856" s="26">
        <v>4</v>
      </c>
    </row>
    <row r="857" spans="1:12" x14ac:dyDescent="0.25">
      <c r="A857" s="26" t="s">
        <v>916</v>
      </c>
      <c r="B857" s="26" t="s">
        <v>912</v>
      </c>
      <c r="C857" s="26" t="s">
        <v>1244</v>
      </c>
      <c r="D857" s="26" t="s">
        <v>1076</v>
      </c>
      <c r="E857" s="26">
        <v>289</v>
      </c>
      <c r="F857" s="26">
        <v>288.47570000000019</v>
      </c>
      <c r="G857" s="26">
        <v>-0.52429999999981192</v>
      </c>
      <c r="H857" s="26">
        <v>0.52429999999981192</v>
      </c>
      <c r="I857" s="26" t="s">
        <v>1230</v>
      </c>
      <c r="J857" s="26" t="s">
        <v>1231</v>
      </c>
      <c r="K857" s="26" t="b">
        <v>0</v>
      </c>
      <c r="L857" s="26">
        <v>5</v>
      </c>
    </row>
    <row r="858" spans="1:12" x14ac:dyDescent="0.25">
      <c r="A858" s="33" t="s">
        <v>917</v>
      </c>
      <c r="B858" s="33" t="s">
        <v>912</v>
      </c>
      <c r="C858" s="33" t="s">
        <v>1245</v>
      </c>
      <c r="D858" s="33" t="s">
        <v>1076</v>
      </c>
      <c r="E858" s="33">
        <v>441</v>
      </c>
      <c r="F858" s="33">
        <v>440.81781000000001</v>
      </c>
      <c r="G858" s="33">
        <v>-0.18218999999999139</v>
      </c>
      <c r="H858" s="33">
        <v>0.18218999999999139</v>
      </c>
      <c r="I858" s="33" t="s">
        <v>1230</v>
      </c>
      <c r="J858" s="33" t="s">
        <v>1231</v>
      </c>
      <c r="K858" s="33" t="b">
        <v>1</v>
      </c>
      <c r="L858" s="33">
        <v>1</v>
      </c>
    </row>
    <row r="859" spans="1:12" x14ac:dyDescent="0.25">
      <c r="A859" s="26" t="s">
        <v>918</v>
      </c>
      <c r="B859" s="26" t="s">
        <v>912</v>
      </c>
      <c r="C859" s="26" t="s">
        <v>1246</v>
      </c>
      <c r="D859" s="26" t="s">
        <v>1076</v>
      </c>
      <c r="E859" s="26">
        <v>298</v>
      </c>
      <c r="F859" s="26">
        <v>297.93143000000009</v>
      </c>
      <c r="G859" s="26">
        <v>-6.8569999999908759E-2</v>
      </c>
      <c r="H859" s="26">
        <v>6.8569999999908759E-2</v>
      </c>
      <c r="I859" s="26" t="s">
        <v>1230</v>
      </c>
      <c r="J859" s="26" t="s">
        <v>1231</v>
      </c>
      <c r="K859" s="26" t="b">
        <v>0</v>
      </c>
      <c r="L859" s="26">
        <v>2</v>
      </c>
    </row>
    <row r="860" spans="1:12" x14ac:dyDescent="0.25">
      <c r="A860" s="26" t="s">
        <v>919</v>
      </c>
      <c r="B860" s="26" t="s">
        <v>912</v>
      </c>
      <c r="C860" s="26" t="s">
        <v>1247</v>
      </c>
      <c r="D860" s="26" t="s">
        <v>1076</v>
      </c>
      <c r="E860" s="26">
        <v>286</v>
      </c>
      <c r="F860" s="26">
        <v>288.53517000000028</v>
      </c>
      <c r="G860" s="26">
        <v>2.5351700000003352</v>
      </c>
      <c r="H860" s="26">
        <v>2.5351700000003352</v>
      </c>
      <c r="I860" s="26" t="s">
        <v>1230</v>
      </c>
      <c r="J860" s="26" t="s">
        <v>1231</v>
      </c>
      <c r="K860" s="26" t="b">
        <v>0</v>
      </c>
      <c r="L860" s="26">
        <v>3</v>
      </c>
    </row>
    <row r="861" spans="1:12" x14ac:dyDescent="0.25">
      <c r="A861" s="26" t="s">
        <v>920</v>
      </c>
      <c r="B861" s="26" t="s">
        <v>912</v>
      </c>
      <c r="C861" s="26" t="s">
        <v>1248</v>
      </c>
      <c r="D861" s="26" t="s">
        <v>1076</v>
      </c>
      <c r="E861" s="26">
        <v>221</v>
      </c>
      <c r="F861" s="26">
        <v>218.00375000000011</v>
      </c>
      <c r="G861" s="26">
        <v>-2.9962499999999181</v>
      </c>
      <c r="H861" s="26">
        <v>2.9962499999999181</v>
      </c>
      <c r="I861" s="26" t="s">
        <v>1230</v>
      </c>
      <c r="J861" s="26" t="s">
        <v>1231</v>
      </c>
      <c r="K861" s="26" t="b">
        <v>0</v>
      </c>
      <c r="L861" s="26">
        <v>4</v>
      </c>
    </row>
    <row r="862" spans="1:12" x14ac:dyDescent="0.25">
      <c r="A862" s="26" t="s">
        <v>921</v>
      </c>
      <c r="B862" s="26" t="s">
        <v>912</v>
      </c>
      <c r="C862" s="26" t="s">
        <v>1249</v>
      </c>
      <c r="D862" s="26" t="s">
        <v>1076</v>
      </c>
      <c r="E862" s="26">
        <v>232</v>
      </c>
      <c r="F862" s="26">
        <v>233.41295</v>
      </c>
      <c r="G862" s="26">
        <v>1.412949999999995</v>
      </c>
      <c r="H862" s="26">
        <v>1.412949999999995</v>
      </c>
      <c r="I862" s="26" t="s">
        <v>1230</v>
      </c>
      <c r="J862" s="26" t="s">
        <v>1231</v>
      </c>
      <c r="K862" s="26" t="b">
        <v>0</v>
      </c>
      <c r="L862" s="26">
        <v>5</v>
      </c>
    </row>
    <row r="863" spans="1:12" x14ac:dyDescent="0.25">
      <c r="A863" s="26" t="s">
        <v>922</v>
      </c>
      <c r="B863" s="26" t="s">
        <v>923</v>
      </c>
      <c r="C863" s="26" t="s">
        <v>1238</v>
      </c>
      <c r="D863" s="26" t="s">
        <v>1076</v>
      </c>
      <c r="E863" s="26">
        <v>197</v>
      </c>
      <c r="F863" s="26">
        <v>194.65853999999999</v>
      </c>
      <c r="G863" s="26">
        <v>-2.3414600000000121</v>
      </c>
      <c r="H863" s="26">
        <v>2.3414600000000121</v>
      </c>
      <c r="I863" s="26" t="s">
        <v>1230</v>
      </c>
      <c r="J863" s="26" t="s">
        <v>1231</v>
      </c>
      <c r="K863" s="26" t="b">
        <v>0</v>
      </c>
      <c r="L863" s="26">
        <v>1</v>
      </c>
    </row>
    <row r="864" spans="1:12" x14ac:dyDescent="0.25">
      <c r="A864" s="26" t="s">
        <v>924</v>
      </c>
      <c r="B864" s="26" t="s">
        <v>923</v>
      </c>
      <c r="C864" s="26" t="s">
        <v>1241</v>
      </c>
      <c r="D864" s="26" t="s">
        <v>1076</v>
      </c>
      <c r="E864" s="26">
        <v>228</v>
      </c>
      <c r="F864" s="26">
        <v>227.69</v>
      </c>
      <c r="G864" s="26">
        <v>-0.31000000000000227</v>
      </c>
      <c r="H864" s="26">
        <v>0.31000000000000227</v>
      </c>
      <c r="I864" s="26" t="s">
        <v>1230</v>
      </c>
      <c r="J864" s="26" t="s">
        <v>1231</v>
      </c>
      <c r="K864" s="26" t="b">
        <v>0</v>
      </c>
      <c r="L864" s="26">
        <v>2</v>
      </c>
    </row>
    <row r="865" spans="1:12" x14ac:dyDescent="0.25">
      <c r="A865" s="26" t="s">
        <v>925</v>
      </c>
      <c r="B865" s="26" t="s">
        <v>923</v>
      </c>
      <c r="C865" s="26" t="s">
        <v>1242</v>
      </c>
      <c r="D865" s="26" t="s">
        <v>1076</v>
      </c>
      <c r="E865" s="26">
        <v>357</v>
      </c>
      <c r="F865" s="26">
        <v>357.28248999999983</v>
      </c>
      <c r="G865" s="26">
        <v>0.28248999999982521</v>
      </c>
      <c r="H865" s="26">
        <v>0.28248999999982521</v>
      </c>
      <c r="I865" s="26" t="s">
        <v>1230</v>
      </c>
      <c r="J865" s="26" t="s">
        <v>1231</v>
      </c>
      <c r="K865" s="26" t="b">
        <v>0</v>
      </c>
      <c r="L865" s="26">
        <v>3</v>
      </c>
    </row>
    <row r="866" spans="1:12" x14ac:dyDescent="0.25">
      <c r="A866" s="26" t="s">
        <v>926</v>
      </c>
      <c r="B866" s="26" t="s">
        <v>923</v>
      </c>
      <c r="C866" s="26" t="s">
        <v>1243</v>
      </c>
      <c r="D866" s="26" t="s">
        <v>1076</v>
      </c>
      <c r="E866" s="26">
        <v>217</v>
      </c>
      <c r="F866" s="26">
        <v>213.60297000000011</v>
      </c>
      <c r="G866" s="26">
        <v>-3.3970299999998592</v>
      </c>
      <c r="H866" s="26">
        <v>3.3970299999998592</v>
      </c>
      <c r="I866" s="26" t="s">
        <v>1230</v>
      </c>
      <c r="J866" s="26" t="s">
        <v>1231</v>
      </c>
      <c r="K866" s="26" t="b">
        <v>0</v>
      </c>
      <c r="L866" s="26">
        <v>4</v>
      </c>
    </row>
    <row r="867" spans="1:12" x14ac:dyDescent="0.25">
      <c r="A867" s="26" t="s">
        <v>927</v>
      </c>
      <c r="B867" s="26" t="s">
        <v>923</v>
      </c>
      <c r="C867" s="26" t="s">
        <v>1244</v>
      </c>
      <c r="D867" s="26" t="s">
        <v>1076</v>
      </c>
      <c r="E867" s="26">
        <v>257</v>
      </c>
      <c r="F867" s="26">
        <v>255.35543000000001</v>
      </c>
      <c r="G867" s="26">
        <v>-1.644569999999987</v>
      </c>
      <c r="H867" s="26">
        <v>1.644569999999987</v>
      </c>
      <c r="I867" s="26" t="s">
        <v>1230</v>
      </c>
      <c r="J867" s="26" t="s">
        <v>1231</v>
      </c>
      <c r="K867" s="26" t="b">
        <v>0</v>
      </c>
      <c r="L867" s="26">
        <v>5</v>
      </c>
    </row>
    <row r="868" spans="1:12" x14ac:dyDescent="0.25">
      <c r="A868" s="26" t="s">
        <v>928</v>
      </c>
      <c r="B868" s="26" t="s">
        <v>923</v>
      </c>
      <c r="C868" s="26" t="s">
        <v>1245</v>
      </c>
      <c r="D868" s="26" t="s">
        <v>1076</v>
      </c>
      <c r="E868" s="26">
        <v>372</v>
      </c>
      <c r="F868" s="26">
        <v>375.48031000000009</v>
      </c>
      <c r="G868" s="26">
        <v>3.480310000000145</v>
      </c>
      <c r="H868" s="26">
        <v>3.480310000000145</v>
      </c>
      <c r="I868" s="26" t="s">
        <v>1230</v>
      </c>
      <c r="J868" s="26" t="s">
        <v>1231</v>
      </c>
      <c r="K868" s="26" t="b">
        <v>0</v>
      </c>
      <c r="L868" s="26">
        <v>1</v>
      </c>
    </row>
    <row r="869" spans="1:12" x14ac:dyDescent="0.25">
      <c r="A869" s="26" t="s">
        <v>929</v>
      </c>
      <c r="B869" s="26" t="s">
        <v>923</v>
      </c>
      <c r="C869" s="26" t="s">
        <v>1246</v>
      </c>
      <c r="D869" s="26" t="s">
        <v>1076</v>
      </c>
      <c r="E869" s="26">
        <v>318</v>
      </c>
      <c r="F869" s="26">
        <v>316.06977999999998</v>
      </c>
      <c r="G869" s="26">
        <v>-1.930219999999963</v>
      </c>
      <c r="H869" s="26">
        <v>1.930219999999963</v>
      </c>
      <c r="I869" s="26" t="s">
        <v>1230</v>
      </c>
      <c r="J869" s="26" t="s">
        <v>1231</v>
      </c>
      <c r="K869" s="26" t="b">
        <v>0</v>
      </c>
      <c r="L869" s="26">
        <v>2</v>
      </c>
    </row>
    <row r="870" spans="1:12" x14ac:dyDescent="0.25">
      <c r="A870" s="26" t="s">
        <v>930</v>
      </c>
      <c r="B870" s="26" t="s">
        <v>923</v>
      </c>
      <c r="C870" s="26" t="s">
        <v>1247</v>
      </c>
      <c r="D870" s="26" t="s">
        <v>1076</v>
      </c>
      <c r="E870" s="26">
        <v>316</v>
      </c>
      <c r="F870" s="26">
        <v>316.06977999999998</v>
      </c>
      <c r="G870" s="26">
        <v>6.9780000000037035E-2</v>
      </c>
      <c r="H870" s="26">
        <v>6.9780000000037035E-2</v>
      </c>
      <c r="I870" s="26" t="s">
        <v>1230</v>
      </c>
      <c r="J870" s="26" t="s">
        <v>1231</v>
      </c>
      <c r="K870" s="26" t="b">
        <v>0</v>
      </c>
      <c r="L870" s="26">
        <v>3</v>
      </c>
    </row>
    <row r="871" spans="1:12" x14ac:dyDescent="0.25">
      <c r="A871" s="26" t="s">
        <v>931</v>
      </c>
      <c r="B871" s="26" t="s">
        <v>923</v>
      </c>
      <c r="C871" s="26" t="s">
        <v>1248</v>
      </c>
      <c r="D871" s="26" t="s">
        <v>1076</v>
      </c>
      <c r="E871" s="26">
        <v>198</v>
      </c>
      <c r="F871" s="26">
        <v>197.01084000000009</v>
      </c>
      <c r="G871" s="26">
        <v>-0.98915999999985615</v>
      </c>
      <c r="H871" s="26">
        <v>0.98915999999985615</v>
      </c>
      <c r="I871" s="26" t="s">
        <v>1230</v>
      </c>
      <c r="J871" s="26" t="s">
        <v>1231</v>
      </c>
      <c r="K871" s="26" t="b">
        <v>0</v>
      </c>
      <c r="L871" s="26">
        <v>4</v>
      </c>
    </row>
    <row r="872" spans="1:12" x14ac:dyDescent="0.25">
      <c r="A872" s="26" t="s">
        <v>932</v>
      </c>
      <c r="B872" s="26" t="s">
        <v>923</v>
      </c>
      <c r="C872" s="26" t="s">
        <v>1249</v>
      </c>
      <c r="D872" s="26" t="s">
        <v>1076</v>
      </c>
      <c r="E872" s="26">
        <v>263</v>
      </c>
      <c r="F872" s="26">
        <v>265.33735000000001</v>
      </c>
      <c r="G872" s="26">
        <v>2.3373500000000149</v>
      </c>
      <c r="H872" s="26">
        <v>2.3373500000000149</v>
      </c>
      <c r="I872" s="26" t="s">
        <v>1230</v>
      </c>
      <c r="J872" s="26" t="s">
        <v>1231</v>
      </c>
      <c r="K872" s="26" t="b">
        <v>0</v>
      </c>
      <c r="L872" s="26">
        <v>5</v>
      </c>
    </row>
    <row r="873" spans="1:12" x14ac:dyDescent="0.25">
      <c r="A873" s="26" t="s">
        <v>933</v>
      </c>
      <c r="B873" s="26" t="s">
        <v>934</v>
      </c>
      <c r="C873" s="26" t="s">
        <v>1238</v>
      </c>
      <c r="D873" s="26" t="s">
        <v>1076</v>
      </c>
      <c r="E873" s="26">
        <v>293</v>
      </c>
      <c r="F873" s="26">
        <v>292.69806999999992</v>
      </c>
      <c r="G873" s="26">
        <v>-0.30193000000008402</v>
      </c>
      <c r="H873" s="26">
        <v>0.30193000000008402</v>
      </c>
      <c r="I873" s="26" t="s">
        <v>1230</v>
      </c>
      <c r="J873" s="26" t="s">
        <v>1231</v>
      </c>
      <c r="K873" s="26" t="b">
        <v>0</v>
      </c>
      <c r="L873" s="26">
        <v>1</v>
      </c>
    </row>
    <row r="874" spans="1:12" x14ac:dyDescent="0.25">
      <c r="A874" s="26" t="s">
        <v>935</v>
      </c>
      <c r="B874" s="26" t="s">
        <v>934</v>
      </c>
      <c r="C874" s="26" t="s">
        <v>1241</v>
      </c>
      <c r="D874" s="26" t="s">
        <v>1076</v>
      </c>
      <c r="E874" s="26">
        <v>375</v>
      </c>
      <c r="F874" s="26">
        <v>374.89013</v>
      </c>
      <c r="G874" s="26">
        <v>-0.1098700000000008</v>
      </c>
      <c r="H874" s="26">
        <v>0.1098700000000008</v>
      </c>
      <c r="I874" s="26" t="s">
        <v>1230</v>
      </c>
      <c r="J874" s="26" t="s">
        <v>1231</v>
      </c>
      <c r="K874" s="26" t="b">
        <v>0</v>
      </c>
      <c r="L874" s="26">
        <v>2</v>
      </c>
    </row>
    <row r="875" spans="1:12" x14ac:dyDescent="0.25">
      <c r="A875" s="26" t="s">
        <v>936</v>
      </c>
      <c r="B875" s="26" t="s">
        <v>934</v>
      </c>
      <c r="C875" s="26" t="s">
        <v>1242</v>
      </c>
      <c r="D875" s="26" t="s">
        <v>1076</v>
      </c>
      <c r="E875" s="26">
        <v>255</v>
      </c>
      <c r="F875" s="26">
        <v>254.58</v>
      </c>
      <c r="G875" s="26">
        <v>-0.41999999999998749</v>
      </c>
      <c r="H875" s="26">
        <v>0.41999999999998749</v>
      </c>
      <c r="I875" s="26" t="s">
        <v>1230</v>
      </c>
      <c r="J875" s="26" t="s">
        <v>1231</v>
      </c>
      <c r="K875" s="26" t="b">
        <v>0</v>
      </c>
      <c r="L875" s="26">
        <v>3</v>
      </c>
    </row>
    <row r="876" spans="1:12" x14ac:dyDescent="0.25">
      <c r="A876" s="26" t="s">
        <v>937</v>
      </c>
      <c r="B876" s="26" t="s">
        <v>934</v>
      </c>
      <c r="C876" s="26" t="s">
        <v>1243</v>
      </c>
      <c r="D876" s="26" t="s">
        <v>1076</v>
      </c>
      <c r="E876" s="26">
        <v>259</v>
      </c>
      <c r="F876" s="26">
        <v>259.11754999999999</v>
      </c>
      <c r="G876" s="26">
        <v>0.1175499999999943</v>
      </c>
      <c r="H876" s="26">
        <v>0.1175499999999943</v>
      </c>
      <c r="I876" s="26" t="s">
        <v>1230</v>
      </c>
      <c r="J876" s="26" t="s">
        <v>1231</v>
      </c>
      <c r="K876" s="26" t="b">
        <v>0</v>
      </c>
      <c r="L876" s="26">
        <v>4</v>
      </c>
    </row>
    <row r="877" spans="1:12" x14ac:dyDescent="0.25">
      <c r="A877" s="26" t="s">
        <v>938</v>
      </c>
      <c r="B877" s="26" t="s">
        <v>934</v>
      </c>
      <c r="C877" s="26" t="s">
        <v>1244</v>
      </c>
      <c r="D877" s="26" t="s">
        <v>1076</v>
      </c>
      <c r="E877" s="26">
        <v>251</v>
      </c>
      <c r="F877" s="26">
        <v>249.51</v>
      </c>
      <c r="G877" s="26">
        <v>-1.4900000000000091</v>
      </c>
      <c r="H877" s="26">
        <v>1.4900000000000091</v>
      </c>
      <c r="I877" s="26" t="s">
        <v>1230</v>
      </c>
      <c r="J877" s="26" t="s">
        <v>1231</v>
      </c>
      <c r="K877" s="26" t="b">
        <v>0</v>
      </c>
      <c r="L877" s="26">
        <v>5</v>
      </c>
    </row>
    <row r="878" spans="1:12" x14ac:dyDescent="0.25">
      <c r="A878" s="26" t="s">
        <v>939</v>
      </c>
      <c r="B878" s="26" t="s">
        <v>934</v>
      </c>
      <c r="C878" s="26" t="s">
        <v>1245</v>
      </c>
      <c r="D878" s="26" t="s">
        <v>1076</v>
      </c>
      <c r="E878" s="26">
        <v>352</v>
      </c>
      <c r="F878" s="26">
        <v>349.30446999999998</v>
      </c>
      <c r="G878" s="26">
        <v>-2.6955300000000189</v>
      </c>
      <c r="H878" s="26">
        <v>2.6955300000000189</v>
      </c>
      <c r="I878" s="26" t="s">
        <v>1230</v>
      </c>
      <c r="J878" s="26" t="s">
        <v>1231</v>
      </c>
      <c r="K878" s="26" t="b">
        <v>0</v>
      </c>
      <c r="L878" s="26">
        <v>1</v>
      </c>
    </row>
    <row r="879" spans="1:12" x14ac:dyDescent="0.25">
      <c r="A879" s="26" t="s">
        <v>940</v>
      </c>
      <c r="B879" s="26" t="s">
        <v>934</v>
      </c>
      <c r="C879" s="26" t="s">
        <v>1246</v>
      </c>
      <c r="D879" s="26" t="s">
        <v>1076</v>
      </c>
      <c r="E879" s="26">
        <v>285</v>
      </c>
      <c r="F879" s="26">
        <v>282.52222999999998</v>
      </c>
      <c r="G879" s="26">
        <v>-2.4777700000000209</v>
      </c>
      <c r="H879" s="26">
        <v>2.4777700000000209</v>
      </c>
      <c r="I879" s="26" t="s">
        <v>1230</v>
      </c>
      <c r="J879" s="26" t="s">
        <v>1231</v>
      </c>
      <c r="K879" s="26" t="b">
        <v>0</v>
      </c>
      <c r="L879" s="26">
        <v>2</v>
      </c>
    </row>
    <row r="880" spans="1:12" x14ac:dyDescent="0.25">
      <c r="A880" s="26" t="s">
        <v>941</v>
      </c>
      <c r="B880" s="26" t="s">
        <v>934</v>
      </c>
      <c r="C880" s="26" t="s">
        <v>1247</v>
      </c>
      <c r="D880" s="26" t="s">
        <v>1076</v>
      </c>
      <c r="E880" s="26">
        <v>156</v>
      </c>
      <c r="F880" s="26">
        <v>153.77615000000009</v>
      </c>
      <c r="G880" s="26">
        <v>-2.2238499999998571</v>
      </c>
      <c r="H880" s="26">
        <v>2.2238499999998571</v>
      </c>
      <c r="I880" s="26" t="s">
        <v>1230</v>
      </c>
      <c r="J880" s="26" t="s">
        <v>1231</v>
      </c>
      <c r="K880" s="26" t="b">
        <v>0</v>
      </c>
      <c r="L880" s="26">
        <v>3</v>
      </c>
    </row>
    <row r="881" spans="1:12" x14ac:dyDescent="0.25">
      <c r="A881" s="26" t="s">
        <v>942</v>
      </c>
      <c r="B881" s="26" t="s">
        <v>934</v>
      </c>
      <c r="C881" s="26" t="s">
        <v>1248</v>
      </c>
      <c r="D881" s="26" t="s">
        <v>1076</v>
      </c>
      <c r="E881" s="26">
        <v>304</v>
      </c>
      <c r="F881" s="26">
        <v>303.13</v>
      </c>
      <c r="G881" s="26">
        <v>-0.87000000000000455</v>
      </c>
      <c r="H881" s="26">
        <v>0.87000000000000455</v>
      </c>
      <c r="I881" s="26" t="s">
        <v>1230</v>
      </c>
      <c r="J881" s="26" t="s">
        <v>1231</v>
      </c>
      <c r="K881" s="26" t="b">
        <v>0</v>
      </c>
      <c r="L881" s="26">
        <v>4</v>
      </c>
    </row>
    <row r="882" spans="1:12" x14ac:dyDescent="0.25">
      <c r="A882" s="26" t="s">
        <v>943</v>
      </c>
      <c r="B882" s="26" t="s">
        <v>934</v>
      </c>
      <c r="C882" s="26" t="s">
        <v>1249</v>
      </c>
      <c r="D882" s="26" t="s">
        <v>1076</v>
      </c>
      <c r="E882" s="26">
        <v>159</v>
      </c>
      <c r="F882" s="26">
        <v>161.9675</v>
      </c>
      <c r="G882" s="26">
        <v>2.9675000000000011</v>
      </c>
      <c r="H882" s="26">
        <v>2.9675000000000011</v>
      </c>
      <c r="I882" s="26" t="s">
        <v>1230</v>
      </c>
      <c r="J882" s="26" t="s">
        <v>1231</v>
      </c>
      <c r="K882" s="26" t="b">
        <v>0</v>
      </c>
      <c r="L882" s="26">
        <v>5</v>
      </c>
    </row>
    <row r="883" spans="1:12" x14ac:dyDescent="0.25">
      <c r="A883" s="26" t="s">
        <v>944</v>
      </c>
      <c r="B883" s="26" t="s">
        <v>945</v>
      </c>
      <c r="C883" s="26" t="s">
        <v>1238</v>
      </c>
      <c r="D883" s="26" t="s">
        <v>1076</v>
      </c>
      <c r="E883" s="26">
        <v>317</v>
      </c>
      <c r="F883" s="26">
        <v>319.15769999999998</v>
      </c>
      <c r="G883" s="26">
        <v>2.1576999999999771</v>
      </c>
      <c r="H883" s="26">
        <v>2.1576999999999771</v>
      </c>
      <c r="I883" s="26" t="s">
        <v>1230</v>
      </c>
      <c r="J883" s="26" t="s">
        <v>1231</v>
      </c>
      <c r="K883" s="26" t="b">
        <v>0</v>
      </c>
      <c r="L883" s="26">
        <v>1</v>
      </c>
    </row>
    <row r="884" spans="1:12" x14ac:dyDescent="0.25">
      <c r="A884" s="26" t="s">
        <v>946</v>
      </c>
      <c r="B884" s="26" t="s">
        <v>945</v>
      </c>
      <c r="C884" s="26" t="s">
        <v>1241</v>
      </c>
      <c r="D884" s="26" t="s">
        <v>1076</v>
      </c>
      <c r="E884" s="26">
        <v>240</v>
      </c>
      <c r="F884" s="26">
        <v>243.94365999999999</v>
      </c>
      <c r="G884" s="26">
        <v>3.9436599999999942</v>
      </c>
      <c r="H884" s="26">
        <v>3.9436599999999942</v>
      </c>
      <c r="I884" s="26" t="s">
        <v>1230</v>
      </c>
      <c r="J884" s="26" t="s">
        <v>1231</v>
      </c>
      <c r="K884" s="26" t="b">
        <v>0</v>
      </c>
      <c r="L884" s="26">
        <v>2</v>
      </c>
    </row>
    <row r="885" spans="1:12" x14ac:dyDescent="0.25">
      <c r="A885" s="26" t="s">
        <v>947</v>
      </c>
      <c r="B885" s="26" t="s">
        <v>945</v>
      </c>
      <c r="C885" s="26" t="s">
        <v>1242</v>
      </c>
      <c r="D885" s="26" t="s">
        <v>1076</v>
      </c>
      <c r="E885" s="26">
        <v>205</v>
      </c>
      <c r="F885" s="26">
        <v>204.61</v>
      </c>
      <c r="G885" s="26">
        <v>-0.38999999999998641</v>
      </c>
      <c r="H885" s="26">
        <v>0.38999999999998641</v>
      </c>
      <c r="I885" s="26" t="s">
        <v>1230</v>
      </c>
      <c r="J885" s="26" t="s">
        <v>1231</v>
      </c>
      <c r="K885" s="26" t="b">
        <v>0</v>
      </c>
      <c r="L885" s="26">
        <v>3</v>
      </c>
    </row>
    <row r="886" spans="1:12" x14ac:dyDescent="0.25">
      <c r="A886" s="26" t="s">
        <v>948</v>
      </c>
      <c r="B886" s="26" t="s">
        <v>945</v>
      </c>
      <c r="C886" s="26" t="s">
        <v>1243</v>
      </c>
      <c r="D886" s="26" t="s">
        <v>1076</v>
      </c>
      <c r="E886" s="26">
        <v>285</v>
      </c>
      <c r="F886" s="26">
        <v>288.72457000000003</v>
      </c>
      <c r="G886" s="26">
        <v>3.7245700000000279</v>
      </c>
      <c r="H886" s="26">
        <v>3.7245700000000279</v>
      </c>
      <c r="I886" s="26" t="s">
        <v>1230</v>
      </c>
      <c r="J886" s="26" t="s">
        <v>1231</v>
      </c>
      <c r="K886" s="26" t="b">
        <v>0</v>
      </c>
      <c r="L886" s="26">
        <v>4</v>
      </c>
    </row>
    <row r="887" spans="1:12" x14ac:dyDescent="0.25">
      <c r="A887" s="26" t="s">
        <v>949</v>
      </c>
      <c r="B887" s="26" t="s">
        <v>945</v>
      </c>
      <c r="C887" s="26" t="s">
        <v>1244</v>
      </c>
      <c r="D887" s="26" t="s">
        <v>1076</v>
      </c>
      <c r="E887" s="26">
        <v>313</v>
      </c>
      <c r="F887" s="26">
        <v>314.57850999999999</v>
      </c>
      <c r="G887" s="26">
        <v>1.5785099999999941</v>
      </c>
      <c r="H887" s="26">
        <v>1.5785099999999941</v>
      </c>
      <c r="I887" s="26" t="s">
        <v>1230</v>
      </c>
      <c r="J887" s="26" t="s">
        <v>1231</v>
      </c>
      <c r="K887" s="26" t="b">
        <v>0</v>
      </c>
      <c r="L887" s="26">
        <v>5</v>
      </c>
    </row>
    <row r="888" spans="1:12" x14ac:dyDescent="0.25">
      <c r="A888" s="26" t="s">
        <v>950</v>
      </c>
      <c r="B888" s="26" t="s">
        <v>945</v>
      </c>
      <c r="C888" s="26" t="s">
        <v>1245</v>
      </c>
      <c r="D888" s="26" t="s">
        <v>1076</v>
      </c>
      <c r="E888" s="26">
        <v>261</v>
      </c>
      <c r="F888" s="26">
        <v>259.8111600000002</v>
      </c>
      <c r="G888" s="26">
        <v>-1.1888399999998001</v>
      </c>
      <c r="H888" s="26">
        <v>1.1888399999998001</v>
      </c>
      <c r="I888" s="26" t="s">
        <v>1230</v>
      </c>
      <c r="J888" s="26" t="s">
        <v>1231</v>
      </c>
      <c r="K888" s="26" t="b">
        <v>0</v>
      </c>
      <c r="L888" s="26">
        <v>1</v>
      </c>
    </row>
    <row r="889" spans="1:12" x14ac:dyDescent="0.25">
      <c r="A889" s="26" t="s">
        <v>951</v>
      </c>
      <c r="B889" s="26" t="s">
        <v>945</v>
      </c>
      <c r="C889" s="26" t="s">
        <v>1246</v>
      </c>
      <c r="D889" s="26" t="s">
        <v>1076</v>
      </c>
      <c r="E889" s="26">
        <v>348</v>
      </c>
      <c r="F889" s="26">
        <v>344.73432000000003</v>
      </c>
      <c r="G889" s="26">
        <v>-3.2656799999999748</v>
      </c>
      <c r="H889" s="26">
        <v>3.2656799999999748</v>
      </c>
      <c r="I889" s="26" t="s">
        <v>1230</v>
      </c>
      <c r="J889" s="26" t="s">
        <v>1231</v>
      </c>
      <c r="K889" s="26" t="b">
        <v>0</v>
      </c>
      <c r="L889" s="26">
        <v>2</v>
      </c>
    </row>
    <row r="890" spans="1:12" x14ac:dyDescent="0.25">
      <c r="A890" s="26" t="s">
        <v>952</v>
      </c>
      <c r="B890" s="26" t="s">
        <v>945</v>
      </c>
      <c r="C890" s="26" t="s">
        <v>1247</v>
      </c>
      <c r="D890" s="26" t="s">
        <v>1076</v>
      </c>
      <c r="E890" s="26">
        <v>303</v>
      </c>
      <c r="F890" s="26">
        <v>301.95999999999998</v>
      </c>
      <c r="G890" s="26">
        <v>-1.04000000000002</v>
      </c>
      <c r="H890" s="26">
        <v>1.04000000000002</v>
      </c>
      <c r="I890" s="26" t="s">
        <v>1230</v>
      </c>
      <c r="J890" s="26" t="s">
        <v>1231</v>
      </c>
      <c r="K890" s="26" t="b">
        <v>0</v>
      </c>
      <c r="L890" s="26">
        <v>3</v>
      </c>
    </row>
    <row r="891" spans="1:12" x14ac:dyDescent="0.25">
      <c r="A891" s="26" t="s">
        <v>953</v>
      </c>
      <c r="B891" s="26" t="s">
        <v>945</v>
      </c>
      <c r="C891" s="26" t="s">
        <v>1248</v>
      </c>
      <c r="D891" s="26" t="s">
        <v>1076</v>
      </c>
      <c r="E891" s="26">
        <v>296</v>
      </c>
      <c r="F891" s="26">
        <v>294.69159999999999</v>
      </c>
      <c r="G891" s="26">
        <v>-1.308400000000006</v>
      </c>
      <c r="H891" s="26">
        <v>1.308400000000006</v>
      </c>
      <c r="I891" s="26" t="s">
        <v>1230</v>
      </c>
      <c r="J891" s="26" t="s">
        <v>1231</v>
      </c>
      <c r="K891" s="26" t="b">
        <v>0</v>
      </c>
      <c r="L891" s="26">
        <v>4</v>
      </c>
    </row>
    <row r="892" spans="1:12" x14ac:dyDescent="0.25">
      <c r="A892" s="26" t="s">
        <v>954</v>
      </c>
      <c r="B892" s="26" t="s">
        <v>945</v>
      </c>
      <c r="C892" s="26" t="s">
        <v>1249</v>
      </c>
      <c r="D892" s="26" t="s">
        <v>1076</v>
      </c>
      <c r="E892" s="26">
        <v>386</v>
      </c>
      <c r="F892" s="26">
        <v>389.82357000000002</v>
      </c>
      <c r="G892" s="26">
        <v>3.8235700000000179</v>
      </c>
      <c r="H892" s="26">
        <v>3.8235700000000179</v>
      </c>
      <c r="I892" s="26" t="s">
        <v>1230</v>
      </c>
      <c r="J892" s="26" t="s">
        <v>1231</v>
      </c>
      <c r="K892" s="26" t="b">
        <v>0</v>
      </c>
      <c r="L892" s="26">
        <v>5</v>
      </c>
    </row>
    <row r="893" spans="1:12" x14ac:dyDescent="0.25">
      <c r="A893" s="26" t="s">
        <v>955</v>
      </c>
      <c r="B893" s="26" t="s">
        <v>956</v>
      </c>
      <c r="C893" s="26" t="s">
        <v>1238</v>
      </c>
      <c r="D893" s="26" t="s">
        <v>1076</v>
      </c>
      <c r="E893" s="26">
        <v>314</v>
      </c>
      <c r="F893" s="26">
        <v>317.77890000000002</v>
      </c>
      <c r="G893" s="26">
        <v>3.778900000000021</v>
      </c>
      <c r="H893" s="26">
        <v>3.778900000000021</v>
      </c>
      <c r="I893" s="26" t="s">
        <v>1230</v>
      </c>
      <c r="J893" s="26" t="s">
        <v>1231</v>
      </c>
      <c r="K893" s="26" t="b">
        <v>0</v>
      </c>
      <c r="L893" s="26">
        <v>1</v>
      </c>
    </row>
    <row r="894" spans="1:12" x14ac:dyDescent="0.25">
      <c r="A894" s="26" t="s">
        <v>957</v>
      </c>
      <c r="B894" s="26" t="s">
        <v>956</v>
      </c>
      <c r="C894" s="26" t="s">
        <v>1241</v>
      </c>
      <c r="D894" s="26" t="s">
        <v>1076</v>
      </c>
      <c r="E894" s="26">
        <v>194</v>
      </c>
      <c r="F894" s="26">
        <v>189.69603000000029</v>
      </c>
      <c r="G894" s="26">
        <v>-4.3039699999997083</v>
      </c>
      <c r="H894" s="26">
        <v>4.3039699999997083</v>
      </c>
      <c r="I894" s="26" t="s">
        <v>1230</v>
      </c>
      <c r="J894" s="26" t="s">
        <v>1231</v>
      </c>
      <c r="K894" s="26" t="b">
        <v>0</v>
      </c>
      <c r="L894" s="26">
        <v>2</v>
      </c>
    </row>
    <row r="895" spans="1:12" x14ac:dyDescent="0.25">
      <c r="A895" s="26" t="s">
        <v>958</v>
      </c>
      <c r="B895" s="26" t="s">
        <v>956</v>
      </c>
      <c r="C895" s="26" t="s">
        <v>1242</v>
      </c>
      <c r="D895" s="26" t="s">
        <v>1076</v>
      </c>
      <c r="E895" s="26">
        <v>291</v>
      </c>
      <c r="F895" s="26">
        <v>289.68903</v>
      </c>
      <c r="G895" s="26">
        <v>-1.310969999999998</v>
      </c>
      <c r="H895" s="26">
        <v>1.310969999999998</v>
      </c>
      <c r="I895" s="26" t="s">
        <v>1230</v>
      </c>
      <c r="J895" s="26" t="s">
        <v>1231</v>
      </c>
      <c r="K895" s="26" t="b">
        <v>0</v>
      </c>
      <c r="L895" s="26">
        <v>3</v>
      </c>
    </row>
    <row r="896" spans="1:12" x14ac:dyDescent="0.25">
      <c r="A896" s="26" t="s">
        <v>959</v>
      </c>
      <c r="B896" s="26" t="s">
        <v>956</v>
      </c>
      <c r="C896" s="26" t="s">
        <v>1243</v>
      </c>
      <c r="D896" s="26" t="s">
        <v>1076</v>
      </c>
      <c r="E896" s="26">
        <v>293</v>
      </c>
      <c r="F896" s="26">
        <v>292.95999999999998</v>
      </c>
      <c r="G896" s="26">
        <v>-4.0000000000020457E-2</v>
      </c>
      <c r="H896" s="26">
        <v>4.0000000000020457E-2</v>
      </c>
      <c r="I896" s="26" t="s">
        <v>1230</v>
      </c>
      <c r="J896" s="26" t="s">
        <v>1231</v>
      </c>
      <c r="K896" s="26" t="b">
        <v>0</v>
      </c>
      <c r="L896" s="26">
        <v>4</v>
      </c>
    </row>
    <row r="897" spans="1:12" x14ac:dyDescent="0.25">
      <c r="A897" s="26" t="s">
        <v>960</v>
      </c>
      <c r="B897" s="26" t="s">
        <v>956</v>
      </c>
      <c r="C897" s="26" t="s">
        <v>1244</v>
      </c>
      <c r="D897" s="26" t="s">
        <v>1076</v>
      </c>
      <c r="E897" s="26">
        <v>331</v>
      </c>
      <c r="F897" s="26">
        <v>330.87</v>
      </c>
      <c r="G897" s="26">
        <v>-0.12999999999999551</v>
      </c>
      <c r="H897" s="26">
        <v>0.12999999999999551</v>
      </c>
      <c r="I897" s="26" t="s">
        <v>1230</v>
      </c>
      <c r="J897" s="26" t="s">
        <v>1231</v>
      </c>
      <c r="K897" s="26" t="b">
        <v>0</v>
      </c>
      <c r="L897" s="26">
        <v>5</v>
      </c>
    </row>
    <row r="898" spans="1:12" x14ac:dyDescent="0.25">
      <c r="A898" s="26" t="s">
        <v>961</v>
      </c>
      <c r="B898" s="26" t="s">
        <v>956</v>
      </c>
      <c r="C898" s="26" t="s">
        <v>1245</v>
      </c>
      <c r="D898" s="26" t="s">
        <v>1076</v>
      </c>
      <c r="E898" s="26">
        <v>226</v>
      </c>
      <c r="F898" s="26">
        <v>230.3140400000002</v>
      </c>
      <c r="G898" s="26">
        <v>4.3140400000002046</v>
      </c>
      <c r="H898" s="26">
        <v>4.3140400000002046</v>
      </c>
      <c r="I898" s="26" t="s">
        <v>1230</v>
      </c>
      <c r="J898" s="26" t="s">
        <v>1231</v>
      </c>
      <c r="K898" s="26" t="b">
        <v>0</v>
      </c>
      <c r="L898" s="26">
        <v>1</v>
      </c>
    </row>
    <row r="899" spans="1:12" x14ac:dyDescent="0.25">
      <c r="A899" s="26" t="s">
        <v>962</v>
      </c>
      <c r="B899" s="26" t="s">
        <v>956</v>
      </c>
      <c r="C899" s="26" t="s">
        <v>1246</v>
      </c>
      <c r="D899" s="26" t="s">
        <v>1076</v>
      </c>
      <c r="E899" s="26">
        <v>213</v>
      </c>
      <c r="F899" s="26">
        <v>213.52</v>
      </c>
      <c r="G899" s="26">
        <v>0.52000000000001023</v>
      </c>
      <c r="H899" s="26">
        <v>0.52000000000001023</v>
      </c>
      <c r="I899" s="26" t="s">
        <v>1230</v>
      </c>
      <c r="J899" s="26" t="s">
        <v>1231</v>
      </c>
      <c r="K899" s="26" t="b">
        <v>0</v>
      </c>
      <c r="L899" s="26">
        <v>2</v>
      </c>
    </row>
    <row r="900" spans="1:12" x14ac:dyDescent="0.25">
      <c r="A900" s="26" t="s">
        <v>963</v>
      </c>
      <c r="B900" s="26" t="s">
        <v>956</v>
      </c>
      <c r="C900" s="26" t="s">
        <v>1247</v>
      </c>
      <c r="D900" s="26" t="s">
        <v>1076</v>
      </c>
      <c r="E900" s="26">
        <v>222</v>
      </c>
      <c r="F900" s="26">
        <v>221.79</v>
      </c>
      <c r="G900" s="26">
        <v>-0.21000000000000801</v>
      </c>
      <c r="H900" s="26">
        <v>0.21000000000000801</v>
      </c>
      <c r="I900" s="26" t="s">
        <v>1230</v>
      </c>
      <c r="J900" s="26" t="s">
        <v>1231</v>
      </c>
      <c r="K900" s="26" t="b">
        <v>0</v>
      </c>
      <c r="L900" s="26">
        <v>3</v>
      </c>
    </row>
    <row r="901" spans="1:12" x14ac:dyDescent="0.25">
      <c r="A901" s="26" t="s">
        <v>964</v>
      </c>
      <c r="B901" s="26" t="s">
        <v>956</v>
      </c>
      <c r="C901" s="26" t="s">
        <v>1248</v>
      </c>
      <c r="D901" s="26" t="s">
        <v>1076</v>
      </c>
      <c r="E901" s="26">
        <v>270</v>
      </c>
      <c r="F901" s="26">
        <v>270.57522999999992</v>
      </c>
      <c r="G901" s="26">
        <v>0.57522999999991953</v>
      </c>
      <c r="H901" s="26">
        <v>0.57522999999991953</v>
      </c>
      <c r="I901" s="26" t="s">
        <v>1230</v>
      </c>
      <c r="J901" s="26" t="s">
        <v>1231</v>
      </c>
      <c r="K901" s="26" t="b">
        <v>0</v>
      </c>
      <c r="L901" s="26">
        <v>4</v>
      </c>
    </row>
    <row r="902" spans="1:12" x14ac:dyDescent="0.25">
      <c r="A902" s="26" t="s">
        <v>965</v>
      </c>
      <c r="B902" s="26" t="s">
        <v>956</v>
      </c>
      <c r="C902" s="26" t="s">
        <v>1249</v>
      </c>
      <c r="D902" s="26" t="s">
        <v>1076</v>
      </c>
      <c r="E902" s="26">
        <v>191</v>
      </c>
      <c r="F902" s="26">
        <v>189.53</v>
      </c>
      <c r="G902" s="26">
        <v>-1.4699999999999991</v>
      </c>
      <c r="H902" s="26">
        <v>1.4699999999999991</v>
      </c>
      <c r="I902" s="26" t="s">
        <v>1230</v>
      </c>
      <c r="J902" s="26" t="s">
        <v>1231</v>
      </c>
      <c r="K902" s="26" t="b">
        <v>0</v>
      </c>
      <c r="L902" s="26">
        <v>5</v>
      </c>
    </row>
    <row r="903" spans="1:12" x14ac:dyDescent="0.25">
      <c r="A903" s="26" t="s">
        <v>966</v>
      </c>
      <c r="B903" s="26" t="s">
        <v>967</v>
      </c>
      <c r="C903" s="26" t="s">
        <v>1238</v>
      </c>
      <c r="D903" s="26" t="s">
        <v>1076</v>
      </c>
      <c r="E903" s="26">
        <v>276</v>
      </c>
      <c r="F903" s="26">
        <v>276.52</v>
      </c>
      <c r="G903" s="26">
        <v>0.51999999999998181</v>
      </c>
      <c r="H903" s="26">
        <v>0.51999999999998181</v>
      </c>
      <c r="I903" s="26" t="s">
        <v>1230</v>
      </c>
      <c r="J903" s="26" t="s">
        <v>1231</v>
      </c>
      <c r="K903" s="26" t="b">
        <v>0</v>
      </c>
      <c r="L903" s="26">
        <v>1</v>
      </c>
    </row>
    <row r="904" spans="1:12" x14ac:dyDescent="0.25">
      <c r="A904" s="26" t="s">
        <v>968</v>
      </c>
      <c r="B904" s="26" t="s">
        <v>967</v>
      </c>
      <c r="C904" s="26" t="s">
        <v>1241</v>
      </c>
      <c r="D904" s="26" t="s">
        <v>1076</v>
      </c>
      <c r="E904" s="26">
        <v>325</v>
      </c>
      <c r="F904" s="26">
        <v>329.22363999999999</v>
      </c>
      <c r="G904" s="26">
        <v>4.223639999999989</v>
      </c>
      <c r="H904" s="26">
        <v>4.223639999999989</v>
      </c>
      <c r="I904" s="26" t="s">
        <v>1230</v>
      </c>
      <c r="J904" s="26" t="s">
        <v>1231</v>
      </c>
      <c r="K904" s="26" t="b">
        <v>0</v>
      </c>
      <c r="L904" s="26">
        <v>2</v>
      </c>
    </row>
    <row r="905" spans="1:12" x14ac:dyDescent="0.25">
      <c r="A905" s="26" t="s">
        <v>969</v>
      </c>
      <c r="B905" s="26" t="s">
        <v>967</v>
      </c>
      <c r="C905" s="26" t="s">
        <v>1242</v>
      </c>
      <c r="D905" s="26" t="s">
        <v>1076</v>
      </c>
      <c r="E905" s="26">
        <v>316</v>
      </c>
      <c r="F905" s="26">
        <v>316.01031000000012</v>
      </c>
      <c r="G905" s="26">
        <v>1.031000000011772E-2</v>
      </c>
      <c r="H905" s="26">
        <v>1.031000000011772E-2</v>
      </c>
      <c r="I905" s="26" t="s">
        <v>1230</v>
      </c>
      <c r="J905" s="26" t="s">
        <v>1231</v>
      </c>
      <c r="K905" s="26" t="b">
        <v>0</v>
      </c>
      <c r="L905" s="26">
        <v>3</v>
      </c>
    </row>
    <row r="906" spans="1:12" x14ac:dyDescent="0.25">
      <c r="A906" s="26" t="s">
        <v>970</v>
      </c>
      <c r="B906" s="26" t="s">
        <v>967</v>
      </c>
      <c r="C906" s="26" t="s">
        <v>1243</v>
      </c>
      <c r="D906" s="26" t="s">
        <v>1076</v>
      </c>
      <c r="E906" s="26">
        <v>346</v>
      </c>
      <c r="F906" s="26">
        <v>344.91273000000001</v>
      </c>
      <c r="G906" s="26">
        <v>-1.08726999999999</v>
      </c>
      <c r="H906" s="26">
        <v>1.08726999999999</v>
      </c>
      <c r="I906" s="26" t="s">
        <v>1230</v>
      </c>
      <c r="J906" s="26" t="s">
        <v>1231</v>
      </c>
      <c r="K906" s="26" t="b">
        <v>0</v>
      </c>
      <c r="L906" s="26">
        <v>4</v>
      </c>
    </row>
    <row r="907" spans="1:12" x14ac:dyDescent="0.25">
      <c r="A907" s="26" t="s">
        <v>971</v>
      </c>
      <c r="B907" s="26" t="s">
        <v>967</v>
      </c>
      <c r="C907" s="26" t="s">
        <v>1244</v>
      </c>
      <c r="D907" s="26" t="s">
        <v>1076</v>
      </c>
      <c r="E907" s="26">
        <v>230</v>
      </c>
      <c r="F907" s="26">
        <v>233.88224000000011</v>
      </c>
      <c r="G907" s="26">
        <v>3.882240000000138</v>
      </c>
      <c r="H907" s="26">
        <v>3.882240000000138</v>
      </c>
      <c r="I907" s="26" t="s">
        <v>1230</v>
      </c>
      <c r="J907" s="26" t="s">
        <v>1231</v>
      </c>
      <c r="K907" s="26" t="b">
        <v>0</v>
      </c>
      <c r="L907" s="26">
        <v>5</v>
      </c>
    </row>
    <row r="908" spans="1:12" x14ac:dyDescent="0.25">
      <c r="A908" s="26" t="s">
        <v>972</v>
      </c>
      <c r="B908" s="26" t="s">
        <v>967</v>
      </c>
      <c r="C908" s="26" t="s">
        <v>1245</v>
      </c>
      <c r="D908" s="26" t="s">
        <v>1076</v>
      </c>
      <c r="E908" s="26">
        <v>335</v>
      </c>
      <c r="F908" s="26">
        <v>333.15318000000002</v>
      </c>
      <c r="G908" s="26">
        <v>-1.8468199999999799</v>
      </c>
      <c r="H908" s="26">
        <v>1.8468199999999799</v>
      </c>
      <c r="I908" s="26" t="s">
        <v>1230</v>
      </c>
      <c r="J908" s="26" t="s">
        <v>1231</v>
      </c>
      <c r="K908" s="26" t="b">
        <v>0</v>
      </c>
      <c r="L908" s="26">
        <v>1</v>
      </c>
    </row>
    <row r="909" spans="1:12" x14ac:dyDescent="0.25">
      <c r="A909" s="26" t="s">
        <v>973</v>
      </c>
      <c r="B909" s="26" t="s">
        <v>967</v>
      </c>
      <c r="C909" s="26" t="s">
        <v>1246</v>
      </c>
      <c r="D909" s="26" t="s">
        <v>1076</v>
      </c>
      <c r="E909" s="26">
        <v>253</v>
      </c>
      <c r="F909" s="26">
        <v>252.90360000000001</v>
      </c>
      <c r="G909" s="26">
        <v>-9.6399999999988495E-2</v>
      </c>
      <c r="H909" s="26">
        <v>9.6399999999988495E-2</v>
      </c>
      <c r="I909" s="26" t="s">
        <v>1230</v>
      </c>
      <c r="J909" s="26" t="s">
        <v>1231</v>
      </c>
      <c r="K909" s="26" t="b">
        <v>0</v>
      </c>
      <c r="L909" s="26">
        <v>2</v>
      </c>
    </row>
    <row r="910" spans="1:12" x14ac:dyDescent="0.25">
      <c r="A910" s="26" t="s">
        <v>974</v>
      </c>
      <c r="B910" s="26" t="s">
        <v>967</v>
      </c>
      <c r="C910" s="26" t="s">
        <v>1247</v>
      </c>
      <c r="D910" s="26" t="s">
        <v>1076</v>
      </c>
      <c r="E910" s="26">
        <v>351</v>
      </c>
      <c r="F910" s="26">
        <v>352.16806999999989</v>
      </c>
      <c r="G910" s="26">
        <v>1.1680699999999431</v>
      </c>
      <c r="H910" s="26">
        <v>1.1680699999999431</v>
      </c>
      <c r="I910" s="26" t="s">
        <v>1230</v>
      </c>
      <c r="J910" s="26" t="s">
        <v>1231</v>
      </c>
      <c r="K910" s="26" t="b">
        <v>0</v>
      </c>
      <c r="L910" s="26">
        <v>3</v>
      </c>
    </row>
    <row r="911" spans="1:12" x14ac:dyDescent="0.25">
      <c r="A911" s="26" t="s">
        <v>975</v>
      </c>
      <c r="B911" s="26" t="s">
        <v>967</v>
      </c>
      <c r="C911" s="26" t="s">
        <v>1248</v>
      </c>
      <c r="D911" s="26" t="s">
        <v>1076</v>
      </c>
      <c r="E911" s="26">
        <v>288</v>
      </c>
      <c r="F911" s="26">
        <v>286.69160000000011</v>
      </c>
      <c r="G911" s="26">
        <v>-1.3083999999998921</v>
      </c>
      <c r="H911" s="26">
        <v>1.3083999999998921</v>
      </c>
      <c r="I911" s="26" t="s">
        <v>1230</v>
      </c>
      <c r="J911" s="26" t="s">
        <v>1231</v>
      </c>
      <c r="K911" s="26" t="b">
        <v>0</v>
      </c>
      <c r="L911" s="26">
        <v>4</v>
      </c>
    </row>
    <row r="912" spans="1:12" x14ac:dyDescent="0.25">
      <c r="A912" s="26" t="s">
        <v>976</v>
      </c>
      <c r="B912" s="26" t="s">
        <v>967</v>
      </c>
      <c r="C912" s="26" t="s">
        <v>1249</v>
      </c>
      <c r="D912" s="26" t="s">
        <v>1076</v>
      </c>
      <c r="E912" s="26">
        <v>202</v>
      </c>
      <c r="F912" s="26">
        <v>199.89189999999999</v>
      </c>
      <c r="G912" s="26">
        <v>-2.108100000000007</v>
      </c>
      <c r="H912" s="26">
        <v>2.108100000000007</v>
      </c>
      <c r="I912" s="26" t="s">
        <v>1230</v>
      </c>
      <c r="J912" s="26" t="s">
        <v>1231</v>
      </c>
      <c r="K912" s="26" t="b">
        <v>0</v>
      </c>
      <c r="L912" s="26">
        <v>5</v>
      </c>
    </row>
    <row r="913" spans="1:12" x14ac:dyDescent="0.25">
      <c r="A913" s="26" t="s">
        <v>977</v>
      </c>
      <c r="B913" s="26" t="s">
        <v>978</v>
      </c>
      <c r="C913" s="26" t="s">
        <v>1238</v>
      </c>
      <c r="D913" s="26" t="s">
        <v>1076</v>
      </c>
      <c r="E913" s="26">
        <v>202</v>
      </c>
      <c r="F913" s="26">
        <v>199.16727</v>
      </c>
      <c r="G913" s="26">
        <v>-2.832729999999998</v>
      </c>
      <c r="H913" s="26">
        <v>2.832729999999998</v>
      </c>
      <c r="I913" s="26" t="s">
        <v>1230</v>
      </c>
      <c r="J913" s="26" t="s">
        <v>1231</v>
      </c>
      <c r="K913" s="26" t="b">
        <v>0</v>
      </c>
      <c r="L913" s="26">
        <v>1</v>
      </c>
    </row>
    <row r="914" spans="1:12" x14ac:dyDescent="0.25">
      <c r="A914" s="26" t="s">
        <v>979</v>
      </c>
      <c r="B914" s="26" t="s">
        <v>978</v>
      </c>
      <c r="C914" s="26" t="s">
        <v>1241</v>
      </c>
      <c r="D914" s="26" t="s">
        <v>1076</v>
      </c>
      <c r="E914" s="26">
        <v>164</v>
      </c>
      <c r="F914" s="26">
        <v>163.05542</v>
      </c>
      <c r="G914" s="26">
        <v>-0.94458000000000197</v>
      </c>
      <c r="H914" s="26">
        <v>0.94458000000000197</v>
      </c>
      <c r="I914" s="26" t="s">
        <v>1230</v>
      </c>
      <c r="J914" s="26" t="s">
        <v>1231</v>
      </c>
      <c r="K914" s="26" t="b">
        <v>0</v>
      </c>
      <c r="L914" s="26">
        <v>2</v>
      </c>
    </row>
    <row r="915" spans="1:12" x14ac:dyDescent="0.25">
      <c r="A915" s="26" t="s">
        <v>980</v>
      </c>
      <c r="B915" s="26" t="s">
        <v>978</v>
      </c>
      <c r="C915" s="26" t="s">
        <v>1242</v>
      </c>
      <c r="D915" s="26" t="s">
        <v>1076</v>
      </c>
      <c r="E915" s="26">
        <v>180</v>
      </c>
      <c r="F915" s="26">
        <v>183.63203999999999</v>
      </c>
      <c r="G915" s="26">
        <v>3.6320399999999888</v>
      </c>
      <c r="H915" s="26">
        <v>3.6320399999999888</v>
      </c>
      <c r="I915" s="26" t="s">
        <v>1230</v>
      </c>
      <c r="J915" s="26" t="s">
        <v>1231</v>
      </c>
      <c r="K915" s="26" t="b">
        <v>0</v>
      </c>
      <c r="L915" s="26">
        <v>3</v>
      </c>
    </row>
    <row r="916" spans="1:12" x14ac:dyDescent="0.25">
      <c r="A916" s="26" t="s">
        <v>981</v>
      </c>
      <c r="B916" s="26" t="s">
        <v>978</v>
      </c>
      <c r="C916" s="26" t="s">
        <v>1243</v>
      </c>
      <c r="D916" s="26" t="s">
        <v>1076</v>
      </c>
      <c r="E916" s="26">
        <v>286</v>
      </c>
      <c r="F916" s="26">
        <v>285.14999999999998</v>
      </c>
      <c r="G916" s="26">
        <v>-0.85000000000002274</v>
      </c>
      <c r="H916" s="26">
        <v>0.85000000000002274</v>
      </c>
      <c r="I916" s="26" t="s">
        <v>1230</v>
      </c>
      <c r="J916" s="26" t="s">
        <v>1231</v>
      </c>
      <c r="K916" s="26" t="b">
        <v>0</v>
      </c>
      <c r="L916" s="26">
        <v>4</v>
      </c>
    </row>
    <row r="917" spans="1:12" x14ac:dyDescent="0.25">
      <c r="A917" s="26" t="s">
        <v>982</v>
      </c>
      <c r="B917" s="26" t="s">
        <v>978</v>
      </c>
      <c r="C917" s="26" t="s">
        <v>1244</v>
      </c>
      <c r="D917" s="26" t="s">
        <v>1076</v>
      </c>
      <c r="E917" s="26">
        <v>225</v>
      </c>
      <c r="F917" s="26">
        <v>221.80983000000009</v>
      </c>
      <c r="G917" s="26">
        <v>-3.1901699999998532</v>
      </c>
      <c r="H917" s="26">
        <v>3.1901699999998532</v>
      </c>
      <c r="I917" s="26" t="s">
        <v>1230</v>
      </c>
      <c r="J917" s="26" t="s">
        <v>1231</v>
      </c>
      <c r="K917" s="26" t="b">
        <v>0</v>
      </c>
      <c r="L917" s="26">
        <v>5</v>
      </c>
    </row>
    <row r="918" spans="1:12" x14ac:dyDescent="0.25">
      <c r="A918" s="26" t="s">
        <v>983</v>
      </c>
      <c r="B918" s="26" t="s">
        <v>978</v>
      </c>
      <c r="C918" s="26" t="s">
        <v>1245</v>
      </c>
      <c r="D918" s="26" t="s">
        <v>1076</v>
      </c>
      <c r="E918" s="26">
        <v>112</v>
      </c>
      <c r="F918" s="26">
        <v>115.10514000000001</v>
      </c>
      <c r="G918" s="26">
        <v>3.1051400000000058</v>
      </c>
      <c r="H918" s="26">
        <v>3.1051400000000058</v>
      </c>
      <c r="I918" s="26" t="s">
        <v>1230</v>
      </c>
      <c r="J918" s="26" t="s">
        <v>1231</v>
      </c>
      <c r="K918" s="26" t="b">
        <v>0</v>
      </c>
      <c r="L918" s="26">
        <v>1</v>
      </c>
    </row>
    <row r="919" spans="1:12" x14ac:dyDescent="0.25">
      <c r="A919" s="26" t="s">
        <v>984</v>
      </c>
      <c r="B919" s="26" t="s">
        <v>978</v>
      </c>
      <c r="C919" s="26" t="s">
        <v>1246</v>
      </c>
      <c r="D919" s="26" t="s">
        <v>1076</v>
      </c>
      <c r="E919" s="26">
        <v>397</v>
      </c>
      <c r="F919" s="26">
        <v>396.52</v>
      </c>
      <c r="G919" s="26">
        <v>-0.48000000000001819</v>
      </c>
      <c r="H919" s="26">
        <v>0.48000000000001819</v>
      </c>
      <c r="I919" s="26" t="s">
        <v>1230</v>
      </c>
      <c r="J919" s="26" t="s">
        <v>1231</v>
      </c>
      <c r="K919" s="26" t="b">
        <v>0</v>
      </c>
      <c r="L919" s="26">
        <v>2</v>
      </c>
    </row>
    <row r="920" spans="1:12" x14ac:dyDescent="0.25">
      <c r="A920" s="26" t="s">
        <v>985</v>
      </c>
      <c r="B920" s="26" t="s">
        <v>978</v>
      </c>
      <c r="C920" s="26" t="s">
        <v>1247</v>
      </c>
      <c r="D920" s="26" t="s">
        <v>1076</v>
      </c>
      <c r="E920" s="26">
        <v>266</v>
      </c>
      <c r="F920" s="26">
        <v>264.80664000000002</v>
      </c>
      <c r="G920" s="26">
        <v>-1.193359999999984</v>
      </c>
      <c r="H920" s="26">
        <v>1.193359999999984</v>
      </c>
      <c r="I920" s="26" t="s">
        <v>1230</v>
      </c>
      <c r="J920" s="26" t="s">
        <v>1231</v>
      </c>
      <c r="K920" s="26" t="b">
        <v>0</v>
      </c>
      <c r="L920" s="26">
        <v>3</v>
      </c>
    </row>
    <row r="921" spans="1:12" x14ac:dyDescent="0.25">
      <c r="A921" s="26" t="s">
        <v>986</v>
      </c>
      <c r="B921" s="26" t="s">
        <v>978</v>
      </c>
      <c r="C921" s="26" t="s">
        <v>1248</v>
      </c>
      <c r="D921" s="26" t="s">
        <v>1076</v>
      </c>
      <c r="E921" s="26">
        <v>360</v>
      </c>
      <c r="F921" s="26">
        <v>359.52</v>
      </c>
      <c r="G921" s="26">
        <v>-0.48000000000001819</v>
      </c>
      <c r="H921" s="26">
        <v>0.48000000000001819</v>
      </c>
      <c r="I921" s="26" t="s">
        <v>1230</v>
      </c>
      <c r="J921" s="26" t="s">
        <v>1231</v>
      </c>
      <c r="K921" s="26" t="b">
        <v>0</v>
      </c>
      <c r="L921" s="26">
        <v>4</v>
      </c>
    </row>
    <row r="922" spans="1:12" x14ac:dyDescent="0.25">
      <c r="A922" s="26" t="s">
        <v>987</v>
      </c>
      <c r="B922" s="26" t="s">
        <v>978</v>
      </c>
      <c r="C922" s="26" t="s">
        <v>1249</v>
      </c>
      <c r="D922" s="26" t="s">
        <v>1076</v>
      </c>
      <c r="E922" s="26">
        <v>264</v>
      </c>
      <c r="F922" s="26">
        <v>263.37936000000008</v>
      </c>
      <c r="G922" s="26">
        <v>-0.62063999999986663</v>
      </c>
      <c r="H922" s="26">
        <v>0.62063999999986663</v>
      </c>
      <c r="I922" s="26" t="s">
        <v>1230</v>
      </c>
      <c r="J922" s="26" t="s">
        <v>1231</v>
      </c>
      <c r="K922" s="26" t="b">
        <v>0</v>
      </c>
      <c r="L922" s="26">
        <v>5</v>
      </c>
    </row>
    <row r="923" spans="1:12" x14ac:dyDescent="0.25">
      <c r="A923" s="26" t="s">
        <v>988</v>
      </c>
      <c r="B923" s="26" t="s">
        <v>989</v>
      </c>
      <c r="C923" s="26" t="s">
        <v>1238</v>
      </c>
      <c r="D923" s="26" t="s">
        <v>1076</v>
      </c>
      <c r="E923" s="26">
        <v>291</v>
      </c>
      <c r="F923" s="26">
        <v>289.51</v>
      </c>
      <c r="G923" s="26">
        <v>-1.4900000000000091</v>
      </c>
      <c r="H923" s="26">
        <v>1.4900000000000091</v>
      </c>
      <c r="I923" s="26" t="s">
        <v>1230</v>
      </c>
      <c r="J923" s="26" t="s">
        <v>1231</v>
      </c>
      <c r="K923" s="26" t="b">
        <v>0</v>
      </c>
      <c r="L923" s="26">
        <v>1</v>
      </c>
    </row>
    <row r="924" spans="1:12" x14ac:dyDescent="0.25">
      <c r="A924" s="26" t="s">
        <v>990</v>
      </c>
      <c r="B924" s="26" t="s">
        <v>989</v>
      </c>
      <c r="C924" s="26" t="s">
        <v>1241</v>
      </c>
      <c r="D924" s="26" t="s">
        <v>1076</v>
      </c>
      <c r="E924" s="26">
        <v>293</v>
      </c>
      <c r="F924" s="26">
        <v>291.52999999999997</v>
      </c>
      <c r="G924" s="26">
        <v>-1.4700000000000271</v>
      </c>
      <c r="H924" s="26">
        <v>1.4700000000000271</v>
      </c>
      <c r="I924" s="26" t="s">
        <v>1230</v>
      </c>
      <c r="J924" s="26" t="s">
        <v>1231</v>
      </c>
      <c r="K924" s="26" t="b">
        <v>0</v>
      </c>
      <c r="L924" s="26">
        <v>2</v>
      </c>
    </row>
    <row r="925" spans="1:12" x14ac:dyDescent="0.25">
      <c r="A925" s="26" t="s">
        <v>991</v>
      </c>
      <c r="B925" s="26" t="s">
        <v>989</v>
      </c>
      <c r="C925" s="26" t="s">
        <v>1242</v>
      </c>
      <c r="D925" s="26" t="s">
        <v>1076</v>
      </c>
      <c r="E925" s="26">
        <v>277</v>
      </c>
      <c r="F925" s="26">
        <v>279.37679000000031</v>
      </c>
      <c r="G925" s="26">
        <v>2.376790000000256</v>
      </c>
      <c r="H925" s="26">
        <v>2.376790000000256</v>
      </c>
      <c r="I925" s="26" t="s">
        <v>1230</v>
      </c>
      <c r="J925" s="26" t="s">
        <v>1231</v>
      </c>
      <c r="K925" s="26" t="b">
        <v>0</v>
      </c>
      <c r="L925" s="26">
        <v>3</v>
      </c>
    </row>
    <row r="926" spans="1:12" x14ac:dyDescent="0.25">
      <c r="A926" s="33" t="s">
        <v>992</v>
      </c>
      <c r="B926" s="33" t="s">
        <v>989</v>
      </c>
      <c r="C926" s="33" t="s">
        <v>1243</v>
      </c>
      <c r="D926" s="33" t="s">
        <v>1076</v>
      </c>
      <c r="E926" s="33">
        <v>415</v>
      </c>
      <c r="F926" s="33">
        <v>411.98842000000002</v>
      </c>
      <c r="G926" s="33">
        <v>-3.0115799999999808</v>
      </c>
      <c r="H926" s="33">
        <v>3.0115799999999808</v>
      </c>
      <c r="I926" s="33" t="s">
        <v>1230</v>
      </c>
      <c r="J926" s="33" t="s">
        <v>1231</v>
      </c>
      <c r="K926" s="33" t="b">
        <v>1</v>
      </c>
      <c r="L926" s="33">
        <v>4</v>
      </c>
    </row>
    <row r="927" spans="1:12" x14ac:dyDescent="0.25">
      <c r="A927" s="26" t="s">
        <v>993</v>
      </c>
      <c r="B927" s="26" t="s">
        <v>989</v>
      </c>
      <c r="C927" s="26" t="s">
        <v>1244</v>
      </c>
      <c r="D927" s="26" t="s">
        <v>1076</v>
      </c>
      <c r="E927" s="26">
        <v>263</v>
      </c>
      <c r="F927" s="26">
        <v>262.19448</v>
      </c>
      <c r="G927" s="26">
        <v>-0.80552000000000135</v>
      </c>
      <c r="H927" s="26">
        <v>0.80552000000000135</v>
      </c>
      <c r="I927" s="26" t="s">
        <v>1230</v>
      </c>
      <c r="J927" s="26" t="s">
        <v>1231</v>
      </c>
      <c r="K927" s="26" t="b">
        <v>0</v>
      </c>
      <c r="L927" s="26">
        <v>5</v>
      </c>
    </row>
    <row r="928" spans="1:12" x14ac:dyDescent="0.25">
      <c r="A928" s="33" t="s">
        <v>994</v>
      </c>
      <c r="B928" s="33" t="s">
        <v>989</v>
      </c>
      <c r="C928" s="33" t="s">
        <v>1245</v>
      </c>
      <c r="D928" s="33" t="s">
        <v>1076</v>
      </c>
      <c r="E928" s="33">
        <v>471</v>
      </c>
      <c r="F928" s="33">
        <v>470.58</v>
      </c>
      <c r="G928" s="33">
        <v>-0.42000000000001592</v>
      </c>
      <c r="H928" s="33">
        <v>0.42000000000001592</v>
      </c>
      <c r="I928" s="33" t="s">
        <v>1230</v>
      </c>
      <c r="J928" s="33" t="s">
        <v>1231</v>
      </c>
      <c r="K928" s="33" t="b">
        <v>1</v>
      </c>
      <c r="L928" s="33">
        <v>1</v>
      </c>
    </row>
    <row r="929" spans="1:12" x14ac:dyDescent="0.25">
      <c r="A929" s="26" t="s">
        <v>995</v>
      </c>
      <c r="B929" s="26" t="s">
        <v>989</v>
      </c>
      <c r="C929" s="26" t="s">
        <v>1246</v>
      </c>
      <c r="D929" s="26" t="s">
        <v>1076</v>
      </c>
      <c r="E929" s="26">
        <v>103</v>
      </c>
      <c r="F929" s="26">
        <v>101.08768000000001</v>
      </c>
      <c r="G929" s="26">
        <v>-1.912319999999994</v>
      </c>
      <c r="H929" s="26">
        <v>1.912319999999994</v>
      </c>
      <c r="I929" s="26" t="s">
        <v>1230</v>
      </c>
      <c r="J929" s="26" t="s">
        <v>1231</v>
      </c>
      <c r="K929" s="26" t="b">
        <v>0</v>
      </c>
      <c r="L929" s="26">
        <v>2</v>
      </c>
    </row>
    <row r="930" spans="1:12" x14ac:dyDescent="0.25">
      <c r="A930" s="26" t="s">
        <v>996</v>
      </c>
      <c r="B930" s="26" t="s">
        <v>989</v>
      </c>
      <c r="C930" s="26" t="s">
        <v>1247</v>
      </c>
      <c r="D930" s="26" t="s">
        <v>1076</v>
      </c>
      <c r="E930" s="26">
        <v>305</v>
      </c>
      <c r="F930" s="26">
        <v>301.88294999999999</v>
      </c>
      <c r="G930" s="26">
        <v>-3.1170500000000061</v>
      </c>
      <c r="H930" s="26">
        <v>3.1170500000000061</v>
      </c>
      <c r="I930" s="26" t="s">
        <v>1230</v>
      </c>
      <c r="J930" s="26" t="s">
        <v>1231</v>
      </c>
      <c r="K930" s="26" t="b">
        <v>0</v>
      </c>
      <c r="L930" s="26">
        <v>3</v>
      </c>
    </row>
    <row r="931" spans="1:12" x14ac:dyDescent="0.25">
      <c r="A931" s="26" t="s">
        <v>997</v>
      </c>
      <c r="B931" s="26" t="s">
        <v>989</v>
      </c>
      <c r="C931" s="26" t="s">
        <v>1248</v>
      </c>
      <c r="D931" s="26" t="s">
        <v>1076</v>
      </c>
      <c r="E931" s="26">
        <v>204</v>
      </c>
      <c r="F931" s="26">
        <v>201.27521999999999</v>
      </c>
      <c r="G931" s="26">
        <v>-2.7247800000000102</v>
      </c>
      <c r="H931" s="26">
        <v>2.7247800000000102</v>
      </c>
      <c r="I931" s="26" t="s">
        <v>1230</v>
      </c>
      <c r="J931" s="26" t="s">
        <v>1231</v>
      </c>
      <c r="K931" s="26" t="b">
        <v>0</v>
      </c>
      <c r="L931" s="26">
        <v>4</v>
      </c>
    </row>
    <row r="932" spans="1:12" x14ac:dyDescent="0.25">
      <c r="A932" s="26" t="s">
        <v>998</v>
      </c>
      <c r="B932" s="26" t="s">
        <v>989</v>
      </c>
      <c r="C932" s="26" t="s">
        <v>1249</v>
      </c>
      <c r="D932" s="26" t="s">
        <v>1076</v>
      </c>
      <c r="E932" s="26">
        <v>292</v>
      </c>
      <c r="F932" s="26">
        <v>291.52</v>
      </c>
      <c r="G932" s="26">
        <v>-0.48000000000001819</v>
      </c>
      <c r="H932" s="26">
        <v>0.48000000000001819</v>
      </c>
      <c r="I932" s="26" t="s">
        <v>1230</v>
      </c>
      <c r="J932" s="26" t="s">
        <v>1231</v>
      </c>
      <c r="K932" s="26" t="b">
        <v>0</v>
      </c>
      <c r="L932" s="26">
        <v>5</v>
      </c>
    </row>
    <row r="933" spans="1:12" x14ac:dyDescent="0.25">
      <c r="A933" s="26" t="s">
        <v>999</v>
      </c>
      <c r="B933" s="26" t="s">
        <v>1000</v>
      </c>
      <c r="C933" s="26" t="s">
        <v>1238</v>
      </c>
      <c r="D933" s="26" t="s">
        <v>1076</v>
      </c>
      <c r="E933" s="26">
        <v>170</v>
      </c>
      <c r="F933" s="26">
        <v>168.77553</v>
      </c>
      <c r="G933" s="26">
        <v>-1.2244699999999971</v>
      </c>
      <c r="H933" s="26">
        <v>1.2244699999999971</v>
      </c>
      <c r="I933" s="26" t="s">
        <v>1230</v>
      </c>
      <c r="J933" s="26" t="s">
        <v>1231</v>
      </c>
      <c r="K933" s="26" t="b">
        <v>0</v>
      </c>
      <c r="L933" s="26">
        <v>1</v>
      </c>
    </row>
    <row r="934" spans="1:12" x14ac:dyDescent="0.25">
      <c r="A934" s="26" t="s">
        <v>1001</v>
      </c>
      <c r="B934" s="26" t="s">
        <v>1000</v>
      </c>
      <c r="C934" s="26" t="s">
        <v>1241</v>
      </c>
      <c r="D934" s="26" t="s">
        <v>1076</v>
      </c>
      <c r="E934" s="26">
        <v>266</v>
      </c>
      <c r="F934" s="26">
        <v>267.63</v>
      </c>
      <c r="G934" s="26">
        <v>1.629999999999995</v>
      </c>
      <c r="H934" s="26">
        <v>1.629999999999995</v>
      </c>
      <c r="I934" s="26" t="s">
        <v>1230</v>
      </c>
      <c r="J934" s="26" t="s">
        <v>1231</v>
      </c>
      <c r="K934" s="26" t="b">
        <v>0</v>
      </c>
      <c r="L934" s="26">
        <v>2</v>
      </c>
    </row>
    <row r="935" spans="1:12" x14ac:dyDescent="0.25">
      <c r="A935" s="26" t="s">
        <v>1002</v>
      </c>
      <c r="B935" s="26" t="s">
        <v>1000</v>
      </c>
      <c r="C935" s="26" t="s">
        <v>1242</v>
      </c>
      <c r="D935" s="26" t="s">
        <v>1076</v>
      </c>
      <c r="E935" s="26">
        <v>163</v>
      </c>
      <c r="F935" s="26">
        <v>165.43227000000019</v>
      </c>
      <c r="G935" s="26">
        <v>2.4322700000002442</v>
      </c>
      <c r="H935" s="26">
        <v>2.4322700000002442</v>
      </c>
      <c r="I935" s="26" t="s">
        <v>1230</v>
      </c>
      <c r="J935" s="26" t="s">
        <v>1231</v>
      </c>
      <c r="K935" s="26" t="b">
        <v>0</v>
      </c>
      <c r="L935" s="26">
        <v>3</v>
      </c>
    </row>
    <row r="936" spans="1:12" x14ac:dyDescent="0.25">
      <c r="A936" s="33" t="s">
        <v>1003</v>
      </c>
      <c r="B936" s="33" t="s">
        <v>1000</v>
      </c>
      <c r="C936" s="33" t="s">
        <v>1243</v>
      </c>
      <c r="D936" s="33" t="s">
        <v>1076</v>
      </c>
      <c r="E936" s="33">
        <v>407</v>
      </c>
      <c r="F936" s="33">
        <v>405.21983</v>
      </c>
      <c r="G936" s="33">
        <v>-1.780169999999998</v>
      </c>
      <c r="H936" s="33">
        <v>1.780169999999998</v>
      </c>
      <c r="I936" s="33" t="s">
        <v>1230</v>
      </c>
      <c r="J936" s="33" t="s">
        <v>1231</v>
      </c>
      <c r="K936" s="33" t="b">
        <v>1</v>
      </c>
      <c r="L936" s="33">
        <v>4</v>
      </c>
    </row>
    <row r="937" spans="1:12" x14ac:dyDescent="0.25">
      <c r="A937" s="26" t="s">
        <v>1004</v>
      </c>
      <c r="B937" s="26" t="s">
        <v>1000</v>
      </c>
      <c r="C937" s="26" t="s">
        <v>1244</v>
      </c>
      <c r="D937" s="26" t="s">
        <v>1076</v>
      </c>
      <c r="E937" s="26">
        <v>351</v>
      </c>
      <c r="F937" s="26">
        <v>349.52</v>
      </c>
      <c r="G937" s="26">
        <v>-1.480000000000018</v>
      </c>
      <c r="H937" s="26">
        <v>1.480000000000018</v>
      </c>
      <c r="I937" s="26" t="s">
        <v>1230</v>
      </c>
      <c r="J937" s="26" t="s">
        <v>1231</v>
      </c>
      <c r="K937" s="26" t="b">
        <v>0</v>
      </c>
      <c r="L937" s="26">
        <v>5</v>
      </c>
    </row>
    <row r="938" spans="1:12" x14ac:dyDescent="0.25">
      <c r="A938" s="26" t="s">
        <v>1005</v>
      </c>
      <c r="B938" s="26" t="s">
        <v>1000</v>
      </c>
      <c r="C938" s="26" t="s">
        <v>1245</v>
      </c>
      <c r="D938" s="26" t="s">
        <v>1076</v>
      </c>
      <c r="E938" s="26">
        <v>379</v>
      </c>
      <c r="F938" s="26">
        <v>378.15645999999992</v>
      </c>
      <c r="G938" s="26">
        <v>-0.84354000000007545</v>
      </c>
      <c r="H938" s="26">
        <v>0.84354000000007545</v>
      </c>
      <c r="I938" s="26" t="s">
        <v>1230</v>
      </c>
      <c r="J938" s="26" t="s">
        <v>1231</v>
      </c>
      <c r="K938" s="26" t="b">
        <v>0</v>
      </c>
      <c r="L938" s="26">
        <v>1</v>
      </c>
    </row>
    <row r="939" spans="1:12" x14ac:dyDescent="0.25">
      <c r="A939" s="26" t="s">
        <v>1006</v>
      </c>
      <c r="B939" s="26" t="s">
        <v>1000</v>
      </c>
      <c r="C939" s="26" t="s">
        <v>1246</v>
      </c>
      <c r="D939" s="26" t="s">
        <v>1076</v>
      </c>
      <c r="E939" s="26">
        <v>268</v>
      </c>
      <c r="F939" s="26">
        <v>267.52</v>
      </c>
      <c r="G939" s="26">
        <v>-0.48000000000001819</v>
      </c>
      <c r="H939" s="26">
        <v>0.48000000000001819</v>
      </c>
      <c r="I939" s="26" t="s">
        <v>1230</v>
      </c>
      <c r="J939" s="26" t="s">
        <v>1231</v>
      </c>
      <c r="K939" s="26" t="b">
        <v>0</v>
      </c>
      <c r="L939" s="26">
        <v>2</v>
      </c>
    </row>
    <row r="940" spans="1:12" x14ac:dyDescent="0.25">
      <c r="A940" s="26" t="s">
        <v>1007</v>
      </c>
      <c r="B940" s="26" t="s">
        <v>1000</v>
      </c>
      <c r="C940" s="26" t="s">
        <v>1247</v>
      </c>
      <c r="D940" s="26" t="s">
        <v>1076</v>
      </c>
      <c r="E940" s="26">
        <v>198</v>
      </c>
      <c r="F940" s="26">
        <v>195.51052999999999</v>
      </c>
      <c r="G940" s="26">
        <v>-2.489470000000011</v>
      </c>
      <c r="H940" s="26">
        <v>2.489470000000011</v>
      </c>
      <c r="I940" s="26" t="s">
        <v>1230</v>
      </c>
      <c r="J940" s="26" t="s">
        <v>1231</v>
      </c>
      <c r="K940" s="26" t="b">
        <v>0</v>
      </c>
      <c r="L940" s="26">
        <v>3</v>
      </c>
    </row>
    <row r="941" spans="1:12" x14ac:dyDescent="0.25">
      <c r="A941" s="26" t="s">
        <v>1008</v>
      </c>
      <c r="B941" s="26" t="s">
        <v>1000</v>
      </c>
      <c r="C941" s="26" t="s">
        <v>1248</v>
      </c>
      <c r="D941" s="26" t="s">
        <v>1076</v>
      </c>
      <c r="E941" s="26">
        <v>181</v>
      </c>
      <c r="F941" s="26">
        <v>181.52</v>
      </c>
      <c r="G941" s="26">
        <v>0.52000000000001023</v>
      </c>
      <c r="H941" s="26">
        <v>0.52000000000001023</v>
      </c>
      <c r="I941" s="26" t="s">
        <v>1230</v>
      </c>
      <c r="J941" s="26" t="s">
        <v>1231</v>
      </c>
      <c r="K941" s="26" t="b">
        <v>0</v>
      </c>
      <c r="L941" s="26">
        <v>4</v>
      </c>
    </row>
    <row r="942" spans="1:12" x14ac:dyDescent="0.25">
      <c r="A942" s="26" t="s">
        <v>1009</v>
      </c>
      <c r="B942" s="26" t="s">
        <v>1000</v>
      </c>
      <c r="C942" s="26" t="s">
        <v>1249</v>
      </c>
      <c r="D942" s="26" t="s">
        <v>1076</v>
      </c>
      <c r="E942" s="26">
        <v>309</v>
      </c>
      <c r="F942" s="26">
        <v>309.46861000000013</v>
      </c>
      <c r="G942" s="26">
        <v>0.46861000000012609</v>
      </c>
      <c r="H942" s="26">
        <v>0.46861000000012609</v>
      </c>
      <c r="I942" s="26" t="s">
        <v>1230</v>
      </c>
      <c r="J942" s="26" t="s">
        <v>1231</v>
      </c>
      <c r="K942" s="26" t="b">
        <v>0</v>
      </c>
      <c r="L942" s="26">
        <v>5</v>
      </c>
    </row>
    <row r="943" spans="1:12" x14ac:dyDescent="0.25">
      <c r="A943" s="26" t="s">
        <v>1010</v>
      </c>
      <c r="B943" s="26" t="s">
        <v>1011</v>
      </c>
      <c r="C943" s="26" t="s">
        <v>1238</v>
      </c>
      <c r="D943" s="26" t="s">
        <v>1076</v>
      </c>
      <c r="E943" s="26">
        <v>365</v>
      </c>
      <c r="F943" s="26">
        <v>360.73175000000037</v>
      </c>
      <c r="G943" s="26">
        <v>-4.2682499999996253</v>
      </c>
      <c r="H943" s="26">
        <v>4.2682499999996253</v>
      </c>
      <c r="I943" s="26" t="s">
        <v>1230</v>
      </c>
      <c r="J943" s="26" t="s">
        <v>1231</v>
      </c>
      <c r="K943" s="26" t="b">
        <v>0</v>
      </c>
      <c r="L943" s="26">
        <v>1</v>
      </c>
    </row>
    <row r="944" spans="1:12" x14ac:dyDescent="0.25">
      <c r="A944" s="26" t="s">
        <v>1012</v>
      </c>
      <c r="B944" s="26" t="s">
        <v>1011</v>
      </c>
      <c r="C944" s="26" t="s">
        <v>1241</v>
      </c>
      <c r="D944" s="26" t="s">
        <v>1076</v>
      </c>
      <c r="E944" s="26">
        <v>365</v>
      </c>
      <c r="F944" s="26">
        <v>364.77571000000012</v>
      </c>
      <c r="G944" s="26">
        <v>-0.22428999999988261</v>
      </c>
      <c r="H944" s="26">
        <v>0.22428999999988261</v>
      </c>
      <c r="I944" s="26" t="s">
        <v>1230</v>
      </c>
      <c r="J944" s="26" t="s">
        <v>1231</v>
      </c>
      <c r="K944" s="26" t="b">
        <v>0</v>
      </c>
      <c r="L944" s="26">
        <v>2</v>
      </c>
    </row>
    <row r="945" spans="1:12" x14ac:dyDescent="0.25">
      <c r="A945" s="26" t="s">
        <v>1013</v>
      </c>
      <c r="B945" s="26" t="s">
        <v>1011</v>
      </c>
      <c r="C945" s="26" t="s">
        <v>1242</v>
      </c>
      <c r="D945" s="26" t="s">
        <v>1076</v>
      </c>
      <c r="E945" s="26">
        <v>313</v>
      </c>
      <c r="F945" s="26">
        <v>312.52</v>
      </c>
      <c r="G945" s="26">
        <v>-0.48000000000001819</v>
      </c>
      <c r="H945" s="26">
        <v>0.48000000000001819</v>
      </c>
      <c r="I945" s="26" t="s">
        <v>1230</v>
      </c>
      <c r="J945" s="26" t="s">
        <v>1231</v>
      </c>
      <c r="K945" s="26" t="b">
        <v>0</v>
      </c>
      <c r="L945" s="26">
        <v>3</v>
      </c>
    </row>
    <row r="946" spans="1:12" x14ac:dyDescent="0.25">
      <c r="A946" s="26" t="s">
        <v>1014</v>
      </c>
      <c r="B946" s="26" t="s">
        <v>1011</v>
      </c>
      <c r="C946" s="26" t="s">
        <v>1243</v>
      </c>
      <c r="D946" s="26" t="s">
        <v>1076</v>
      </c>
      <c r="E946" s="26">
        <v>312</v>
      </c>
      <c r="F946" s="26">
        <v>312.67998999999992</v>
      </c>
      <c r="G946" s="26">
        <v>0.67998999999986154</v>
      </c>
      <c r="H946" s="26">
        <v>0.67998999999986154</v>
      </c>
      <c r="I946" s="26" t="s">
        <v>1230</v>
      </c>
      <c r="J946" s="26" t="s">
        <v>1231</v>
      </c>
      <c r="K946" s="26" t="b">
        <v>0</v>
      </c>
      <c r="L946" s="26">
        <v>4</v>
      </c>
    </row>
    <row r="947" spans="1:12" x14ac:dyDescent="0.25">
      <c r="A947" s="33" t="s">
        <v>1015</v>
      </c>
      <c r="B947" s="33" t="s">
        <v>1011</v>
      </c>
      <c r="C947" s="33" t="s">
        <v>1244</v>
      </c>
      <c r="D947" s="33" t="s">
        <v>1076</v>
      </c>
      <c r="E947" s="33">
        <v>460</v>
      </c>
      <c r="F947" s="33">
        <v>458.00011999999998</v>
      </c>
      <c r="G947" s="33">
        <v>-1.999880000000019</v>
      </c>
      <c r="H947" s="33">
        <v>1.999880000000019</v>
      </c>
      <c r="I947" s="33" t="s">
        <v>1230</v>
      </c>
      <c r="J947" s="33" t="s">
        <v>1231</v>
      </c>
      <c r="K947" s="33" t="b">
        <v>1</v>
      </c>
      <c r="L947" s="33">
        <v>5</v>
      </c>
    </row>
    <row r="948" spans="1:12" x14ac:dyDescent="0.25">
      <c r="A948" s="26" t="s">
        <v>1016</v>
      </c>
      <c r="B948" s="26" t="s">
        <v>1011</v>
      </c>
      <c r="C948" s="26" t="s">
        <v>1245</v>
      </c>
      <c r="D948" s="26" t="s">
        <v>1076</v>
      </c>
      <c r="E948" s="26">
        <v>268</v>
      </c>
      <c r="F948" s="26">
        <v>267.01155</v>
      </c>
      <c r="G948" s="26">
        <v>-0.98845000000000027</v>
      </c>
      <c r="H948" s="26">
        <v>0.98845000000000027</v>
      </c>
      <c r="I948" s="26" t="s">
        <v>1230</v>
      </c>
      <c r="J948" s="26" t="s">
        <v>1231</v>
      </c>
      <c r="K948" s="26" t="b">
        <v>0</v>
      </c>
      <c r="L948" s="26">
        <v>1</v>
      </c>
    </row>
    <row r="949" spans="1:12" x14ac:dyDescent="0.25">
      <c r="A949" s="26" t="s">
        <v>1017</v>
      </c>
      <c r="B949" s="26" t="s">
        <v>1011</v>
      </c>
      <c r="C949" s="26" t="s">
        <v>1246</v>
      </c>
      <c r="D949" s="26" t="s">
        <v>1076</v>
      </c>
      <c r="E949" s="26">
        <v>232</v>
      </c>
      <c r="F949" s="26">
        <v>228.35153000000011</v>
      </c>
      <c r="G949" s="26">
        <v>-3.6484699999998611</v>
      </c>
      <c r="H949" s="26">
        <v>3.6484699999998611</v>
      </c>
      <c r="I949" s="26" t="s">
        <v>1230</v>
      </c>
      <c r="J949" s="26" t="s">
        <v>1231</v>
      </c>
      <c r="K949" s="26" t="b">
        <v>0</v>
      </c>
      <c r="L949" s="26">
        <v>2</v>
      </c>
    </row>
    <row r="950" spans="1:12" x14ac:dyDescent="0.25">
      <c r="A950" s="26" t="s">
        <v>1018</v>
      </c>
      <c r="B950" s="26" t="s">
        <v>1011</v>
      </c>
      <c r="C950" s="26" t="s">
        <v>1247</v>
      </c>
      <c r="D950" s="26" t="s">
        <v>1076</v>
      </c>
      <c r="E950" s="26">
        <v>214</v>
      </c>
      <c r="F950" s="26">
        <v>209.52347</v>
      </c>
      <c r="G950" s="26">
        <v>-4.4765299999999968</v>
      </c>
      <c r="H950" s="26">
        <v>4.4765299999999968</v>
      </c>
      <c r="I950" s="26" t="s">
        <v>1230</v>
      </c>
      <c r="J950" s="26" t="s">
        <v>1231</v>
      </c>
      <c r="K950" s="26" t="b">
        <v>0</v>
      </c>
      <c r="L950" s="26">
        <v>3</v>
      </c>
    </row>
    <row r="951" spans="1:12" x14ac:dyDescent="0.25">
      <c r="A951" s="26" t="s">
        <v>1019</v>
      </c>
      <c r="B951" s="26" t="s">
        <v>1011</v>
      </c>
      <c r="C951" s="26" t="s">
        <v>1248</v>
      </c>
      <c r="D951" s="26" t="s">
        <v>1076</v>
      </c>
      <c r="E951" s="26">
        <v>166</v>
      </c>
      <c r="F951" s="26">
        <v>170.30881000000019</v>
      </c>
      <c r="G951" s="26">
        <v>4.3088100000002214</v>
      </c>
      <c r="H951" s="26">
        <v>4.3088100000002214</v>
      </c>
      <c r="I951" s="26" t="s">
        <v>1230</v>
      </c>
      <c r="J951" s="26" t="s">
        <v>1231</v>
      </c>
      <c r="K951" s="26" t="b">
        <v>0</v>
      </c>
      <c r="L951" s="26">
        <v>4</v>
      </c>
    </row>
    <row r="952" spans="1:12" x14ac:dyDescent="0.25">
      <c r="A952" s="26" t="s">
        <v>1020</v>
      </c>
      <c r="B952" s="26" t="s">
        <v>1011</v>
      </c>
      <c r="C952" s="26" t="s">
        <v>1249</v>
      </c>
      <c r="D952" s="26" t="s">
        <v>1076</v>
      </c>
      <c r="E952" s="26">
        <v>361</v>
      </c>
      <c r="F952" s="26">
        <v>359.72271000000001</v>
      </c>
      <c r="G952" s="26">
        <v>-1.277289999999994</v>
      </c>
      <c r="H952" s="26">
        <v>1.277289999999994</v>
      </c>
      <c r="I952" s="26" t="s">
        <v>1230</v>
      </c>
      <c r="J952" s="26" t="s">
        <v>1231</v>
      </c>
      <c r="K952" s="26" t="b">
        <v>0</v>
      </c>
      <c r="L952" s="26">
        <v>5</v>
      </c>
    </row>
    <row r="953" spans="1:12" x14ac:dyDescent="0.25">
      <c r="A953" s="26" t="s">
        <v>1021</v>
      </c>
      <c r="B953" s="26" t="s">
        <v>1022</v>
      </c>
      <c r="C953" s="26" t="s">
        <v>1238</v>
      </c>
      <c r="D953" s="26" t="s">
        <v>1076</v>
      </c>
      <c r="E953" s="26">
        <v>184</v>
      </c>
      <c r="F953" s="26">
        <v>184.58161000000021</v>
      </c>
      <c r="G953" s="26">
        <v>0.58161000000018248</v>
      </c>
      <c r="H953" s="26">
        <v>0.58161000000018248</v>
      </c>
      <c r="I953" s="26" t="s">
        <v>1230</v>
      </c>
      <c r="J953" s="26" t="s">
        <v>1231</v>
      </c>
      <c r="K953" s="26" t="b">
        <v>0</v>
      </c>
      <c r="L953" s="26">
        <v>1</v>
      </c>
    </row>
    <row r="954" spans="1:12" x14ac:dyDescent="0.25">
      <c r="A954" s="26" t="s">
        <v>1023</v>
      </c>
      <c r="B954" s="26" t="s">
        <v>1022</v>
      </c>
      <c r="C954" s="26" t="s">
        <v>1241</v>
      </c>
      <c r="D954" s="26" t="s">
        <v>1076</v>
      </c>
      <c r="E954" s="26">
        <v>240</v>
      </c>
      <c r="F954" s="26">
        <v>239.96821</v>
      </c>
      <c r="G954" s="26">
        <v>-3.1790000000000873E-2</v>
      </c>
      <c r="H954" s="26">
        <v>3.1790000000000873E-2</v>
      </c>
      <c r="I954" s="26" t="s">
        <v>1230</v>
      </c>
      <c r="J954" s="26" t="s">
        <v>1231</v>
      </c>
      <c r="K954" s="26" t="b">
        <v>0</v>
      </c>
      <c r="L954" s="26">
        <v>2</v>
      </c>
    </row>
    <row r="955" spans="1:12" x14ac:dyDescent="0.25">
      <c r="A955" s="26" t="s">
        <v>1024</v>
      </c>
      <c r="B955" s="26" t="s">
        <v>1022</v>
      </c>
      <c r="C955" s="26" t="s">
        <v>1242</v>
      </c>
      <c r="D955" s="26" t="s">
        <v>1076</v>
      </c>
      <c r="E955" s="26">
        <v>337</v>
      </c>
      <c r="F955" s="26">
        <v>335.68583999999998</v>
      </c>
      <c r="G955" s="26">
        <v>-1.3141600000000151</v>
      </c>
      <c r="H955" s="26">
        <v>1.3141600000000151</v>
      </c>
      <c r="I955" s="26" t="s">
        <v>1230</v>
      </c>
      <c r="J955" s="26" t="s">
        <v>1231</v>
      </c>
      <c r="K955" s="26" t="b">
        <v>0</v>
      </c>
      <c r="L955" s="26">
        <v>3</v>
      </c>
    </row>
    <row r="956" spans="1:12" x14ac:dyDescent="0.25">
      <c r="A956" s="26" t="s">
        <v>1025</v>
      </c>
      <c r="B956" s="26" t="s">
        <v>1022</v>
      </c>
      <c r="C956" s="26" t="s">
        <v>1243</v>
      </c>
      <c r="D956" s="26" t="s">
        <v>1076</v>
      </c>
      <c r="E956" s="26">
        <v>260</v>
      </c>
      <c r="F956" s="26">
        <v>256.46985000000001</v>
      </c>
      <c r="G956" s="26">
        <v>-3.5301499999999919</v>
      </c>
      <c r="H956" s="26">
        <v>3.5301499999999919</v>
      </c>
      <c r="I956" s="26" t="s">
        <v>1230</v>
      </c>
      <c r="J956" s="26" t="s">
        <v>1231</v>
      </c>
      <c r="K956" s="26" t="b">
        <v>0</v>
      </c>
      <c r="L956" s="26">
        <v>4</v>
      </c>
    </row>
    <row r="957" spans="1:12" x14ac:dyDescent="0.25">
      <c r="A957" s="33" t="s">
        <v>1026</v>
      </c>
      <c r="B957" s="33" t="s">
        <v>1022</v>
      </c>
      <c r="C957" s="33" t="s">
        <v>1244</v>
      </c>
      <c r="D957" s="33" t="s">
        <v>1076</v>
      </c>
      <c r="E957" s="33">
        <v>475</v>
      </c>
      <c r="F957" s="33">
        <v>476.55281000000002</v>
      </c>
      <c r="G957" s="33">
        <v>1.552810000000022</v>
      </c>
      <c r="H957" s="33">
        <v>1.552810000000022</v>
      </c>
      <c r="I957" s="33" t="s">
        <v>1230</v>
      </c>
      <c r="J957" s="33" t="s">
        <v>1231</v>
      </c>
      <c r="K957" s="33" t="b">
        <v>1</v>
      </c>
      <c r="L957" s="33">
        <v>5</v>
      </c>
    </row>
    <row r="958" spans="1:12" x14ac:dyDescent="0.25">
      <c r="A958" s="26" t="s">
        <v>1027</v>
      </c>
      <c r="B958" s="26" t="s">
        <v>1022</v>
      </c>
      <c r="C958" s="26" t="s">
        <v>1245</v>
      </c>
      <c r="D958" s="26" t="s">
        <v>1076</v>
      </c>
      <c r="E958" s="26">
        <v>281</v>
      </c>
      <c r="F958" s="26">
        <v>283.82153</v>
      </c>
      <c r="G958" s="26">
        <v>2.8215299999999961</v>
      </c>
      <c r="H958" s="26">
        <v>2.8215299999999961</v>
      </c>
      <c r="I958" s="26" t="s">
        <v>1230</v>
      </c>
      <c r="J958" s="26" t="s">
        <v>1231</v>
      </c>
      <c r="K958" s="26" t="b">
        <v>0</v>
      </c>
      <c r="L958" s="26">
        <v>1</v>
      </c>
    </row>
    <row r="959" spans="1:12" x14ac:dyDescent="0.25">
      <c r="A959" s="26" t="s">
        <v>1028</v>
      </c>
      <c r="B959" s="26" t="s">
        <v>1022</v>
      </c>
      <c r="C959" s="26" t="s">
        <v>1246</v>
      </c>
      <c r="D959" s="26" t="s">
        <v>1076</v>
      </c>
      <c r="E959" s="26">
        <v>235</v>
      </c>
      <c r="F959" s="26">
        <v>235.66634000000019</v>
      </c>
      <c r="G959" s="26">
        <v>0.66634000000021842</v>
      </c>
      <c r="H959" s="26">
        <v>0.66634000000021842</v>
      </c>
      <c r="I959" s="26" t="s">
        <v>1230</v>
      </c>
      <c r="J959" s="26" t="s">
        <v>1231</v>
      </c>
      <c r="K959" s="26" t="b">
        <v>0</v>
      </c>
      <c r="L959" s="26">
        <v>2</v>
      </c>
    </row>
    <row r="960" spans="1:12" x14ac:dyDescent="0.25">
      <c r="A960" s="26" t="s">
        <v>1029</v>
      </c>
      <c r="B960" s="26" t="s">
        <v>1022</v>
      </c>
      <c r="C960" s="26" t="s">
        <v>1247</v>
      </c>
      <c r="D960" s="26" t="s">
        <v>1076</v>
      </c>
      <c r="E960" s="26">
        <v>313</v>
      </c>
      <c r="F960" s="26">
        <v>310.89783999999997</v>
      </c>
      <c r="G960" s="26">
        <v>-2.1021600000000258</v>
      </c>
      <c r="H960" s="26">
        <v>2.1021600000000258</v>
      </c>
      <c r="I960" s="26" t="s">
        <v>1230</v>
      </c>
      <c r="J960" s="26" t="s">
        <v>1231</v>
      </c>
      <c r="K960" s="26" t="b">
        <v>0</v>
      </c>
      <c r="L960" s="26">
        <v>3</v>
      </c>
    </row>
    <row r="961" spans="1:12" x14ac:dyDescent="0.25">
      <c r="A961" s="26" t="s">
        <v>1030</v>
      </c>
      <c r="B961" s="26" t="s">
        <v>1022</v>
      </c>
      <c r="C961" s="26" t="s">
        <v>1248</v>
      </c>
      <c r="D961" s="26" t="s">
        <v>1076</v>
      </c>
      <c r="E961" s="26">
        <v>235</v>
      </c>
      <c r="F961" s="26">
        <v>239.18606</v>
      </c>
      <c r="G961" s="26">
        <v>4.1860599999999977</v>
      </c>
      <c r="H961" s="26">
        <v>4.1860599999999977</v>
      </c>
      <c r="I961" s="26" t="s">
        <v>1230</v>
      </c>
      <c r="J961" s="26" t="s">
        <v>1231</v>
      </c>
      <c r="K961" s="26" t="b">
        <v>0</v>
      </c>
      <c r="L961" s="26">
        <v>4</v>
      </c>
    </row>
    <row r="962" spans="1:12" x14ac:dyDescent="0.25">
      <c r="A962" s="26" t="s">
        <v>1031</v>
      </c>
      <c r="B962" s="26" t="s">
        <v>1022</v>
      </c>
      <c r="C962" s="26" t="s">
        <v>1249</v>
      </c>
      <c r="D962" s="26" t="s">
        <v>1076</v>
      </c>
      <c r="E962" s="26">
        <v>266</v>
      </c>
      <c r="F962" s="26">
        <v>265.1764</v>
      </c>
      <c r="G962" s="26">
        <v>-0.823599999999999</v>
      </c>
      <c r="H962" s="26">
        <v>0.823599999999999</v>
      </c>
      <c r="I962" s="26" t="s">
        <v>1230</v>
      </c>
      <c r="J962" s="26" t="s">
        <v>1231</v>
      </c>
      <c r="K962" s="26" t="b">
        <v>0</v>
      </c>
      <c r="L962" s="26">
        <v>5</v>
      </c>
    </row>
    <row r="963" spans="1:12" x14ac:dyDescent="0.25">
      <c r="A963" s="26" t="s">
        <v>1032</v>
      </c>
      <c r="B963" s="26" t="s">
        <v>1033</v>
      </c>
      <c r="C963" s="26" t="s">
        <v>1238</v>
      </c>
      <c r="D963" s="26" t="s">
        <v>1076</v>
      </c>
      <c r="E963" s="26">
        <v>302</v>
      </c>
      <c r="F963" s="26">
        <v>301.89</v>
      </c>
      <c r="G963" s="26">
        <v>-0.1100000000000136</v>
      </c>
      <c r="H963" s="26">
        <v>0.1100000000000136</v>
      </c>
      <c r="I963" s="26" t="s">
        <v>1230</v>
      </c>
      <c r="J963" s="26" t="s">
        <v>1231</v>
      </c>
      <c r="K963" s="26" t="b">
        <v>0</v>
      </c>
      <c r="L963" s="26">
        <v>1</v>
      </c>
    </row>
    <row r="964" spans="1:12" x14ac:dyDescent="0.25">
      <c r="A964" s="33" t="s">
        <v>1034</v>
      </c>
      <c r="B964" s="33" t="s">
        <v>1033</v>
      </c>
      <c r="C964" s="33" t="s">
        <v>1241</v>
      </c>
      <c r="D964" s="33" t="s">
        <v>1076</v>
      </c>
      <c r="E964" s="33">
        <v>402</v>
      </c>
      <c r="F964" s="33">
        <v>400.9334700000004</v>
      </c>
      <c r="G964" s="33">
        <v>-1.0665299999996021</v>
      </c>
      <c r="H964" s="33">
        <v>1.0665299999996021</v>
      </c>
      <c r="I964" s="33" t="s">
        <v>1230</v>
      </c>
      <c r="J964" s="33" t="s">
        <v>1231</v>
      </c>
      <c r="K964" s="33" t="b">
        <v>1</v>
      </c>
      <c r="L964" s="33">
        <v>2</v>
      </c>
    </row>
    <row r="965" spans="1:12" x14ac:dyDescent="0.25">
      <c r="A965" s="26" t="s">
        <v>1035</v>
      </c>
      <c r="B965" s="26" t="s">
        <v>1033</v>
      </c>
      <c r="C965" s="26" t="s">
        <v>1242</v>
      </c>
      <c r="D965" s="26" t="s">
        <v>1076</v>
      </c>
      <c r="E965" s="26">
        <v>208</v>
      </c>
      <c r="F965" s="26">
        <v>204.43555000000001</v>
      </c>
      <c r="G965" s="26">
        <v>-3.5644499999999941</v>
      </c>
      <c r="H965" s="26">
        <v>3.5644499999999941</v>
      </c>
      <c r="I965" s="26" t="s">
        <v>1230</v>
      </c>
      <c r="J965" s="26" t="s">
        <v>1231</v>
      </c>
      <c r="K965" s="26" t="b">
        <v>0</v>
      </c>
      <c r="L965" s="26">
        <v>3</v>
      </c>
    </row>
    <row r="966" spans="1:12" x14ac:dyDescent="0.25">
      <c r="A966" s="26" t="s">
        <v>1036</v>
      </c>
      <c r="B966" s="26" t="s">
        <v>1033</v>
      </c>
      <c r="C966" s="26" t="s">
        <v>1243</v>
      </c>
      <c r="D966" s="26" t="s">
        <v>1076</v>
      </c>
      <c r="E966" s="26">
        <v>323</v>
      </c>
      <c r="F966" s="26">
        <v>320.53003000000012</v>
      </c>
      <c r="G966" s="26">
        <v>-2.4699699999998761</v>
      </c>
      <c r="H966" s="26">
        <v>2.4699699999998761</v>
      </c>
      <c r="I966" s="26" t="s">
        <v>1230</v>
      </c>
      <c r="J966" s="26" t="s">
        <v>1231</v>
      </c>
      <c r="K966" s="26" t="b">
        <v>0</v>
      </c>
      <c r="L966" s="26">
        <v>4</v>
      </c>
    </row>
    <row r="967" spans="1:12" x14ac:dyDescent="0.25">
      <c r="A967" s="26" t="s">
        <v>1037</v>
      </c>
      <c r="B967" s="26" t="s">
        <v>1033</v>
      </c>
      <c r="C967" s="26" t="s">
        <v>1244</v>
      </c>
      <c r="D967" s="26" t="s">
        <v>1076</v>
      </c>
      <c r="E967" s="26">
        <v>365</v>
      </c>
      <c r="F967" s="26">
        <v>366.02458000000019</v>
      </c>
      <c r="G967" s="26">
        <v>1.0245800000002421</v>
      </c>
      <c r="H967" s="26">
        <v>1.0245800000002421</v>
      </c>
      <c r="I967" s="26" t="s">
        <v>1230</v>
      </c>
      <c r="J967" s="26" t="s">
        <v>1231</v>
      </c>
      <c r="K967" s="26" t="b">
        <v>0</v>
      </c>
      <c r="L967" s="26">
        <v>5</v>
      </c>
    </row>
    <row r="968" spans="1:12" x14ac:dyDescent="0.25">
      <c r="A968" s="26" t="s">
        <v>1038</v>
      </c>
      <c r="B968" s="26" t="s">
        <v>1033</v>
      </c>
      <c r="C968" s="26" t="s">
        <v>1245</v>
      </c>
      <c r="D968" s="26" t="s">
        <v>1076</v>
      </c>
      <c r="E968" s="26">
        <v>231</v>
      </c>
      <c r="F968" s="26">
        <v>232.5144300000002</v>
      </c>
      <c r="G968" s="26">
        <v>1.5144300000001749</v>
      </c>
      <c r="H968" s="26">
        <v>1.5144300000001749</v>
      </c>
      <c r="I968" s="26" t="s">
        <v>1230</v>
      </c>
      <c r="J968" s="26" t="s">
        <v>1231</v>
      </c>
      <c r="K968" s="26" t="b">
        <v>0</v>
      </c>
      <c r="L968" s="26">
        <v>1</v>
      </c>
    </row>
    <row r="969" spans="1:12" x14ac:dyDescent="0.25">
      <c r="A969" s="26" t="s">
        <v>1039</v>
      </c>
      <c r="B969" s="26" t="s">
        <v>1033</v>
      </c>
      <c r="C969" s="26" t="s">
        <v>1246</v>
      </c>
      <c r="D969" s="26" t="s">
        <v>1076</v>
      </c>
      <c r="E969" s="26">
        <v>291</v>
      </c>
      <c r="F969" s="26">
        <v>289.78856000000002</v>
      </c>
      <c r="G969" s="26">
        <v>-1.2114399999999821</v>
      </c>
      <c r="H969" s="26">
        <v>1.2114399999999821</v>
      </c>
      <c r="I969" s="26" t="s">
        <v>1230</v>
      </c>
      <c r="J969" s="26" t="s">
        <v>1231</v>
      </c>
      <c r="K969" s="26" t="b">
        <v>0</v>
      </c>
      <c r="L969" s="26">
        <v>2</v>
      </c>
    </row>
    <row r="970" spans="1:12" x14ac:dyDescent="0.25">
      <c r="A970" s="26" t="s">
        <v>1040</v>
      </c>
      <c r="B970" s="26" t="s">
        <v>1033</v>
      </c>
      <c r="C970" s="26" t="s">
        <v>1247</v>
      </c>
      <c r="D970" s="26" t="s">
        <v>1076</v>
      </c>
      <c r="E970" s="26">
        <v>238</v>
      </c>
      <c r="F970" s="26">
        <v>237.73033000000001</v>
      </c>
      <c r="G970" s="26">
        <v>-0.26966999999999081</v>
      </c>
      <c r="H970" s="26">
        <v>0.26966999999999081</v>
      </c>
      <c r="I970" s="26" t="s">
        <v>1230</v>
      </c>
      <c r="J970" s="26" t="s">
        <v>1231</v>
      </c>
      <c r="K970" s="26" t="b">
        <v>0</v>
      </c>
      <c r="L970" s="26">
        <v>3</v>
      </c>
    </row>
    <row r="971" spans="1:12" x14ac:dyDescent="0.25">
      <c r="A971" s="26" t="s">
        <v>1041</v>
      </c>
      <c r="B971" s="26" t="s">
        <v>1033</v>
      </c>
      <c r="C971" s="26" t="s">
        <v>1248</v>
      </c>
      <c r="D971" s="26" t="s">
        <v>1076</v>
      </c>
      <c r="E971" s="26">
        <v>382</v>
      </c>
      <c r="F971" s="26">
        <v>384.77960999999999</v>
      </c>
      <c r="G971" s="26">
        <v>2.779609999999991</v>
      </c>
      <c r="H971" s="26">
        <v>2.779609999999991</v>
      </c>
      <c r="I971" s="26" t="s">
        <v>1230</v>
      </c>
      <c r="J971" s="26" t="s">
        <v>1231</v>
      </c>
      <c r="K971" s="26" t="b">
        <v>0</v>
      </c>
      <c r="L971" s="26">
        <v>4</v>
      </c>
    </row>
    <row r="972" spans="1:12" x14ac:dyDescent="0.25">
      <c r="A972" s="26" t="s">
        <v>1042</v>
      </c>
      <c r="B972" s="26" t="s">
        <v>1033</v>
      </c>
      <c r="C972" s="26" t="s">
        <v>1249</v>
      </c>
      <c r="D972" s="26" t="s">
        <v>1076</v>
      </c>
      <c r="E972" s="26">
        <v>225</v>
      </c>
      <c r="F972" s="26">
        <v>229.07615999999999</v>
      </c>
      <c r="G972" s="26">
        <v>4.0761599999999873</v>
      </c>
      <c r="H972" s="26">
        <v>4.0761599999999873</v>
      </c>
      <c r="I972" s="26" t="s">
        <v>1230</v>
      </c>
      <c r="J972" s="26" t="s">
        <v>1231</v>
      </c>
      <c r="K972" s="26" t="b">
        <v>0</v>
      </c>
      <c r="L972" s="26">
        <v>5</v>
      </c>
    </row>
    <row r="973" spans="1:12" x14ac:dyDescent="0.25">
      <c r="A973" s="26" t="s">
        <v>1043</v>
      </c>
      <c r="B973" s="26" t="s">
        <v>1044</v>
      </c>
      <c r="C973" s="26" t="s">
        <v>1238</v>
      </c>
      <c r="D973" s="26" t="s">
        <v>1076</v>
      </c>
      <c r="E973" s="26">
        <v>305</v>
      </c>
      <c r="F973" s="26">
        <v>307.26822000000021</v>
      </c>
      <c r="G973" s="26">
        <v>2.2682200000001558</v>
      </c>
      <c r="H973" s="26">
        <v>2.2682200000001558</v>
      </c>
      <c r="I973" s="26" t="s">
        <v>1230</v>
      </c>
      <c r="J973" s="26" t="s">
        <v>1231</v>
      </c>
      <c r="K973" s="26" t="b">
        <v>0</v>
      </c>
      <c r="L973" s="26">
        <v>1</v>
      </c>
    </row>
    <row r="974" spans="1:12" x14ac:dyDescent="0.25">
      <c r="A974" s="26" t="s">
        <v>1045</v>
      </c>
      <c r="B974" s="26" t="s">
        <v>1044</v>
      </c>
      <c r="C974" s="26" t="s">
        <v>1241</v>
      </c>
      <c r="D974" s="26" t="s">
        <v>1076</v>
      </c>
      <c r="E974" s="26">
        <v>247</v>
      </c>
      <c r="F974" s="26">
        <v>247.61</v>
      </c>
      <c r="G974" s="26">
        <v>0.61000000000001364</v>
      </c>
      <c r="H974" s="26">
        <v>0.61000000000001364</v>
      </c>
      <c r="I974" s="26" t="s">
        <v>1230</v>
      </c>
      <c r="J974" s="26" t="s">
        <v>1231</v>
      </c>
      <c r="K974" s="26" t="b">
        <v>0</v>
      </c>
      <c r="L974" s="26">
        <v>2</v>
      </c>
    </row>
    <row r="975" spans="1:12" x14ac:dyDescent="0.25">
      <c r="A975" s="26" t="s">
        <v>1046</v>
      </c>
      <c r="B975" s="26" t="s">
        <v>1044</v>
      </c>
      <c r="C975" s="26" t="s">
        <v>1242</v>
      </c>
      <c r="D975" s="26" t="s">
        <v>1076</v>
      </c>
      <c r="E975" s="26">
        <v>291</v>
      </c>
      <c r="F975" s="26">
        <v>289.06783000000001</v>
      </c>
      <c r="G975" s="26">
        <v>-1.9321699999999851</v>
      </c>
      <c r="H975" s="26">
        <v>1.9321699999999851</v>
      </c>
      <c r="I975" s="26" t="s">
        <v>1230</v>
      </c>
      <c r="J975" s="26" t="s">
        <v>1231</v>
      </c>
      <c r="K975" s="26" t="b">
        <v>0</v>
      </c>
      <c r="L975" s="26">
        <v>3</v>
      </c>
    </row>
    <row r="976" spans="1:12" x14ac:dyDescent="0.25">
      <c r="A976" s="26" t="s">
        <v>1047</v>
      </c>
      <c r="B976" s="26" t="s">
        <v>1044</v>
      </c>
      <c r="C976" s="26" t="s">
        <v>1243</v>
      </c>
      <c r="D976" s="26" t="s">
        <v>1076</v>
      </c>
      <c r="E976" s="26">
        <v>263</v>
      </c>
      <c r="F976" s="26">
        <v>262.51</v>
      </c>
      <c r="G976" s="26">
        <v>-0.49000000000000909</v>
      </c>
      <c r="H976" s="26">
        <v>0.49000000000000909</v>
      </c>
      <c r="I976" s="26" t="s">
        <v>1230</v>
      </c>
      <c r="J976" s="26" t="s">
        <v>1231</v>
      </c>
      <c r="K976" s="26" t="b">
        <v>0</v>
      </c>
      <c r="L976" s="26">
        <v>4</v>
      </c>
    </row>
    <row r="977" spans="1:12" x14ac:dyDescent="0.25">
      <c r="A977" s="26" t="s">
        <v>1048</v>
      </c>
      <c r="B977" s="26" t="s">
        <v>1044</v>
      </c>
      <c r="C977" s="26" t="s">
        <v>1244</v>
      </c>
      <c r="D977" s="26" t="s">
        <v>1076</v>
      </c>
      <c r="E977" s="26">
        <v>151</v>
      </c>
      <c r="F977" s="26">
        <v>149.51</v>
      </c>
      <c r="G977" s="26">
        <v>-1.4900000000000091</v>
      </c>
      <c r="H977" s="26">
        <v>1.4900000000000091</v>
      </c>
      <c r="I977" s="26" t="s">
        <v>1230</v>
      </c>
      <c r="J977" s="26" t="s">
        <v>1231</v>
      </c>
      <c r="K977" s="26" t="b">
        <v>0</v>
      </c>
      <c r="L977" s="26">
        <v>5</v>
      </c>
    </row>
    <row r="978" spans="1:12" x14ac:dyDescent="0.25">
      <c r="A978" s="26" t="s">
        <v>1049</v>
      </c>
      <c r="B978" s="26" t="s">
        <v>1044</v>
      </c>
      <c r="C978" s="26" t="s">
        <v>1245</v>
      </c>
      <c r="D978" s="26" t="s">
        <v>1076</v>
      </c>
      <c r="E978" s="26">
        <v>289</v>
      </c>
      <c r="F978" s="26">
        <v>290.85450000000009</v>
      </c>
      <c r="G978" s="26">
        <v>1.8545000000001439</v>
      </c>
      <c r="H978" s="26">
        <v>1.8545000000001439</v>
      </c>
      <c r="I978" s="26" t="s">
        <v>1230</v>
      </c>
      <c r="J978" s="26" t="s">
        <v>1231</v>
      </c>
      <c r="K978" s="26" t="b">
        <v>0</v>
      </c>
      <c r="L978" s="26">
        <v>1</v>
      </c>
    </row>
    <row r="979" spans="1:12" x14ac:dyDescent="0.25">
      <c r="A979" s="26" t="s">
        <v>1050</v>
      </c>
      <c r="B979" s="26" t="s">
        <v>1044</v>
      </c>
      <c r="C979" s="26" t="s">
        <v>1246</v>
      </c>
      <c r="D979" s="26" t="s">
        <v>1076</v>
      </c>
      <c r="E979" s="26">
        <v>238</v>
      </c>
      <c r="F979" s="26">
        <v>236.03867</v>
      </c>
      <c r="G979" s="26">
        <v>-1.961330000000004</v>
      </c>
      <c r="H979" s="26">
        <v>1.961330000000004</v>
      </c>
      <c r="I979" s="26" t="s">
        <v>1230</v>
      </c>
      <c r="J979" s="26" t="s">
        <v>1231</v>
      </c>
      <c r="K979" s="26" t="b">
        <v>0</v>
      </c>
      <c r="L979" s="26">
        <v>2</v>
      </c>
    </row>
    <row r="980" spans="1:12" x14ac:dyDescent="0.25">
      <c r="A980" s="26" t="s">
        <v>1051</v>
      </c>
      <c r="B980" s="26" t="s">
        <v>1044</v>
      </c>
      <c r="C980" s="26" t="s">
        <v>1247</v>
      </c>
      <c r="D980" s="26" t="s">
        <v>1076</v>
      </c>
      <c r="E980" s="26">
        <v>289</v>
      </c>
      <c r="F980" s="26">
        <v>286.27531000000022</v>
      </c>
      <c r="G980" s="26">
        <v>-2.7246899999997818</v>
      </c>
      <c r="H980" s="26">
        <v>2.7246899999997818</v>
      </c>
      <c r="I980" s="26" t="s">
        <v>1230</v>
      </c>
      <c r="J980" s="26" t="s">
        <v>1231</v>
      </c>
      <c r="K980" s="26" t="b">
        <v>0</v>
      </c>
      <c r="L980" s="26">
        <v>3</v>
      </c>
    </row>
    <row r="981" spans="1:12" x14ac:dyDescent="0.25">
      <c r="A981" s="26" t="s">
        <v>1052</v>
      </c>
      <c r="B981" s="26" t="s">
        <v>1044</v>
      </c>
      <c r="C981" s="26" t="s">
        <v>1248</v>
      </c>
      <c r="D981" s="26" t="s">
        <v>1076</v>
      </c>
      <c r="E981" s="26">
        <v>389</v>
      </c>
      <c r="F981" s="26">
        <v>388.52</v>
      </c>
      <c r="G981" s="26">
        <v>-0.48000000000001819</v>
      </c>
      <c r="H981" s="26">
        <v>0.48000000000001819</v>
      </c>
      <c r="I981" s="26" t="s">
        <v>1230</v>
      </c>
      <c r="J981" s="26" t="s">
        <v>1231</v>
      </c>
      <c r="K981" s="26" t="b">
        <v>0</v>
      </c>
      <c r="L981" s="26">
        <v>4</v>
      </c>
    </row>
    <row r="982" spans="1:12" x14ac:dyDescent="0.25">
      <c r="A982" s="26" t="s">
        <v>1053</v>
      </c>
      <c r="B982" s="26" t="s">
        <v>1044</v>
      </c>
      <c r="C982" s="26" t="s">
        <v>1249</v>
      </c>
      <c r="D982" s="26" t="s">
        <v>1076</v>
      </c>
      <c r="E982" s="26">
        <v>284</v>
      </c>
      <c r="F982" s="26">
        <v>283.14</v>
      </c>
      <c r="G982" s="26">
        <v>-0.86000000000001364</v>
      </c>
      <c r="H982" s="26">
        <v>0.86000000000001364</v>
      </c>
      <c r="I982" s="26" t="s">
        <v>1230</v>
      </c>
      <c r="J982" s="26" t="s">
        <v>1231</v>
      </c>
      <c r="K982" s="26" t="b">
        <v>0</v>
      </c>
      <c r="L982" s="26">
        <v>5</v>
      </c>
    </row>
    <row r="983" spans="1:12" x14ac:dyDescent="0.25">
      <c r="A983" s="26" t="s">
        <v>1054</v>
      </c>
      <c r="B983" s="26" t="s">
        <v>1055</v>
      </c>
      <c r="C983" s="26" t="s">
        <v>1238</v>
      </c>
      <c r="D983" s="26" t="s">
        <v>1076</v>
      </c>
      <c r="E983" s="26">
        <v>197</v>
      </c>
      <c r="F983" s="26">
        <v>197.7839500000002</v>
      </c>
      <c r="G983" s="26">
        <v>0.78395000000023174</v>
      </c>
      <c r="H983" s="26">
        <v>0.78395000000023174</v>
      </c>
      <c r="I983" s="26" t="s">
        <v>1230</v>
      </c>
      <c r="J983" s="26" t="s">
        <v>1231</v>
      </c>
      <c r="K983" s="26" t="b">
        <v>0</v>
      </c>
      <c r="L983" s="26">
        <v>1</v>
      </c>
    </row>
    <row r="984" spans="1:12" x14ac:dyDescent="0.25">
      <c r="A984" s="26" t="s">
        <v>1056</v>
      </c>
      <c r="B984" s="26" t="s">
        <v>1055</v>
      </c>
      <c r="C984" s="26" t="s">
        <v>1241</v>
      </c>
      <c r="D984" s="26" t="s">
        <v>1076</v>
      </c>
      <c r="E984" s="26">
        <v>263</v>
      </c>
      <c r="F984" s="26">
        <v>261.94304</v>
      </c>
      <c r="G984" s="26">
        <v>-1.0569600000000039</v>
      </c>
      <c r="H984" s="26">
        <v>1.0569600000000039</v>
      </c>
      <c r="I984" s="26" t="s">
        <v>1230</v>
      </c>
      <c r="J984" s="26" t="s">
        <v>1231</v>
      </c>
      <c r="K984" s="26" t="b">
        <v>0</v>
      </c>
      <c r="L984" s="26">
        <v>2</v>
      </c>
    </row>
    <row r="985" spans="1:12" x14ac:dyDescent="0.25">
      <c r="A985" s="26" t="s">
        <v>1057</v>
      </c>
      <c r="B985" s="26" t="s">
        <v>1055</v>
      </c>
      <c r="C985" s="26" t="s">
        <v>1242</v>
      </c>
      <c r="D985" s="26" t="s">
        <v>1076</v>
      </c>
      <c r="E985" s="26">
        <v>392</v>
      </c>
      <c r="F985" s="26">
        <v>391.52</v>
      </c>
      <c r="G985" s="26">
        <v>-0.48000000000001819</v>
      </c>
      <c r="H985" s="26">
        <v>0.48000000000001819</v>
      </c>
      <c r="I985" s="26" t="s">
        <v>1230</v>
      </c>
      <c r="J985" s="26" t="s">
        <v>1231</v>
      </c>
      <c r="K985" s="26" t="b">
        <v>0</v>
      </c>
      <c r="L985" s="26">
        <v>3</v>
      </c>
    </row>
    <row r="986" spans="1:12" x14ac:dyDescent="0.25">
      <c r="A986" s="26" t="s">
        <v>1058</v>
      </c>
      <c r="B986" s="26" t="s">
        <v>1055</v>
      </c>
      <c r="C986" s="26" t="s">
        <v>1243</v>
      </c>
      <c r="D986" s="26" t="s">
        <v>1076</v>
      </c>
      <c r="E986" s="26">
        <v>371</v>
      </c>
      <c r="F986" s="26">
        <v>368.6412600000001</v>
      </c>
      <c r="G986" s="26">
        <v>-2.3587399999998979</v>
      </c>
      <c r="H986" s="26">
        <v>2.3587399999998979</v>
      </c>
      <c r="I986" s="26" t="s">
        <v>1230</v>
      </c>
      <c r="J986" s="26" t="s">
        <v>1231</v>
      </c>
      <c r="K986" s="26" t="b">
        <v>0</v>
      </c>
      <c r="L986" s="26">
        <v>4</v>
      </c>
    </row>
    <row r="987" spans="1:12" x14ac:dyDescent="0.25">
      <c r="A987" s="26" t="s">
        <v>1059</v>
      </c>
      <c r="B987" s="26" t="s">
        <v>1055</v>
      </c>
      <c r="C987" s="26" t="s">
        <v>1244</v>
      </c>
      <c r="D987" s="26" t="s">
        <v>1076</v>
      </c>
      <c r="E987" s="26">
        <v>329</v>
      </c>
      <c r="F987" s="26">
        <v>325.99223000000001</v>
      </c>
      <c r="G987" s="26">
        <v>-3.0077699999999941</v>
      </c>
      <c r="H987" s="26">
        <v>3.0077699999999941</v>
      </c>
      <c r="I987" s="26" t="s">
        <v>1230</v>
      </c>
      <c r="J987" s="26" t="s">
        <v>1231</v>
      </c>
      <c r="K987" s="26" t="b">
        <v>0</v>
      </c>
      <c r="L987" s="26">
        <v>5</v>
      </c>
    </row>
    <row r="988" spans="1:12" x14ac:dyDescent="0.25">
      <c r="A988" s="26" t="s">
        <v>1060</v>
      </c>
      <c r="B988" s="26" t="s">
        <v>1055</v>
      </c>
      <c r="C988" s="26" t="s">
        <v>1245</v>
      </c>
      <c r="D988" s="26" t="s">
        <v>1076</v>
      </c>
      <c r="E988" s="26">
        <v>359</v>
      </c>
      <c r="F988" s="26">
        <v>357.55529000000001</v>
      </c>
      <c r="G988" s="26">
        <v>-1.4447099999999859</v>
      </c>
      <c r="H988" s="26">
        <v>1.4447099999999859</v>
      </c>
      <c r="I988" s="26" t="s">
        <v>1230</v>
      </c>
      <c r="J988" s="26" t="s">
        <v>1231</v>
      </c>
      <c r="K988" s="26" t="b">
        <v>0</v>
      </c>
      <c r="L988" s="26">
        <v>1</v>
      </c>
    </row>
    <row r="989" spans="1:12" x14ac:dyDescent="0.25">
      <c r="A989" s="26" t="s">
        <v>1061</v>
      </c>
      <c r="B989" s="26" t="s">
        <v>1055</v>
      </c>
      <c r="C989" s="26" t="s">
        <v>1246</v>
      </c>
      <c r="D989" s="26" t="s">
        <v>1076</v>
      </c>
      <c r="E989" s="26">
        <v>249</v>
      </c>
      <c r="F989" s="26">
        <v>244.63727</v>
      </c>
      <c r="G989" s="26">
        <v>-4.3627299999999991</v>
      </c>
      <c r="H989" s="26">
        <v>4.3627299999999991</v>
      </c>
      <c r="I989" s="26" t="s">
        <v>1230</v>
      </c>
      <c r="J989" s="26" t="s">
        <v>1231</v>
      </c>
      <c r="K989" s="26" t="b">
        <v>0</v>
      </c>
      <c r="L989" s="26">
        <v>2</v>
      </c>
    </row>
    <row r="990" spans="1:12" x14ac:dyDescent="0.25">
      <c r="A990" s="26" t="s">
        <v>1062</v>
      </c>
      <c r="B990" s="26" t="s">
        <v>1055</v>
      </c>
      <c r="C990" s="26" t="s">
        <v>1247</v>
      </c>
      <c r="D990" s="26" t="s">
        <v>1076</v>
      </c>
      <c r="E990" s="26">
        <v>204</v>
      </c>
      <c r="F990" s="26">
        <v>202.90031999999999</v>
      </c>
      <c r="G990" s="26">
        <v>-1.099680000000006</v>
      </c>
      <c r="H990" s="26">
        <v>1.099680000000006</v>
      </c>
      <c r="I990" s="26" t="s">
        <v>1230</v>
      </c>
      <c r="J990" s="26" t="s">
        <v>1231</v>
      </c>
      <c r="K990" s="26" t="b">
        <v>0</v>
      </c>
      <c r="L990" s="26">
        <v>3</v>
      </c>
    </row>
    <row r="991" spans="1:12" x14ac:dyDescent="0.25">
      <c r="A991" s="26" t="s">
        <v>1063</v>
      </c>
      <c r="B991" s="26" t="s">
        <v>1055</v>
      </c>
      <c r="C991" s="26" t="s">
        <v>1248</v>
      </c>
      <c r="D991" s="26" t="s">
        <v>1076</v>
      </c>
      <c r="E991" s="26">
        <v>256</v>
      </c>
      <c r="F991" s="26">
        <v>255.61</v>
      </c>
      <c r="G991" s="26">
        <v>-0.38999999999998641</v>
      </c>
      <c r="H991" s="26">
        <v>0.38999999999998641</v>
      </c>
      <c r="I991" s="26" t="s">
        <v>1230</v>
      </c>
      <c r="J991" s="26" t="s">
        <v>1231</v>
      </c>
      <c r="K991" s="26" t="b">
        <v>0</v>
      </c>
      <c r="L991" s="26">
        <v>4</v>
      </c>
    </row>
    <row r="992" spans="1:12" x14ac:dyDescent="0.25">
      <c r="A992" s="26" t="s">
        <v>1064</v>
      </c>
      <c r="B992" s="26" t="s">
        <v>1055</v>
      </c>
      <c r="C992" s="26" t="s">
        <v>1249</v>
      </c>
      <c r="D992" s="26" t="s">
        <v>1076</v>
      </c>
      <c r="E992" s="26">
        <v>270</v>
      </c>
      <c r="F992" s="26">
        <v>268.95208000000002</v>
      </c>
      <c r="G992" s="26">
        <v>-1.047919999999976</v>
      </c>
      <c r="H992" s="26">
        <v>1.047919999999976</v>
      </c>
      <c r="I992" s="26" t="s">
        <v>1230</v>
      </c>
      <c r="J992" s="26" t="s">
        <v>1231</v>
      </c>
      <c r="K992" s="26" t="b">
        <v>0</v>
      </c>
      <c r="L992" s="26">
        <v>5</v>
      </c>
    </row>
    <row r="993" spans="1:12" x14ac:dyDescent="0.25">
      <c r="A993" s="26" t="s">
        <v>1065</v>
      </c>
      <c r="B993" s="26" t="s">
        <v>1066</v>
      </c>
      <c r="C993" s="26" t="s">
        <v>1238</v>
      </c>
      <c r="D993" s="26" t="s">
        <v>1076</v>
      </c>
      <c r="E993" s="26">
        <v>191</v>
      </c>
      <c r="F993" s="26">
        <v>191.18278000000009</v>
      </c>
      <c r="G993" s="26">
        <v>0.1827800000000934</v>
      </c>
      <c r="H993" s="26">
        <v>0.1827800000000934</v>
      </c>
      <c r="I993" s="26" t="s">
        <v>1230</v>
      </c>
      <c r="J993" s="26" t="s">
        <v>1231</v>
      </c>
      <c r="K993" s="26" t="b">
        <v>0</v>
      </c>
      <c r="L993" s="26">
        <v>1</v>
      </c>
    </row>
    <row r="994" spans="1:12" x14ac:dyDescent="0.25">
      <c r="A994" s="26" t="s">
        <v>1067</v>
      </c>
      <c r="B994" s="26" t="s">
        <v>1066</v>
      </c>
      <c r="C994" s="26" t="s">
        <v>1241</v>
      </c>
      <c r="D994" s="26" t="s">
        <v>1076</v>
      </c>
      <c r="E994" s="26">
        <v>305</v>
      </c>
      <c r="F994" s="26">
        <v>304.56</v>
      </c>
      <c r="G994" s="26">
        <v>-0.43999999999999773</v>
      </c>
      <c r="H994" s="26">
        <v>0.43999999999999773</v>
      </c>
      <c r="I994" s="26" t="s">
        <v>1230</v>
      </c>
      <c r="J994" s="26" t="s">
        <v>1231</v>
      </c>
      <c r="K994" s="26" t="b">
        <v>0</v>
      </c>
      <c r="L994" s="26">
        <v>2</v>
      </c>
    </row>
    <row r="995" spans="1:12" x14ac:dyDescent="0.25">
      <c r="A995" s="26" t="s">
        <v>1068</v>
      </c>
      <c r="B995" s="26" t="s">
        <v>1066</v>
      </c>
      <c r="C995" s="26" t="s">
        <v>1242</v>
      </c>
      <c r="D995" s="26" t="s">
        <v>1076</v>
      </c>
      <c r="E995" s="26">
        <v>253</v>
      </c>
      <c r="F995" s="26">
        <v>252.61529000000019</v>
      </c>
      <c r="G995" s="26">
        <v>-0.38470999999981359</v>
      </c>
      <c r="H995" s="26">
        <v>0.38470999999981359</v>
      </c>
      <c r="I995" s="26" t="s">
        <v>1230</v>
      </c>
      <c r="J995" s="26" t="s">
        <v>1231</v>
      </c>
      <c r="K995" s="26" t="b">
        <v>0</v>
      </c>
      <c r="L995" s="26">
        <v>3</v>
      </c>
    </row>
    <row r="996" spans="1:12" x14ac:dyDescent="0.25">
      <c r="A996" s="26" t="s">
        <v>1069</v>
      </c>
      <c r="B996" s="26" t="s">
        <v>1066</v>
      </c>
      <c r="C996" s="26" t="s">
        <v>1243</v>
      </c>
      <c r="D996" s="26" t="s">
        <v>1076</v>
      </c>
      <c r="E996" s="26">
        <v>309</v>
      </c>
      <c r="F996" s="26">
        <v>306.54554000000002</v>
      </c>
      <c r="G996" s="26">
        <v>-2.4544599999999832</v>
      </c>
      <c r="H996" s="26">
        <v>2.4544599999999832</v>
      </c>
      <c r="I996" s="26" t="s">
        <v>1230</v>
      </c>
      <c r="J996" s="26" t="s">
        <v>1231</v>
      </c>
      <c r="K996" s="26" t="b">
        <v>0</v>
      </c>
      <c r="L996" s="26">
        <v>4</v>
      </c>
    </row>
    <row r="997" spans="1:12" x14ac:dyDescent="0.25">
      <c r="A997" s="26" t="s">
        <v>1070</v>
      </c>
      <c r="B997" s="26" t="s">
        <v>1066</v>
      </c>
      <c r="C997" s="26" t="s">
        <v>1244</v>
      </c>
      <c r="D997" s="26" t="s">
        <v>1076</v>
      </c>
      <c r="E997" s="26">
        <v>242</v>
      </c>
      <c r="F997" s="26">
        <v>240.52</v>
      </c>
      <c r="G997" s="26">
        <v>-1.47999999999999</v>
      </c>
      <c r="H997" s="26">
        <v>1.47999999999999</v>
      </c>
      <c r="I997" s="26" t="s">
        <v>1230</v>
      </c>
      <c r="J997" s="26" t="s">
        <v>1231</v>
      </c>
      <c r="K997" s="26" t="b">
        <v>0</v>
      </c>
      <c r="L997" s="26">
        <v>5</v>
      </c>
    </row>
    <row r="998" spans="1:12" x14ac:dyDescent="0.25">
      <c r="A998" s="26" t="s">
        <v>1071</v>
      </c>
      <c r="B998" s="26" t="s">
        <v>1066</v>
      </c>
      <c r="C998" s="26" t="s">
        <v>1245</v>
      </c>
      <c r="D998" s="26" t="s">
        <v>1076</v>
      </c>
      <c r="E998" s="26">
        <v>309</v>
      </c>
      <c r="F998" s="26">
        <v>307.70001999999999</v>
      </c>
      <c r="G998" s="26">
        <v>-1.299980000000005</v>
      </c>
      <c r="H998" s="26">
        <v>1.299980000000005</v>
      </c>
      <c r="I998" s="26" t="s">
        <v>1230</v>
      </c>
      <c r="J998" s="26" t="s">
        <v>1231</v>
      </c>
      <c r="K998" s="26" t="b">
        <v>0</v>
      </c>
      <c r="L998" s="26">
        <v>1</v>
      </c>
    </row>
    <row r="999" spans="1:12" x14ac:dyDescent="0.25">
      <c r="A999" s="26" t="s">
        <v>1072</v>
      </c>
      <c r="B999" s="26" t="s">
        <v>1066</v>
      </c>
      <c r="C999" s="26" t="s">
        <v>1246</v>
      </c>
      <c r="D999" s="26" t="s">
        <v>1076</v>
      </c>
      <c r="E999" s="26">
        <v>197</v>
      </c>
      <c r="F999" s="26">
        <v>196.70445000000001</v>
      </c>
      <c r="G999" s="26">
        <v>-0.29554999999999149</v>
      </c>
      <c r="H999" s="26">
        <v>0.29554999999999149</v>
      </c>
      <c r="I999" s="26" t="s">
        <v>1230</v>
      </c>
      <c r="J999" s="26" t="s">
        <v>1231</v>
      </c>
      <c r="K999" s="26" t="b">
        <v>0</v>
      </c>
      <c r="L999" s="26">
        <v>2</v>
      </c>
    </row>
    <row r="1000" spans="1:12" x14ac:dyDescent="0.25">
      <c r="A1000" s="26" t="s">
        <v>1073</v>
      </c>
      <c r="B1000" s="26" t="s">
        <v>1066</v>
      </c>
      <c r="C1000" s="26" t="s">
        <v>1247</v>
      </c>
      <c r="D1000" s="26" t="s">
        <v>1076</v>
      </c>
      <c r="E1000" s="26">
        <v>293</v>
      </c>
      <c r="F1000" s="26">
        <v>294.89846000000028</v>
      </c>
      <c r="G1000" s="26">
        <v>1.8984600000003411</v>
      </c>
      <c r="H1000" s="26">
        <v>1.8984600000003411</v>
      </c>
      <c r="I1000" s="26" t="s">
        <v>1230</v>
      </c>
      <c r="J1000" s="26" t="s">
        <v>1231</v>
      </c>
      <c r="K1000" s="26" t="b">
        <v>0</v>
      </c>
      <c r="L1000" s="26">
        <v>3</v>
      </c>
    </row>
    <row r="1001" spans="1:12" x14ac:dyDescent="0.25">
      <c r="A1001" s="26" t="s">
        <v>1074</v>
      </c>
      <c r="B1001" s="26" t="s">
        <v>1066</v>
      </c>
      <c r="C1001" s="26" t="s">
        <v>1248</v>
      </c>
      <c r="D1001" s="26" t="s">
        <v>1076</v>
      </c>
      <c r="E1001" s="26">
        <v>249</v>
      </c>
      <c r="F1001" s="26">
        <v>248.07553999999999</v>
      </c>
      <c r="G1001" s="26">
        <v>-0.9244600000000105</v>
      </c>
      <c r="H1001" s="26">
        <v>0.9244600000000105</v>
      </c>
      <c r="I1001" s="26" t="s">
        <v>1230</v>
      </c>
      <c r="J1001" s="26" t="s">
        <v>1231</v>
      </c>
      <c r="K1001" s="26" t="b">
        <v>0</v>
      </c>
      <c r="L1001" s="26">
        <v>4</v>
      </c>
    </row>
    <row r="1002" spans="1:12" x14ac:dyDescent="0.25">
      <c r="A1002" s="26" t="s">
        <v>1075</v>
      </c>
      <c r="B1002" s="26" t="s">
        <v>1066</v>
      </c>
      <c r="C1002" s="26" t="s">
        <v>1249</v>
      </c>
      <c r="D1002" s="26" t="s">
        <v>1076</v>
      </c>
      <c r="E1002" s="26">
        <v>208</v>
      </c>
      <c r="F1002" s="26">
        <v>207.15566000000001</v>
      </c>
      <c r="G1002" s="26">
        <v>-0.84433999999998832</v>
      </c>
      <c r="H1002" s="26">
        <v>0.84433999999998832</v>
      </c>
      <c r="I1002" s="26" t="s">
        <v>1230</v>
      </c>
      <c r="J1002" s="26" t="s">
        <v>1231</v>
      </c>
      <c r="K1002" s="26" t="b">
        <v>0</v>
      </c>
      <c r="L1002" s="26">
        <v>5</v>
      </c>
    </row>
  </sheetData>
  <sheetProtection algorithmName="SHA-512" hashValue="P4B5s4wHF2Aq+098bhL5ZVyt/pF3hOeqWORhwaDnEcIYdIEDxav6lknYbYGLXd4ogoPbVxCUYKuOW7x/9fpwFA==" saltValue="bVSIhwWFDv3VKmjvsP/mRQ==" spinCount="100000" sheet="1" objects="1" scenarios="1"/>
  <mergeCells count="1">
    <mergeCell ref="A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E6283-EB4F-41AC-A1A5-6111C3E6B3A2}">
  <dimension ref="A1:H501"/>
  <sheetViews>
    <sheetView workbookViewId="0">
      <selection activeCell="G1" sqref="G1"/>
    </sheetView>
  </sheetViews>
  <sheetFormatPr defaultRowHeight="14.4" x14ac:dyDescent="0.3"/>
  <cols>
    <col min="1" max="1" width="13.5546875" customWidth="1"/>
    <col min="4" max="4" width="12.33203125" customWidth="1"/>
    <col min="5" max="5" width="10.5546875" bestFit="1" customWidth="1"/>
    <col min="6" max="6" width="31.21875" bestFit="1" customWidth="1"/>
    <col min="7" max="7" width="46.44140625" bestFit="1" customWidth="1"/>
    <col min="8" max="8" width="20.44140625" bestFit="1" customWidth="1"/>
  </cols>
  <sheetData>
    <row r="1" spans="1:8" ht="41.4" x14ac:dyDescent="0.3">
      <c r="A1" s="34" t="s">
        <v>1250</v>
      </c>
      <c r="B1" s="34" t="s">
        <v>515</v>
      </c>
      <c r="C1" s="34" t="s">
        <v>1251</v>
      </c>
      <c r="D1" s="34" t="s">
        <v>1252</v>
      </c>
      <c r="E1" s="34" t="s">
        <v>4</v>
      </c>
      <c r="F1" s="34" t="s">
        <v>1254</v>
      </c>
      <c r="G1" s="34" t="s">
        <v>1253</v>
      </c>
      <c r="H1" s="34" t="s">
        <v>1225</v>
      </c>
    </row>
    <row r="2" spans="1:8" x14ac:dyDescent="0.3">
      <c r="A2" s="12">
        <v>1</v>
      </c>
      <c r="B2" s="12" t="s">
        <v>15</v>
      </c>
      <c r="C2" s="12">
        <v>1</v>
      </c>
      <c r="D2" s="12">
        <v>100</v>
      </c>
      <c r="E2" s="12">
        <v>20.273</v>
      </c>
      <c r="F2" s="12">
        <v>101.45769700000001</v>
      </c>
      <c r="G2" s="12">
        <f>F2-D2</f>
        <v>1.4576970000000102</v>
      </c>
      <c r="H2" s="12">
        <f>ABS(F2-D2)</f>
        <v>1.4576970000000102</v>
      </c>
    </row>
    <row r="3" spans="1:8" x14ac:dyDescent="0.3">
      <c r="A3" s="12">
        <v>2</v>
      </c>
      <c r="B3" s="12" t="s">
        <v>16</v>
      </c>
      <c r="C3" s="12">
        <v>5</v>
      </c>
      <c r="D3" s="12">
        <v>114</v>
      </c>
      <c r="E3" s="12">
        <v>23.181999999999999</v>
      </c>
      <c r="F3" s="12">
        <v>115.67979800000001</v>
      </c>
      <c r="G3" s="12">
        <f t="shared" ref="G3:G66" si="0">F3-D3</f>
        <v>1.6797980000000052</v>
      </c>
      <c r="H3" s="12">
        <f t="shared" ref="H3:H66" si="1">ABS(F3-D3)</f>
        <v>1.6797980000000052</v>
      </c>
    </row>
    <row r="4" spans="1:8" x14ac:dyDescent="0.3">
      <c r="A4" s="12">
        <v>3</v>
      </c>
      <c r="B4" s="12" t="s">
        <v>17</v>
      </c>
      <c r="C4" s="12">
        <v>1</v>
      </c>
      <c r="D4" s="12">
        <v>96</v>
      </c>
      <c r="E4" s="12">
        <v>18.507999999999999</v>
      </c>
      <c r="F4" s="12">
        <v>92.828612000000007</v>
      </c>
      <c r="G4" s="12">
        <f t="shared" si="0"/>
        <v>-3.1713879999999932</v>
      </c>
      <c r="H4" s="12">
        <f t="shared" si="1"/>
        <v>3.1713879999999932</v>
      </c>
    </row>
    <row r="5" spans="1:8" x14ac:dyDescent="0.3">
      <c r="A5" s="12">
        <v>4</v>
      </c>
      <c r="B5" s="12" t="s">
        <v>18</v>
      </c>
      <c r="C5" s="12">
        <v>2</v>
      </c>
      <c r="D5" s="12">
        <v>118</v>
      </c>
      <c r="E5" s="12">
        <v>23.231000000000002</v>
      </c>
      <c r="F5" s="12">
        <v>115.91935900000001</v>
      </c>
      <c r="G5" s="12">
        <f t="shared" si="0"/>
        <v>-2.0806409999999858</v>
      </c>
      <c r="H5" s="12">
        <f t="shared" si="1"/>
        <v>2.0806409999999858</v>
      </c>
    </row>
    <row r="6" spans="1:8" x14ac:dyDescent="0.3">
      <c r="A6" s="12">
        <v>5</v>
      </c>
      <c r="B6" s="12" t="s">
        <v>19</v>
      </c>
      <c r="C6" s="12">
        <v>4</v>
      </c>
      <c r="D6" s="12">
        <v>127</v>
      </c>
      <c r="E6" s="12">
        <v>25.331</v>
      </c>
      <c r="F6" s="12">
        <v>126.18625900000001</v>
      </c>
      <c r="G6" s="12">
        <f t="shared" si="0"/>
        <v>-0.81374099999999316</v>
      </c>
      <c r="H6" s="12">
        <f t="shared" si="1"/>
        <v>0.81374099999999316</v>
      </c>
    </row>
    <row r="7" spans="1:8" x14ac:dyDescent="0.3">
      <c r="A7" s="12">
        <v>6</v>
      </c>
      <c r="B7" s="12" t="s">
        <v>20</v>
      </c>
      <c r="C7" s="12">
        <v>2</v>
      </c>
      <c r="D7" s="12">
        <v>135</v>
      </c>
      <c r="E7" s="12">
        <v>27.314</v>
      </c>
      <c r="F7" s="12">
        <v>135.881146</v>
      </c>
      <c r="G7" s="12">
        <f t="shared" si="0"/>
        <v>0.8811460000000011</v>
      </c>
      <c r="H7" s="12">
        <f t="shared" si="1"/>
        <v>0.8811460000000011</v>
      </c>
    </row>
    <row r="8" spans="1:8" x14ac:dyDescent="0.3">
      <c r="A8" s="12">
        <v>7</v>
      </c>
      <c r="B8" s="12" t="s">
        <v>21</v>
      </c>
      <c r="C8" s="12">
        <v>3</v>
      </c>
      <c r="D8" s="12">
        <v>144</v>
      </c>
      <c r="E8" s="12">
        <v>29.077000000000002</v>
      </c>
      <c r="F8" s="12">
        <v>144.50045299999999</v>
      </c>
      <c r="G8" s="12">
        <f t="shared" si="0"/>
        <v>0.50045299999999315</v>
      </c>
      <c r="H8" s="12">
        <f t="shared" si="1"/>
        <v>0.50045299999999315</v>
      </c>
    </row>
    <row r="9" spans="1:8" x14ac:dyDescent="0.3">
      <c r="A9" s="12">
        <v>8</v>
      </c>
      <c r="B9" s="12" t="s">
        <v>22</v>
      </c>
      <c r="C9" s="12">
        <v>2</v>
      </c>
      <c r="D9" s="12">
        <v>119</v>
      </c>
      <c r="E9" s="12">
        <v>23.95</v>
      </c>
      <c r="F9" s="12">
        <v>119.43455</v>
      </c>
      <c r="G9" s="12">
        <f t="shared" si="0"/>
        <v>0.43455000000000155</v>
      </c>
      <c r="H9" s="12">
        <f t="shared" si="1"/>
        <v>0.43455000000000155</v>
      </c>
    </row>
    <row r="10" spans="1:8" x14ac:dyDescent="0.3">
      <c r="A10" s="12">
        <v>9</v>
      </c>
      <c r="B10" s="12" t="s">
        <v>23</v>
      </c>
      <c r="C10" s="12">
        <v>4</v>
      </c>
      <c r="D10" s="12">
        <v>122</v>
      </c>
      <c r="E10" s="12">
        <v>24.396000000000001</v>
      </c>
      <c r="F10" s="12">
        <v>121.61504400000001</v>
      </c>
      <c r="G10" s="12">
        <f t="shared" si="0"/>
        <v>-0.38495599999998831</v>
      </c>
      <c r="H10" s="12">
        <f t="shared" si="1"/>
        <v>0.38495599999998831</v>
      </c>
    </row>
    <row r="11" spans="1:8" x14ac:dyDescent="0.3">
      <c r="A11" s="12">
        <v>10</v>
      </c>
      <c r="B11" s="12" t="s">
        <v>24</v>
      </c>
      <c r="C11" s="12">
        <v>1</v>
      </c>
      <c r="D11" s="12">
        <v>98</v>
      </c>
      <c r="E11" s="12">
        <v>19.79</v>
      </c>
      <c r="F11" s="12">
        <v>99.096310000000003</v>
      </c>
      <c r="G11" s="12">
        <f t="shared" si="0"/>
        <v>1.0963100000000026</v>
      </c>
      <c r="H11" s="12">
        <f t="shared" si="1"/>
        <v>1.0963100000000026</v>
      </c>
    </row>
    <row r="12" spans="1:8" x14ac:dyDescent="0.3">
      <c r="A12" s="12">
        <v>11</v>
      </c>
      <c r="B12" s="12" t="s">
        <v>25</v>
      </c>
      <c r="C12" s="12">
        <v>3</v>
      </c>
      <c r="D12" s="12">
        <v>100</v>
      </c>
      <c r="E12" s="12">
        <v>20.178000000000001</v>
      </c>
      <c r="F12" s="12">
        <v>100.99324200000001</v>
      </c>
      <c r="G12" s="12">
        <f t="shared" si="0"/>
        <v>0.99324200000000928</v>
      </c>
      <c r="H12" s="12">
        <f t="shared" si="1"/>
        <v>0.99324200000000928</v>
      </c>
    </row>
    <row r="13" spans="1:8" x14ac:dyDescent="0.3">
      <c r="A13" s="12">
        <v>12</v>
      </c>
      <c r="B13" s="12" t="s">
        <v>26</v>
      </c>
      <c r="C13" s="12">
        <v>1</v>
      </c>
      <c r="D13" s="12">
        <v>103</v>
      </c>
      <c r="E13" s="12">
        <v>20.545000000000002</v>
      </c>
      <c r="F13" s="12">
        <v>102.78750500000001</v>
      </c>
      <c r="G13" s="12">
        <f t="shared" si="0"/>
        <v>-0.21249499999998989</v>
      </c>
      <c r="H13" s="12">
        <f t="shared" si="1"/>
        <v>0.21249499999998989</v>
      </c>
    </row>
    <row r="14" spans="1:8" x14ac:dyDescent="0.3">
      <c r="A14" s="12">
        <v>13</v>
      </c>
      <c r="B14" s="12" t="s">
        <v>27</v>
      </c>
      <c r="C14" s="12">
        <v>4</v>
      </c>
      <c r="D14" s="12">
        <v>102</v>
      </c>
      <c r="E14" s="12">
        <v>19.988</v>
      </c>
      <c r="F14" s="12">
        <v>100.06433200000001</v>
      </c>
      <c r="G14" s="12">
        <f t="shared" si="0"/>
        <v>-1.9356679999999926</v>
      </c>
      <c r="H14" s="12">
        <f t="shared" si="1"/>
        <v>1.9356679999999926</v>
      </c>
    </row>
    <row r="15" spans="1:8" x14ac:dyDescent="0.3">
      <c r="A15" s="12">
        <v>14</v>
      </c>
      <c r="B15" s="12" t="s">
        <v>28</v>
      </c>
      <c r="C15" s="12">
        <v>5</v>
      </c>
      <c r="D15" s="12">
        <v>101</v>
      </c>
      <c r="E15" s="12">
        <v>20.128</v>
      </c>
      <c r="F15" s="12">
        <v>100.74879200000001</v>
      </c>
      <c r="G15" s="12">
        <f t="shared" si="0"/>
        <v>-0.25120799999999122</v>
      </c>
      <c r="H15" s="12">
        <f t="shared" si="1"/>
        <v>0.25120799999999122</v>
      </c>
    </row>
    <row r="16" spans="1:8" x14ac:dyDescent="0.3">
      <c r="A16" s="12">
        <v>15</v>
      </c>
      <c r="B16" s="12" t="s">
        <v>29</v>
      </c>
      <c r="C16" s="12">
        <v>4</v>
      </c>
      <c r="D16" s="12">
        <v>105</v>
      </c>
      <c r="E16" s="12">
        <v>21.349</v>
      </c>
      <c r="F16" s="12">
        <v>106.71826100000001</v>
      </c>
      <c r="G16" s="12">
        <f t="shared" si="0"/>
        <v>1.7182610000000125</v>
      </c>
      <c r="H16" s="12">
        <f t="shared" si="1"/>
        <v>1.7182610000000125</v>
      </c>
    </row>
    <row r="17" spans="1:8" x14ac:dyDescent="0.3">
      <c r="A17" s="12">
        <v>16</v>
      </c>
      <c r="B17" s="12" t="s">
        <v>30</v>
      </c>
      <c r="C17" s="12">
        <v>1</v>
      </c>
      <c r="D17" s="12">
        <v>97</v>
      </c>
      <c r="E17" s="12">
        <v>19.509</v>
      </c>
      <c r="F17" s="12">
        <v>97.722501000000008</v>
      </c>
      <c r="G17" s="12">
        <f t="shared" si="0"/>
        <v>0.72250100000000828</v>
      </c>
      <c r="H17" s="12">
        <f t="shared" si="1"/>
        <v>0.72250100000000828</v>
      </c>
    </row>
    <row r="18" spans="1:8" x14ac:dyDescent="0.3">
      <c r="A18" s="12">
        <v>17</v>
      </c>
      <c r="B18" s="12" t="s">
        <v>31</v>
      </c>
      <c r="C18" s="12">
        <v>2</v>
      </c>
      <c r="D18" s="12">
        <v>110</v>
      </c>
      <c r="E18" s="12">
        <v>22.408999999999999</v>
      </c>
      <c r="F18" s="12">
        <v>111.90060100000001</v>
      </c>
      <c r="G18" s="12">
        <f t="shared" si="0"/>
        <v>1.9006010000000089</v>
      </c>
      <c r="H18" s="12">
        <f t="shared" si="1"/>
        <v>1.9006010000000089</v>
      </c>
    </row>
    <row r="19" spans="1:8" x14ac:dyDescent="0.3">
      <c r="A19" s="12">
        <v>18</v>
      </c>
      <c r="B19" s="12" t="s">
        <v>32</v>
      </c>
      <c r="C19" s="12">
        <v>2</v>
      </c>
      <c r="D19" s="12">
        <v>107</v>
      </c>
      <c r="E19" s="12">
        <v>21.521999999999998</v>
      </c>
      <c r="F19" s="12">
        <v>107.564058</v>
      </c>
      <c r="G19" s="12">
        <f t="shared" si="0"/>
        <v>0.56405800000000283</v>
      </c>
      <c r="H19" s="12">
        <f t="shared" si="1"/>
        <v>0.56405800000000283</v>
      </c>
    </row>
    <row r="20" spans="1:8" x14ac:dyDescent="0.3">
      <c r="A20" s="12">
        <v>19</v>
      </c>
      <c r="B20" s="12" t="s">
        <v>33</v>
      </c>
      <c r="C20" s="12">
        <v>1</v>
      </c>
      <c r="D20" s="12">
        <v>116</v>
      </c>
      <c r="E20" s="12">
        <v>22.738</v>
      </c>
      <c r="F20" s="12">
        <v>113.50908200000001</v>
      </c>
      <c r="G20" s="12">
        <f t="shared" si="0"/>
        <v>-2.4909179999999935</v>
      </c>
      <c r="H20" s="12">
        <f t="shared" si="1"/>
        <v>2.4909179999999935</v>
      </c>
    </row>
    <row r="21" spans="1:8" x14ac:dyDescent="0.3">
      <c r="A21" s="12">
        <v>20</v>
      </c>
      <c r="B21" s="12" t="s">
        <v>34</v>
      </c>
      <c r="C21" s="12">
        <v>2</v>
      </c>
      <c r="D21" s="12">
        <v>87</v>
      </c>
      <c r="E21" s="12">
        <v>16.501999999999999</v>
      </c>
      <c r="F21" s="12">
        <v>83.021277999999995</v>
      </c>
      <c r="G21" s="12">
        <f t="shared" si="0"/>
        <v>-3.9787220000000048</v>
      </c>
      <c r="H21" s="12">
        <f t="shared" si="1"/>
        <v>3.9787220000000048</v>
      </c>
    </row>
    <row r="22" spans="1:8" x14ac:dyDescent="0.3">
      <c r="A22" s="12">
        <v>21</v>
      </c>
      <c r="B22" s="12" t="s">
        <v>35</v>
      </c>
      <c r="C22" s="12">
        <v>5</v>
      </c>
      <c r="D22" s="12">
        <v>119</v>
      </c>
      <c r="E22" s="12">
        <v>23.853000000000002</v>
      </c>
      <c r="F22" s="12">
        <v>118.96031700000002</v>
      </c>
      <c r="G22" s="12">
        <f t="shared" si="0"/>
        <v>-3.9682999999982371E-2</v>
      </c>
      <c r="H22" s="12">
        <f t="shared" si="1"/>
        <v>3.9682999999982371E-2</v>
      </c>
    </row>
    <row r="23" spans="1:8" x14ac:dyDescent="0.3">
      <c r="A23" s="12">
        <v>22</v>
      </c>
      <c r="B23" s="12" t="s">
        <v>36</v>
      </c>
      <c r="C23" s="12">
        <v>5</v>
      </c>
      <c r="D23" s="12">
        <v>107</v>
      </c>
      <c r="E23" s="12">
        <v>21.324000000000002</v>
      </c>
      <c r="F23" s="12">
        <v>106.59603600000001</v>
      </c>
      <c r="G23" s="12">
        <f t="shared" si="0"/>
        <v>-0.40396399999998778</v>
      </c>
      <c r="H23" s="12">
        <f t="shared" si="1"/>
        <v>0.40396399999998778</v>
      </c>
    </row>
    <row r="24" spans="1:8" x14ac:dyDescent="0.3">
      <c r="A24" s="12">
        <v>23</v>
      </c>
      <c r="B24" s="12" t="s">
        <v>37</v>
      </c>
      <c r="C24" s="12">
        <v>1</v>
      </c>
      <c r="D24" s="12">
        <v>97</v>
      </c>
      <c r="E24" s="12">
        <v>19.052</v>
      </c>
      <c r="F24" s="12">
        <v>95.488228000000007</v>
      </c>
      <c r="G24" s="12">
        <f t="shared" si="0"/>
        <v>-1.5117719999999935</v>
      </c>
      <c r="H24" s="12">
        <f t="shared" si="1"/>
        <v>1.5117719999999935</v>
      </c>
    </row>
    <row r="25" spans="1:8" x14ac:dyDescent="0.3">
      <c r="A25" s="12">
        <v>24</v>
      </c>
      <c r="B25" s="12" t="s">
        <v>38</v>
      </c>
      <c r="C25" s="12">
        <v>2</v>
      </c>
      <c r="D25" s="12">
        <v>91</v>
      </c>
      <c r="E25" s="12">
        <v>17.594000000000001</v>
      </c>
      <c r="F25" s="12">
        <v>88.360066000000018</v>
      </c>
      <c r="G25" s="12">
        <f t="shared" si="0"/>
        <v>-2.6399339999999825</v>
      </c>
      <c r="H25" s="12">
        <f t="shared" si="1"/>
        <v>2.6399339999999825</v>
      </c>
    </row>
    <row r="26" spans="1:8" x14ac:dyDescent="0.3">
      <c r="A26" s="12">
        <v>25</v>
      </c>
      <c r="B26" s="12" t="s">
        <v>39</v>
      </c>
      <c r="C26" s="12">
        <v>2</v>
      </c>
      <c r="D26" s="12">
        <v>87</v>
      </c>
      <c r="E26" s="12">
        <v>17.138000000000002</v>
      </c>
      <c r="F26" s="12">
        <v>86.130682000000022</v>
      </c>
      <c r="G26" s="12">
        <f t="shared" si="0"/>
        <v>-0.8693179999999785</v>
      </c>
      <c r="H26" s="12">
        <f t="shared" si="1"/>
        <v>0.8693179999999785</v>
      </c>
    </row>
    <row r="27" spans="1:8" x14ac:dyDescent="0.3">
      <c r="A27" s="12">
        <v>26</v>
      </c>
      <c r="B27" s="12" t="s">
        <v>40</v>
      </c>
      <c r="C27" s="12">
        <v>2</v>
      </c>
      <c r="D27" s="12">
        <v>115</v>
      </c>
      <c r="E27" s="12">
        <v>22.931000000000001</v>
      </c>
      <c r="F27" s="12">
        <v>114.45265900000001</v>
      </c>
      <c r="G27" s="12">
        <f t="shared" si="0"/>
        <v>-0.54734099999998875</v>
      </c>
      <c r="H27" s="12">
        <f t="shared" si="1"/>
        <v>0.54734099999998875</v>
      </c>
    </row>
    <row r="28" spans="1:8" x14ac:dyDescent="0.3">
      <c r="A28" s="12">
        <v>27</v>
      </c>
      <c r="B28" s="12" t="s">
        <v>41</v>
      </c>
      <c r="C28" s="12">
        <v>2</v>
      </c>
      <c r="D28" s="12">
        <v>121</v>
      </c>
      <c r="E28" s="12">
        <v>24.437000000000001</v>
      </c>
      <c r="F28" s="12">
        <v>121.81549300000002</v>
      </c>
      <c r="G28" s="12">
        <f t="shared" si="0"/>
        <v>0.81549300000001779</v>
      </c>
      <c r="H28" s="12">
        <f t="shared" si="1"/>
        <v>0.81549300000001779</v>
      </c>
    </row>
    <row r="29" spans="1:8" x14ac:dyDescent="0.3">
      <c r="A29" s="12">
        <v>28</v>
      </c>
      <c r="B29" s="12" t="s">
        <v>42</v>
      </c>
      <c r="C29" s="12">
        <v>4</v>
      </c>
      <c r="D29" s="12">
        <v>95</v>
      </c>
      <c r="E29" s="12">
        <v>19.067</v>
      </c>
      <c r="F29" s="12">
        <v>95.561563000000007</v>
      </c>
      <c r="G29" s="12">
        <f t="shared" si="0"/>
        <v>0.5615630000000067</v>
      </c>
      <c r="H29" s="12">
        <f t="shared" si="1"/>
        <v>0.5615630000000067</v>
      </c>
    </row>
    <row r="30" spans="1:8" x14ac:dyDescent="0.3">
      <c r="A30" s="12">
        <v>29</v>
      </c>
      <c r="B30" s="12" t="s">
        <v>43</v>
      </c>
      <c r="C30" s="12">
        <v>4</v>
      </c>
      <c r="D30" s="12">
        <v>112</v>
      </c>
      <c r="E30" s="12">
        <v>22.972999999999999</v>
      </c>
      <c r="F30" s="12">
        <v>114.65799700000001</v>
      </c>
      <c r="G30" s="12">
        <f t="shared" si="0"/>
        <v>2.6579970000000088</v>
      </c>
      <c r="H30" s="12">
        <f t="shared" si="1"/>
        <v>2.6579970000000088</v>
      </c>
    </row>
    <row r="31" spans="1:8" x14ac:dyDescent="0.3">
      <c r="A31" s="12">
        <v>30</v>
      </c>
      <c r="B31" s="12" t="s">
        <v>44</v>
      </c>
      <c r="C31" s="12">
        <v>2</v>
      </c>
      <c r="D31" s="12">
        <v>89</v>
      </c>
      <c r="E31" s="12">
        <v>17.817</v>
      </c>
      <c r="F31" s="12">
        <v>89.450313000000008</v>
      </c>
      <c r="G31" s="12">
        <f t="shared" si="0"/>
        <v>0.4503130000000084</v>
      </c>
      <c r="H31" s="12">
        <f t="shared" si="1"/>
        <v>0.4503130000000084</v>
      </c>
    </row>
    <row r="32" spans="1:8" x14ac:dyDescent="0.3">
      <c r="A32" s="12">
        <v>31</v>
      </c>
      <c r="B32" s="12" t="s">
        <v>45</v>
      </c>
      <c r="C32" s="12">
        <v>1</v>
      </c>
      <c r="D32" s="12">
        <v>88</v>
      </c>
      <c r="E32" s="12">
        <v>17.847000000000001</v>
      </c>
      <c r="F32" s="12">
        <v>89.596983000000009</v>
      </c>
      <c r="G32" s="12">
        <f t="shared" si="0"/>
        <v>1.5969830000000087</v>
      </c>
      <c r="H32" s="12">
        <f t="shared" si="1"/>
        <v>1.5969830000000087</v>
      </c>
    </row>
    <row r="33" spans="1:8" x14ac:dyDescent="0.3">
      <c r="A33" s="12">
        <v>32</v>
      </c>
      <c r="B33" s="12" t="s">
        <v>46</v>
      </c>
      <c r="C33" s="12">
        <v>2</v>
      </c>
      <c r="D33" s="12">
        <v>97</v>
      </c>
      <c r="E33" s="12">
        <v>19.245000000000001</v>
      </c>
      <c r="F33" s="12">
        <v>96.431805000000011</v>
      </c>
      <c r="G33" s="12">
        <f t="shared" si="0"/>
        <v>-0.56819499999998868</v>
      </c>
      <c r="H33" s="12">
        <f t="shared" si="1"/>
        <v>0.56819499999998868</v>
      </c>
    </row>
    <row r="34" spans="1:8" x14ac:dyDescent="0.3">
      <c r="A34" s="12">
        <v>33</v>
      </c>
      <c r="B34" s="12" t="s">
        <v>47</v>
      </c>
      <c r="C34" s="12">
        <v>4</v>
      </c>
      <c r="D34" s="12">
        <v>114</v>
      </c>
      <c r="E34" s="12">
        <v>23.181999999999999</v>
      </c>
      <c r="F34" s="12">
        <v>115.67979800000001</v>
      </c>
      <c r="G34" s="12">
        <f t="shared" si="0"/>
        <v>1.6797980000000052</v>
      </c>
      <c r="H34" s="12">
        <f t="shared" si="1"/>
        <v>1.6797980000000052</v>
      </c>
    </row>
    <row r="35" spans="1:8" x14ac:dyDescent="0.3">
      <c r="A35" s="12">
        <v>34</v>
      </c>
      <c r="B35" s="12" t="s">
        <v>48</v>
      </c>
      <c r="C35" s="12">
        <v>1</v>
      </c>
      <c r="D35" s="12">
        <v>88</v>
      </c>
      <c r="E35" s="12">
        <v>17.704999999999998</v>
      </c>
      <c r="F35" s="12">
        <v>88.902744999999996</v>
      </c>
      <c r="G35" s="12">
        <f t="shared" si="0"/>
        <v>0.90274499999999591</v>
      </c>
      <c r="H35" s="12">
        <f t="shared" si="1"/>
        <v>0.90274499999999591</v>
      </c>
    </row>
    <row r="36" spans="1:8" x14ac:dyDescent="0.3">
      <c r="A36" s="12">
        <v>35</v>
      </c>
      <c r="B36" s="12" t="s">
        <v>49</v>
      </c>
      <c r="C36" s="12">
        <v>5</v>
      </c>
      <c r="D36" s="12">
        <v>112</v>
      </c>
      <c r="E36" s="12">
        <v>22.158000000000001</v>
      </c>
      <c r="F36" s="12">
        <v>110.67346200000001</v>
      </c>
      <c r="G36" s="12">
        <f t="shared" si="0"/>
        <v>-1.3265379999999851</v>
      </c>
      <c r="H36" s="12">
        <f t="shared" si="1"/>
        <v>1.3265379999999851</v>
      </c>
    </row>
    <row r="37" spans="1:8" x14ac:dyDescent="0.3">
      <c r="A37" s="12">
        <v>36</v>
      </c>
      <c r="B37" s="12" t="s">
        <v>50</v>
      </c>
      <c r="C37" s="12">
        <v>4</v>
      </c>
      <c r="D37" s="12">
        <v>104</v>
      </c>
      <c r="E37" s="12">
        <v>20.715</v>
      </c>
      <c r="F37" s="12">
        <v>103.61863500000001</v>
      </c>
      <c r="G37" s="12">
        <f t="shared" si="0"/>
        <v>-0.38136499999998819</v>
      </c>
      <c r="H37" s="12">
        <f t="shared" si="1"/>
        <v>0.38136499999998819</v>
      </c>
    </row>
    <row r="38" spans="1:8" x14ac:dyDescent="0.3">
      <c r="A38" s="12">
        <v>37</v>
      </c>
      <c r="B38" s="12" t="s">
        <v>51</v>
      </c>
      <c r="C38" s="12">
        <v>3</v>
      </c>
      <c r="D38" s="12">
        <v>115</v>
      </c>
      <c r="E38" s="12">
        <v>23.173999999999999</v>
      </c>
      <c r="F38" s="12">
        <v>115.640686</v>
      </c>
      <c r="G38" s="12">
        <f t="shared" si="0"/>
        <v>0.64068600000000231</v>
      </c>
      <c r="H38" s="12">
        <f t="shared" si="1"/>
        <v>0.64068600000000231</v>
      </c>
    </row>
    <row r="39" spans="1:8" x14ac:dyDescent="0.3">
      <c r="A39" s="12">
        <v>38</v>
      </c>
      <c r="B39" s="12" t="s">
        <v>52</v>
      </c>
      <c r="C39" s="12">
        <v>2</v>
      </c>
      <c r="D39" s="12">
        <v>102</v>
      </c>
      <c r="E39" s="12">
        <v>19.98</v>
      </c>
      <c r="F39" s="12">
        <v>100.02522</v>
      </c>
      <c r="G39" s="12">
        <f t="shared" si="0"/>
        <v>-1.9747799999999955</v>
      </c>
      <c r="H39" s="12">
        <f t="shared" si="1"/>
        <v>1.9747799999999955</v>
      </c>
    </row>
    <row r="40" spans="1:8" x14ac:dyDescent="0.3">
      <c r="A40" s="12">
        <v>39</v>
      </c>
      <c r="B40" s="12" t="s">
        <v>53</v>
      </c>
      <c r="C40" s="12">
        <v>3</v>
      </c>
      <c r="D40" s="12">
        <v>121</v>
      </c>
      <c r="E40" s="12">
        <v>24.19</v>
      </c>
      <c r="F40" s="12">
        <v>120.60791000000002</v>
      </c>
      <c r="G40" s="12">
        <f t="shared" si="0"/>
        <v>-0.39208999999998184</v>
      </c>
      <c r="H40" s="12">
        <f t="shared" si="1"/>
        <v>0.39208999999998184</v>
      </c>
    </row>
    <row r="41" spans="1:8" x14ac:dyDescent="0.3">
      <c r="A41" s="12">
        <v>40</v>
      </c>
      <c r="B41" s="12" t="s">
        <v>54</v>
      </c>
      <c r="C41" s="12">
        <v>1</v>
      </c>
      <c r="D41" s="12">
        <v>119</v>
      </c>
      <c r="E41" s="12">
        <v>23.940999999999999</v>
      </c>
      <c r="F41" s="12">
        <v>119.39054900000001</v>
      </c>
      <c r="G41" s="12">
        <f t="shared" si="0"/>
        <v>0.39054900000000714</v>
      </c>
      <c r="H41" s="12">
        <f t="shared" si="1"/>
        <v>0.39054900000000714</v>
      </c>
    </row>
    <row r="42" spans="1:8" x14ac:dyDescent="0.3">
      <c r="A42" s="12">
        <v>41</v>
      </c>
      <c r="B42" s="12" t="s">
        <v>55</v>
      </c>
      <c r="C42" s="12">
        <v>4</v>
      </c>
      <c r="D42" s="12">
        <v>100</v>
      </c>
      <c r="E42" s="12">
        <v>20.012</v>
      </c>
      <c r="F42" s="12">
        <v>100.18166800000002</v>
      </c>
      <c r="G42" s="12">
        <f t="shared" si="0"/>
        <v>0.18166800000001615</v>
      </c>
      <c r="H42" s="12">
        <f t="shared" si="1"/>
        <v>0.18166800000001615</v>
      </c>
    </row>
    <row r="43" spans="1:8" x14ac:dyDescent="0.3">
      <c r="A43" s="12">
        <v>42</v>
      </c>
      <c r="B43" s="12" t="s">
        <v>56</v>
      </c>
      <c r="C43" s="12">
        <v>4</v>
      </c>
      <c r="D43" s="12">
        <v>123</v>
      </c>
      <c r="E43" s="12">
        <v>25.08</v>
      </c>
      <c r="F43" s="12">
        <v>124.95912</v>
      </c>
      <c r="G43" s="12">
        <f t="shared" si="0"/>
        <v>1.9591199999999986</v>
      </c>
      <c r="H43" s="12">
        <f t="shared" si="1"/>
        <v>1.9591199999999986</v>
      </c>
    </row>
    <row r="44" spans="1:8" x14ac:dyDescent="0.3">
      <c r="A44" s="12">
        <v>43</v>
      </c>
      <c r="B44" s="12" t="s">
        <v>57</v>
      </c>
      <c r="C44" s="12">
        <v>2</v>
      </c>
      <c r="D44" s="12">
        <v>113</v>
      </c>
      <c r="E44" s="12">
        <v>22.876000000000001</v>
      </c>
      <c r="F44" s="12">
        <v>114.18376400000001</v>
      </c>
      <c r="G44" s="12">
        <f t="shared" si="0"/>
        <v>1.1837640000000107</v>
      </c>
      <c r="H44" s="12">
        <f t="shared" si="1"/>
        <v>1.1837640000000107</v>
      </c>
    </row>
    <row r="45" spans="1:8" x14ac:dyDescent="0.3">
      <c r="A45" s="12">
        <v>44</v>
      </c>
      <c r="B45" s="12" t="s">
        <v>58</v>
      </c>
      <c r="C45" s="12">
        <v>5</v>
      </c>
      <c r="D45" s="12">
        <v>105</v>
      </c>
      <c r="E45" s="12">
        <v>20.997</v>
      </c>
      <c r="F45" s="12">
        <v>104.99733300000001</v>
      </c>
      <c r="G45" s="12">
        <f t="shared" si="0"/>
        <v>-2.6669999999882066E-3</v>
      </c>
      <c r="H45" s="12">
        <f t="shared" si="1"/>
        <v>2.6669999999882066E-3</v>
      </c>
    </row>
    <row r="46" spans="1:8" x14ac:dyDescent="0.3">
      <c r="A46" s="12">
        <v>45</v>
      </c>
      <c r="B46" s="12" t="s">
        <v>59</v>
      </c>
      <c r="C46" s="12">
        <v>4</v>
      </c>
      <c r="D46" s="12">
        <v>108</v>
      </c>
      <c r="E46" s="12">
        <v>21.677</v>
      </c>
      <c r="F46" s="12">
        <v>108.321853</v>
      </c>
      <c r="G46" s="12">
        <f t="shared" si="0"/>
        <v>0.32185300000000439</v>
      </c>
      <c r="H46" s="12">
        <f t="shared" si="1"/>
        <v>0.32185300000000439</v>
      </c>
    </row>
    <row r="47" spans="1:8" x14ac:dyDescent="0.3">
      <c r="A47" s="12">
        <v>46</v>
      </c>
      <c r="B47" s="12" t="s">
        <v>60</v>
      </c>
      <c r="C47" s="12">
        <v>2</v>
      </c>
      <c r="D47" s="12">
        <v>100</v>
      </c>
      <c r="E47" s="12">
        <v>20.105</v>
      </c>
      <c r="F47" s="12">
        <v>100.63634500000001</v>
      </c>
      <c r="G47" s="12">
        <f t="shared" si="0"/>
        <v>0.63634500000000571</v>
      </c>
      <c r="H47" s="12">
        <f t="shared" si="1"/>
        <v>0.63634500000000571</v>
      </c>
    </row>
    <row r="48" spans="1:8" x14ac:dyDescent="0.3">
      <c r="A48" s="12">
        <v>47</v>
      </c>
      <c r="B48" s="12" t="s">
        <v>61</v>
      </c>
      <c r="C48" s="12">
        <v>1</v>
      </c>
      <c r="D48" s="12">
        <v>95</v>
      </c>
      <c r="E48" s="12">
        <v>19.143999999999998</v>
      </c>
      <c r="F48" s="12">
        <v>95.938016000000005</v>
      </c>
      <c r="G48" s="12">
        <f t="shared" si="0"/>
        <v>0.93801600000000462</v>
      </c>
      <c r="H48" s="12">
        <f t="shared" si="1"/>
        <v>0.93801600000000462</v>
      </c>
    </row>
    <row r="49" spans="1:8" x14ac:dyDescent="0.3">
      <c r="A49" s="12">
        <v>48</v>
      </c>
      <c r="B49" s="12" t="s">
        <v>62</v>
      </c>
      <c r="C49" s="12">
        <v>4</v>
      </c>
      <c r="D49" s="12">
        <v>110</v>
      </c>
      <c r="E49" s="12">
        <v>21.35</v>
      </c>
      <c r="F49" s="12">
        <v>106.72315000000002</v>
      </c>
      <c r="G49" s="12">
        <f t="shared" si="0"/>
        <v>-3.2768499999999818</v>
      </c>
      <c r="H49" s="12">
        <f t="shared" si="1"/>
        <v>3.2768499999999818</v>
      </c>
    </row>
    <row r="50" spans="1:8" x14ac:dyDescent="0.3">
      <c r="A50" s="12">
        <v>49</v>
      </c>
      <c r="B50" s="12" t="s">
        <v>63</v>
      </c>
      <c r="C50" s="12">
        <v>5</v>
      </c>
      <c r="D50" s="12">
        <v>103</v>
      </c>
      <c r="E50" s="12">
        <v>20.492999999999999</v>
      </c>
      <c r="F50" s="12">
        <v>102.533277</v>
      </c>
      <c r="G50" s="12">
        <f t="shared" si="0"/>
        <v>-0.46672300000000178</v>
      </c>
      <c r="H50" s="12">
        <f t="shared" si="1"/>
        <v>0.46672300000000178</v>
      </c>
    </row>
    <row r="51" spans="1:8" x14ac:dyDescent="0.3">
      <c r="A51" s="12">
        <v>50</v>
      </c>
      <c r="B51" s="12" t="s">
        <v>64</v>
      </c>
      <c r="C51" s="12">
        <v>5</v>
      </c>
      <c r="D51" s="12">
        <v>112</v>
      </c>
      <c r="E51" s="12">
        <v>21.870999999999999</v>
      </c>
      <c r="F51" s="12">
        <v>109.270319</v>
      </c>
      <c r="G51" s="12">
        <f t="shared" si="0"/>
        <v>-2.7296809999999994</v>
      </c>
      <c r="H51" s="12">
        <f t="shared" si="1"/>
        <v>2.7296809999999994</v>
      </c>
    </row>
    <row r="52" spans="1:8" x14ac:dyDescent="0.3">
      <c r="A52" s="12">
        <v>51</v>
      </c>
      <c r="B52" s="12" t="s">
        <v>65</v>
      </c>
      <c r="C52" s="12">
        <v>5</v>
      </c>
      <c r="D52" s="12">
        <v>93</v>
      </c>
      <c r="E52" s="12">
        <v>19.055</v>
      </c>
      <c r="F52" s="12">
        <v>95.502895000000009</v>
      </c>
      <c r="G52" s="12">
        <f t="shared" si="0"/>
        <v>2.5028950000000094</v>
      </c>
      <c r="H52" s="12">
        <f t="shared" si="1"/>
        <v>2.5028950000000094</v>
      </c>
    </row>
    <row r="53" spans="1:8" x14ac:dyDescent="0.3">
      <c r="A53" s="12">
        <v>52</v>
      </c>
      <c r="B53" s="12" t="s">
        <v>66</v>
      </c>
      <c r="C53" s="12">
        <v>4</v>
      </c>
      <c r="D53" s="12">
        <v>97</v>
      </c>
      <c r="E53" s="12">
        <v>19.378</v>
      </c>
      <c r="F53" s="12">
        <v>97.082042000000015</v>
      </c>
      <c r="G53" s="12">
        <f t="shared" si="0"/>
        <v>8.2042000000015491E-2</v>
      </c>
      <c r="H53" s="12">
        <f t="shared" si="1"/>
        <v>8.2042000000015491E-2</v>
      </c>
    </row>
    <row r="54" spans="1:8" x14ac:dyDescent="0.3">
      <c r="A54" s="12">
        <v>53</v>
      </c>
      <c r="B54" s="12" t="s">
        <v>67</v>
      </c>
      <c r="C54" s="12">
        <v>5</v>
      </c>
      <c r="D54" s="12">
        <v>86</v>
      </c>
      <c r="E54" s="12">
        <v>17.518999999999998</v>
      </c>
      <c r="F54" s="12">
        <v>87.993391000000003</v>
      </c>
      <c r="G54" s="12">
        <f t="shared" si="0"/>
        <v>1.9933910000000026</v>
      </c>
      <c r="H54" s="12">
        <f t="shared" si="1"/>
        <v>1.9933910000000026</v>
      </c>
    </row>
    <row r="55" spans="1:8" x14ac:dyDescent="0.3">
      <c r="A55" s="12">
        <v>54</v>
      </c>
      <c r="B55" s="12" t="s">
        <v>68</v>
      </c>
      <c r="C55" s="12">
        <v>5</v>
      </c>
      <c r="D55" s="12">
        <v>94</v>
      </c>
      <c r="E55" s="12">
        <v>18.95</v>
      </c>
      <c r="F55" s="12">
        <v>94.989550000000008</v>
      </c>
      <c r="G55" s="12">
        <f t="shared" si="0"/>
        <v>0.98955000000000837</v>
      </c>
      <c r="H55" s="12">
        <f t="shared" si="1"/>
        <v>0.98955000000000837</v>
      </c>
    </row>
    <row r="56" spans="1:8" x14ac:dyDescent="0.3">
      <c r="A56" s="12">
        <v>55</v>
      </c>
      <c r="B56" s="12" t="s">
        <v>69</v>
      </c>
      <c r="C56" s="12">
        <v>5</v>
      </c>
      <c r="D56" s="12">
        <v>106</v>
      </c>
      <c r="E56" s="12">
        <v>20.797999999999998</v>
      </c>
      <c r="F56" s="12">
        <v>104.024422</v>
      </c>
      <c r="G56" s="12">
        <f t="shared" si="0"/>
        <v>-1.9755779999999987</v>
      </c>
      <c r="H56" s="12">
        <f t="shared" si="1"/>
        <v>1.9755779999999987</v>
      </c>
    </row>
    <row r="57" spans="1:8" x14ac:dyDescent="0.3">
      <c r="A57" s="12">
        <v>56</v>
      </c>
      <c r="B57" s="12" t="s">
        <v>70</v>
      </c>
      <c r="C57" s="12">
        <v>1</v>
      </c>
      <c r="D57" s="12">
        <v>93</v>
      </c>
      <c r="E57" s="12">
        <v>18.574999999999999</v>
      </c>
      <c r="F57" s="12">
        <v>93.156175000000005</v>
      </c>
      <c r="G57" s="12">
        <f t="shared" si="0"/>
        <v>0.15617500000000462</v>
      </c>
      <c r="H57" s="12">
        <f t="shared" si="1"/>
        <v>0.15617500000000462</v>
      </c>
    </row>
    <row r="58" spans="1:8" x14ac:dyDescent="0.3">
      <c r="A58" s="12">
        <v>57</v>
      </c>
      <c r="B58" s="12" t="s">
        <v>71</v>
      </c>
      <c r="C58" s="12">
        <v>2</v>
      </c>
      <c r="D58" s="12">
        <v>104</v>
      </c>
      <c r="E58" s="12">
        <v>20.681000000000001</v>
      </c>
      <c r="F58" s="12">
        <v>103.45240900000002</v>
      </c>
      <c r="G58" s="12">
        <f t="shared" si="0"/>
        <v>-0.54759099999998284</v>
      </c>
      <c r="H58" s="12">
        <f t="shared" si="1"/>
        <v>0.54759099999998284</v>
      </c>
    </row>
    <row r="59" spans="1:8" x14ac:dyDescent="0.3">
      <c r="A59" s="12">
        <v>58</v>
      </c>
      <c r="B59" s="12" t="s">
        <v>72</v>
      </c>
      <c r="C59" s="12">
        <v>2</v>
      </c>
      <c r="D59" s="12">
        <v>84</v>
      </c>
      <c r="E59" s="12">
        <v>16.178999999999998</v>
      </c>
      <c r="F59" s="12">
        <v>81.442131000000003</v>
      </c>
      <c r="G59" s="12">
        <f t="shared" si="0"/>
        <v>-2.5578689999999966</v>
      </c>
      <c r="H59" s="12">
        <f t="shared" si="1"/>
        <v>2.5578689999999966</v>
      </c>
    </row>
    <row r="60" spans="1:8" x14ac:dyDescent="0.3">
      <c r="A60" s="12">
        <v>59</v>
      </c>
      <c r="B60" s="12" t="s">
        <v>73</v>
      </c>
      <c r="C60" s="12">
        <v>5</v>
      </c>
      <c r="D60" s="12">
        <v>103</v>
      </c>
      <c r="E60" s="12">
        <v>20.353999999999999</v>
      </c>
      <c r="F60" s="12">
        <v>101.853706</v>
      </c>
      <c r="G60" s="12">
        <f t="shared" si="0"/>
        <v>-1.1462939999999975</v>
      </c>
      <c r="H60" s="12">
        <f t="shared" si="1"/>
        <v>1.1462939999999975</v>
      </c>
    </row>
    <row r="61" spans="1:8" x14ac:dyDescent="0.3">
      <c r="A61" s="12">
        <v>60</v>
      </c>
      <c r="B61" s="12" t="s">
        <v>74</v>
      </c>
      <c r="C61" s="12">
        <v>3</v>
      </c>
      <c r="D61" s="12">
        <v>104</v>
      </c>
      <c r="E61" s="12">
        <v>20.734999999999999</v>
      </c>
      <c r="F61" s="12">
        <v>103.71641500000001</v>
      </c>
      <c r="G61" s="12">
        <f t="shared" si="0"/>
        <v>-0.28358499999998799</v>
      </c>
      <c r="H61" s="12">
        <f t="shared" si="1"/>
        <v>0.28358499999998799</v>
      </c>
    </row>
    <row r="62" spans="1:8" x14ac:dyDescent="0.3">
      <c r="A62" s="12">
        <v>61</v>
      </c>
      <c r="B62" s="12" t="s">
        <v>75</v>
      </c>
      <c r="C62" s="12">
        <v>2</v>
      </c>
      <c r="D62" s="12">
        <v>89</v>
      </c>
      <c r="E62" s="12">
        <v>17.759</v>
      </c>
      <c r="F62" s="12">
        <v>89.166751000000005</v>
      </c>
      <c r="G62" s="12">
        <f t="shared" si="0"/>
        <v>0.16675100000000498</v>
      </c>
      <c r="H62" s="12">
        <f t="shared" si="1"/>
        <v>0.16675100000000498</v>
      </c>
    </row>
    <row r="63" spans="1:8" x14ac:dyDescent="0.3">
      <c r="A63" s="12">
        <v>62</v>
      </c>
      <c r="B63" s="12" t="s">
        <v>76</v>
      </c>
      <c r="C63" s="12">
        <v>4</v>
      </c>
      <c r="D63" s="12">
        <v>95</v>
      </c>
      <c r="E63" s="12">
        <v>18.472000000000001</v>
      </c>
      <c r="F63" s="12">
        <v>92.652608000000015</v>
      </c>
      <c r="G63" s="12">
        <f t="shared" si="0"/>
        <v>-2.347391999999985</v>
      </c>
      <c r="H63" s="12">
        <f t="shared" si="1"/>
        <v>2.347391999999985</v>
      </c>
    </row>
    <row r="64" spans="1:8" x14ac:dyDescent="0.3">
      <c r="A64" s="12">
        <v>63</v>
      </c>
      <c r="B64" s="12" t="s">
        <v>77</v>
      </c>
      <c r="C64" s="12">
        <v>4</v>
      </c>
      <c r="D64" s="12">
        <v>113</v>
      </c>
      <c r="E64" s="12">
        <v>23.01</v>
      </c>
      <c r="F64" s="12">
        <v>114.83889000000002</v>
      </c>
      <c r="G64" s="12">
        <f t="shared" si="0"/>
        <v>1.8388900000000206</v>
      </c>
      <c r="H64" s="12">
        <f t="shared" si="1"/>
        <v>1.8388900000000206</v>
      </c>
    </row>
    <row r="65" spans="1:8" x14ac:dyDescent="0.3">
      <c r="A65" s="12">
        <v>64</v>
      </c>
      <c r="B65" s="12" t="s">
        <v>78</v>
      </c>
      <c r="C65" s="12">
        <v>1</v>
      </c>
      <c r="D65" s="12">
        <v>107</v>
      </c>
      <c r="E65" s="12">
        <v>21.364000000000001</v>
      </c>
      <c r="F65" s="12">
        <v>106.79159600000001</v>
      </c>
      <c r="G65" s="12">
        <f t="shared" si="0"/>
        <v>-0.20840399999998738</v>
      </c>
      <c r="H65" s="12">
        <f t="shared" si="1"/>
        <v>0.20840399999998738</v>
      </c>
    </row>
    <row r="66" spans="1:8" x14ac:dyDescent="0.3">
      <c r="A66" s="12">
        <v>65</v>
      </c>
      <c r="B66" s="12" t="s">
        <v>79</v>
      </c>
      <c r="C66" s="12">
        <v>4</v>
      </c>
      <c r="D66" s="12">
        <v>82</v>
      </c>
      <c r="E66" s="12">
        <v>16.413</v>
      </c>
      <c r="F66" s="12">
        <v>82.586157000000014</v>
      </c>
      <c r="G66" s="12">
        <f t="shared" si="0"/>
        <v>0.58615700000001425</v>
      </c>
      <c r="H66" s="12">
        <f t="shared" si="1"/>
        <v>0.58615700000001425</v>
      </c>
    </row>
    <row r="67" spans="1:8" x14ac:dyDescent="0.3">
      <c r="A67" s="12">
        <v>66</v>
      </c>
      <c r="B67" s="12" t="s">
        <v>80</v>
      </c>
      <c r="C67" s="12">
        <v>4</v>
      </c>
      <c r="D67" s="12">
        <v>106</v>
      </c>
      <c r="E67" s="12">
        <v>21.343</v>
      </c>
      <c r="F67" s="12">
        <v>106.68892700000001</v>
      </c>
      <c r="G67" s="12">
        <f t="shared" ref="G67:G130" si="2">F67-D67</f>
        <v>0.68892700000000673</v>
      </c>
      <c r="H67" s="12">
        <f t="shared" ref="H67:H130" si="3">ABS(F67-D67)</f>
        <v>0.68892700000000673</v>
      </c>
    </row>
    <row r="68" spans="1:8" x14ac:dyDescent="0.3">
      <c r="A68" s="12">
        <v>67</v>
      </c>
      <c r="B68" s="12" t="s">
        <v>81</v>
      </c>
      <c r="C68" s="12">
        <v>2</v>
      </c>
      <c r="D68" s="12">
        <v>115</v>
      </c>
      <c r="E68" s="12">
        <v>22.719000000000001</v>
      </c>
      <c r="F68" s="12">
        <v>113.41619100000001</v>
      </c>
      <c r="G68" s="12">
        <f t="shared" si="2"/>
        <v>-1.583808999999988</v>
      </c>
      <c r="H68" s="12">
        <f t="shared" si="3"/>
        <v>1.583808999999988</v>
      </c>
    </row>
    <row r="69" spans="1:8" x14ac:dyDescent="0.3">
      <c r="A69" s="12">
        <v>68</v>
      </c>
      <c r="B69" s="12" t="s">
        <v>82</v>
      </c>
      <c r="C69" s="12">
        <v>2</v>
      </c>
      <c r="D69" s="12">
        <v>109</v>
      </c>
      <c r="E69" s="12">
        <v>21.963000000000001</v>
      </c>
      <c r="F69" s="12">
        <v>109.72010700000001</v>
      </c>
      <c r="G69" s="12">
        <f t="shared" si="2"/>
        <v>0.72010700000001293</v>
      </c>
      <c r="H69" s="12">
        <f t="shared" si="3"/>
        <v>0.72010700000001293</v>
      </c>
    </row>
    <row r="70" spans="1:8" x14ac:dyDescent="0.3">
      <c r="A70" s="12">
        <v>69</v>
      </c>
      <c r="B70" s="12" t="s">
        <v>83</v>
      </c>
      <c r="C70" s="12">
        <v>1</v>
      </c>
      <c r="D70" s="12">
        <v>115</v>
      </c>
      <c r="E70" s="12">
        <v>22.869</v>
      </c>
      <c r="F70" s="12">
        <v>114.14954100000001</v>
      </c>
      <c r="G70" s="12">
        <f t="shared" si="2"/>
        <v>-0.85045899999998653</v>
      </c>
      <c r="H70" s="12">
        <f t="shared" si="3"/>
        <v>0.85045899999998653</v>
      </c>
    </row>
    <row r="71" spans="1:8" x14ac:dyDescent="0.3">
      <c r="A71" s="12">
        <v>70</v>
      </c>
      <c r="B71" s="12" t="s">
        <v>84</v>
      </c>
      <c r="C71" s="12">
        <v>1</v>
      </c>
      <c r="D71" s="12">
        <v>106</v>
      </c>
      <c r="E71" s="12">
        <v>20.881</v>
      </c>
      <c r="F71" s="12">
        <v>104.430209</v>
      </c>
      <c r="G71" s="12">
        <f t="shared" si="2"/>
        <v>-1.5697909999999951</v>
      </c>
      <c r="H71" s="12">
        <f t="shared" si="3"/>
        <v>1.5697909999999951</v>
      </c>
    </row>
    <row r="72" spans="1:8" x14ac:dyDescent="0.3">
      <c r="A72" s="12">
        <v>71</v>
      </c>
      <c r="B72" s="12" t="s">
        <v>85</v>
      </c>
      <c r="C72" s="12">
        <v>1</v>
      </c>
      <c r="D72" s="12">
        <v>119</v>
      </c>
      <c r="E72" s="12">
        <v>24.004000000000001</v>
      </c>
      <c r="F72" s="12">
        <v>119.69855600000001</v>
      </c>
      <c r="G72" s="12">
        <f t="shared" si="2"/>
        <v>0.69855600000001061</v>
      </c>
      <c r="H72" s="12">
        <f t="shared" si="3"/>
        <v>0.69855600000001061</v>
      </c>
    </row>
    <row r="73" spans="1:8" x14ac:dyDescent="0.3">
      <c r="A73" s="12">
        <v>72</v>
      </c>
      <c r="B73" s="12" t="s">
        <v>86</v>
      </c>
      <c r="C73" s="12">
        <v>5</v>
      </c>
      <c r="D73" s="12">
        <v>96</v>
      </c>
      <c r="E73" s="12">
        <v>19.731000000000002</v>
      </c>
      <c r="F73" s="12">
        <v>98.807859000000022</v>
      </c>
      <c r="G73" s="12">
        <f t="shared" si="2"/>
        <v>2.8078590000000219</v>
      </c>
      <c r="H73" s="12">
        <f t="shared" si="3"/>
        <v>2.8078590000000219</v>
      </c>
    </row>
    <row r="74" spans="1:8" x14ac:dyDescent="0.3">
      <c r="A74" s="12">
        <v>73</v>
      </c>
      <c r="B74" s="12" t="s">
        <v>87</v>
      </c>
      <c r="C74" s="12">
        <v>1</v>
      </c>
      <c r="D74" s="12">
        <v>89</v>
      </c>
      <c r="E74" s="12">
        <v>18.058</v>
      </c>
      <c r="F74" s="12">
        <v>90.628562000000002</v>
      </c>
      <c r="G74" s="12">
        <f t="shared" si="2"/>
        <v>1.6285620000000023</v>
      </c>
      <c r="H74" s="12">
        <f t="shared" si="3"/>
        <v>1.6285620000000023</v>
      </c>
    </row>
    <row r="75" spans="1:8" x14ac:dyDescent="0.3">
      <c r="A75" s="12">
        <v>74</v>
      </c>
      <c r="B75" s="12" t="s">
        <v>88</v>
      </c>
      <c r="C75" s="12">
        <v>1</v>
      </c>
      <c r="D75" s="12">
        <v>109</v>
      </c>
      <c r="E75" s="12">
        <v>22.129000000000001</v>
      </c>
      <c r="F75" s="12">
        <v>110.53168100000002</v>
      </c>
      <c r="G75" s="12">
        <f t="shared" si="2"/>
        <v>1.5316810000000203</v>
      </c>
      <c r="H75" s="12">
        <f t="shared" si="3"/>
        <v>1.5316810000000203</v>
      </c>
    </row>
    <row r="76" spans="1:8" x14ac:dyDescent="0.3">
      <c r="A76" s="12">
        <v>75</v>
      </c>
      <c r="B76" s="12" t="s">
        <v>89</v>
      </c>
      <c r="C76" s="12">
        <v>3</v>
      </c>
      <c r="D76" s="12">
        <v>105</v>
      </c>
      <c r="E76" s="12">
        <v>20.815000000000001</v>
      </c>
      <c r="F76" s="12">
        <v>104.10753500000001</v>
      </c>
      <c r="G76" s="12">
        <f t="shared" si="2"/>
        <v>-0.89246499999998719</v>
      </c>
      <c r="H76" s="12">
        <f t="shared" si="3"/>
        <v>0.89246499999998719</v>
      </c>
    </row>
    <row r="77" spans="1:8" x14ac:dyDescent="0.3">
      <c r="A77" s="12">
        <v>76</v>
      </c>
      <c r="B77" s="12" t="s">
        <v>90</v>
      </c>
      <c r="C77" s="12">
        <v>1</v>
      </c>
      <c r="D77" s="12">
        <v>100</v>
      </c>
      <c r="E77" s="12">
        <v>19.431000000000001</v>
      </c>
      <c r="F77" s="12">
        <v>97.341159000000019</v>
      </c>
      <c r="G77" s="12">
        <f t="shared" si="2"/>
        <v>-2.6588409999999811</v>
      </c>
      <c r="H77" s="12">
        <f t="shared" si="3"/>
        <v>2.6588409999999811</v>
      </c>
    </row>
    <row r="78" spans="1:8" x14ac:dyDescent="0.3">
      <c r="A78" s="12">
        <v>77</v>
      </c>
      <c r="B78" s="12" t="s">
        <v>91</v>
      </c>
      <c r="C78" s="12">
        <v>1</v>
      </c>
      <c r="D78" s="12">
        <v>114</v>
      </c>
      <c r="E78" s="12">
        <v>23.331</v>
      </c>
      <c r="F78" s="12">
        <v>116.408259</v>
      </c>
      <c r="G78" s="12">
        <f t="shared" si="2"/>
        <v>2.408259000000001</v>
      </c>
      <c r="H78" s="12">
        <f t="shared" si="3"/>
        <v>2.408259000000001</v>
      </c>
    </row>
    <row r="79" spans="1:8" x14ac:dyDescent="0.3">
      <c r="A79" s="12">
        <v>78</v>
      </c>
      <c r="B79" s="12" t="s">
        <v>92</v>
      </c>
      <c r="C79" s="12">
        <v>1</v>
      </c>
      <c r="D79" s="12">
        <v>103</v>
      </c>
      <c r="E79" s="12">
        <v>21.332000000000001</v>
      </c>
      <c r="F79" s="12">
        <v>106.63514800000002</v>
      </c>
      <c r="G79" s="12">
        <f t="shared" si="2"/>
        <v>3.6351480000000151</v>
      </c>
      <c r="H79" s="12">
        <f t="shared" si="3"/>
        <v>3.6351480000000151</v>
      </c>
    </row>
    <row r="80" spans="1:8" x14ac:dyDescent="0.3">
      <c r="A80" s="12">
        <v>79</v>
      </c>
      <c r="B80" s="12" t="s">
        <v>93</v>
      </c>
      <c r="C80" s="12">
        <v>1</v>
      </c>
      <c r="D80" s="12">
        <v>118</v>
      </c>
      <c r="E80" s="12">
        <v>24.15</v>
      </c>
      <c r="F80" s="12">
        <v>120.41235</v>
      </c>
      <c r="G80" s="12">
        <f t="shared" si="2"/>
        <v>2.4123500000000035</v>
      </c>
      <c r="H80" s="12">
        <f t="shared" si="3"/>
        <v>2.4123500000000035</v>
      </c>
    </row>
    <row r="81" spans="1:8" x14ac:dyDescent="0.3">
      <c r="A81" s="12">
        <v>80</v>
      </c>
      <c r="B81" s="12" t="s">
        <v>94</v>
      </c>
      <c r="C81" s="12">
        <v>1</v>
      </c>
      <c r="D81" s="12">
        <v>109</v>
      </c>
      <c r="E81" s="12">
        <v>21.68</v>
      </c>
      <c r="F81" s="12">
        <v>108.33652000000001</v>
      </c>
      <c r="G81" s="12">
        <f t="shared" si="2"/>
        <v>-0.66347999999999274</v>
      </c>
      <c r="H81" s="12">
        <f t="shared" si="3"/>
        <v>0.66347999999999274</v>
      </c>
    </row>
    <row r="82" spans="1:8" x14ac:dyDescent="0.3">
      <c r="A82" s="12">
        <v>81</v>
      </c>
      <c r="B82" s="12" t="s">
        <v>95</v>
      </c>
      <c r="C82" s="12">
        <v>5</v>
      </c>
      <c r="D82" s="12">
        <v>120</v>
      </c>
      <c r="E82" s="12">
        <v>23.588999999999999</v>
      </c>
      <c r="F82" s="12">
        <v>117.66962100000001</v>
      </c>
      <c r="G82" s="12">
        <f t="shared" si="2"/>
        <v>-2.3303789999999935</v>
      </c>
      <c r="H82" s="12">
        <f t="shared" si="3"/>
        <v>2.3303789999999935</v>
      </c>
    </row>
    <row r="83" spans="1:8" x14ac:dyDescent="0.3">
      <c r="A83" s="12">
        <v>82</v>
      </c>
      <c r="B83" s="12" t="s">
        <v>96</v>
      </c>
      <c r="C83" s="12">
        <v>3</v>
      </c>
      <c r="D83" s="12">
        <v>112</v>
      </c>
      <c r="E83" s="12">
        <v>22.02</v>
      </c>
      <c r="F83" s="12">
        <v>109.99878000000001</v>
      </c>
      <c r="G83" s="12">
        <f t="shared" si="2"/>
        <v>-2.0012199999999893</v>
      </c>
      <c r="H83" s="12">
        <f t="shared" si="3"/>
        <v>2.0012199999999893</v>
      </c>
    </row>
    <row r="84" spans="1:8" x14ac:dyDescent="0.3">
      <c r="A84" s="12">
        <v>83</v>
      </c>
      <c r="B84" s="12" t="s">
        <v>97</v>
      </c>
      <c r="C84" s="12">
        <v>1</v>
      </c>
      <c r="D84" s="12">
        <v>116</v>
      </c>
      <c r="E84" s="12">
        <v>22.6</v>
      </c>
      <c r="F84" s="12">
        <v>112.83440000000002</v>
      </c>
      <c r="G84" s="12">
        <f t="shared" si="2"/>
        <v>-3.1655999999999835</v>
      </c>
      <c r="H84" s="12">
        <f t="shared" si="3"/>
        <v>3.1655999999999835</v>
      </c>
    </row>
    <row r="85" spans="1:8" x14ac:dyDescent="0.3">
      <c r="A85" s="12">
        <v>84</v>
      </c>
      <c r="B85" s="12" t="s">
        <v>98</v>
      </c>
      <c r="C85" s="12">
        <v>3</v>
      </c>
      <c r="D85" s="12">
        <v>106</v>
      </c>
      <c r="E85" s="12">
        <v>21.161999999999999</v>
      </c>
      <c r="F85" s="12">
        <v>105.804018</v>
      </c>
      <c r="G85" s="12">
        <f t="shared" si="2"/>
        <v>-0.19598200000000077</v>
      </c>
      <c r="H85" s="12">
        <f t="shared" si="3"/>
        <v>0.19598200000000077</v>
      </c>
    </row>
    <row r="86" spans="1:8" x14ac:dyDescent="0.3">
      <c r="A86" s="12">
        <v>85</v>
      </c>
      <c r="B86" s="12" t="s">
        <v>99</v>
      </c>
      <c r="C86" s="12">
        <v>1</v>
      </c>
      <c r="D86" s="12">
        <v>101</v>
      </c>
      <c r="E86" s="12">
        <v>20.771999999999998</v>
      </c>
      <c r="F86" s="12">
        <v>103.897308</v>
      </c>
      <c r="G86" s="12">
        <f t="shared" si="2"/>
        <v>2.8973079999999953</v>
      </c>
      <c r="H86" s="12">
        <f t="shared" si="3"/>
        <v>2.8973079999999953</v>
      </c>
    </row>
    <row r="87" spans="1:8" x14ac:dyDescent="0.3">
      <c r="A87" s="12">
        <v>86</v>
      </c>
      <c r="B87" s="12" t="s">
        <v>100</v>
      </c>
      <c r="C87" s="12">
        <v>4</v>
      </c>
      <c r="D87" s="12">
        <v>125</v>
      </c>
      <c r="E87" s="12">
        <v>24.95</v>
      </c>
      <c r="F87" s="12">
        <v>124.32355000000001</v>
      </c>
      <c r="G87" s="12">
        <f t="shared" si="2"/>
        <v>-0.67644999999998845</v>
      </c>
      <c r="H87" s="12">
        <f t="shared" si="3"/>
        <v>0.67644999999998845</v>
      </c>
    </row>
    <row r="88" spans="1:8" x14ac:dyDescent="0.3">
      <c r="A88" s="12">
        <v>87</v>
      </c>
      <c r="B88" s="12" t="s">
        <v>101</v>
      </c>
      <c r="C88" s="12">
        <v>1</v>
      </c>
      <c r="D88" s="12">
        <v>112</v>
      </c>
      <c r="E88" s="12">
        <v>22.507999999999999</v>
      </c>
      <c r="F88" s="12">
        <v>112.384612</v>
      </c>
      <c r="G88" s="12">
        <f t="shared" si="2"/>
        <v>0.38461200000000417</v>
      </c>
      <c r="H88" s="12">
        <f t="shared" si="3"/>
        <v>0.38461200000000417</v>
      </c>
    </row>
    <row r="89" spans="1:8" x14ac:dyDescent="0.3">
      <c r="A89" s="12">
        <v>88</v>
      </c>
      <c r="B89" s="12" t="s">
        <v>102</v>
      </c>
      <c r="C89" s="12">
        <v>5</v>
      </c>
      <c r="D89" s="12">
        <v>103</v>
      </c>
      <c r="E89" s="12">
        <v>21.09</v>
      </c>
      <c r="F89" s="12">
        <v>105.45201</v>
      </c>
      <c r="G89" s="12">
        <f t="shared" si="2"/>
        <v>2.4520100000000014</v>
      </c>
      <c r="H89" s="12">
        <f t="shared" si="3"/>
        <v>2.4520100000000014</v>
      </c>
    </row>
    <row r="90" spans="1:8" x14ac:dyDescent="0.3">
      <c r="A90" s="12">
        <v>89</v>
      </c>
      <c r="B90" s="12" t="s">
        <v>103</v>
      </c>
      <c r="C90" s="12">
        <v>5</v>
      </c>
      <c r="D90" s="12">
        <v>75</v>
      </c>
      <c r="E90" s="12">
        <v>14.856</v>
      </c>
      <c r="F90" s="12">
        <v>74.973984000000002</v>
      </c>
      <c r="G90" s="12">
        <f t="shared" si="2"/>
        <v>-2.6015999999998485E-2</v>
      </c>
      <c r="H90" s="12">
        <f t="shared" si="3"/>
        <v>2.6015999999998485E-2</v>
      </c>
    </row>
    <row r="91" spans="1:8" x14ac:dyDescent="0.3">
      <c r="A91" s="12">
        <v>90</v>
      </c>
      <c r="B91" s="12" t="s">
        <v>104</v>
      </c>
      <c r="C91" s="12">
        <v>3</v>
      </c>
      <c r="D91" s="12">
        <v>113</v>
      </c>
      <c r="E91" s="12">
        <v>23.324999999999999</v>
      </c>
      <c r="F91" s="12">
        <v>116.37892500000001</v>
      </c>
      <c r="G91" s="12">
        <f t="shared" si="2"/>
        <v>3.3789250000000095</v>
      </c>
      <c r="H91" s="12">
        <f t="shared" si="3"/>
        <v>3.3789250000000095</v>
      </c>
    </row>
    <row r="92" spans="1:8" x14ac:dyDescent="0.3">
      <c r="A92" s="12">
        <v>91</v>
      </c>
      <c r="B92" s="12" t="s">
        <v>105</v>
      </c>
      <c r="C92" s="12">
        <v>1</v>
      </c>
      <c r="D92" s="12">
        <v>106</v>
      </c>
      <c r="E92" s="12">
        <v>21.91</v>
      </c>
      <c r="F92" s="12">
        <v>109.46099000000001</v>
      </c>
      <c r="G92" s="12">
        <f t="shared" si="2"/>
        <v>3.4609900000000096</v>
      </c>
      <c r="H92" s="12">
        <f t="shared" si="3"/>
        <v>3.4609900000000096</v>
      </c>
    </row>
    <row r="93" spans="1:8" x14ac:dyDescent="0.3">
      <c r="A93" s="12">
        <v>92</v>
      </c>
      <c r="B93" s="12" t="s">
        <v>106</v>
      </c>
      <c r="C93" s="12">
        <v>5</v>
      </c>
      <c r="D93" s="12">
        <v>117</v>
      </c>
      <c r="E93" s="12">
        <v>23.353000000000002</v>
      </c>
      <c r="F93" s="12">
        <v>116.51581700000001</v>
      </c>
      <c r="G93" s="12">
        <f t="shared" si="2"/>
        <v>-0.48418299999998737</v>
      </c>
      <c r="H93" s="12">
        <f t="shared" si="3"/>
        <v>0.48418299999998737</v>
      </c>
    </row>
    <row r="94" spans="1:8" x14ac:dyDescent="0.3">
      <c r="A94" s="12">
        <v>93</v>
      </c>
      <c r="B94" s="12" t="s">
        <v>107</v>
      </c>
      <c r="C94" s="12">
        <v>2</v>
      </c>
      <c r="D94" s="12">
        <v>98</v>
      </c>
      <c r="E94" s="12">
        <v>19.393999999999998</v>
      </c>
      <c r="F94" s="12">
        <v>97.160265999999993</v>
      </c>
      <c r="G94" s="12">
        <f t="shared" si="2"/>
        <v>-0.83973400000000709</v>
      </c>
      <c r="H94" s="12">
        <f t="shared" si="3"/>
        <v>0.83973400000000709</v>
      </c>
    </row>
    <row r="95" spans="1:8" x14ac:dyDescent="0.3">
      <c r="A95" s="12">
        <v>94</v>
      </c>
      <c r="B95" s="12" t="s">
        <v>108</v>
      </c>
      <c r="C95" s="12">
        <v>1</v>
      </c>
      <c r="D95" s="12">
        <v>90</v>
      </c>
      <c r="E95" s="12">
        <v>18.248000000000001</v>
      </c>
      <c r="F95" s="12">
        <v>91.557472000000018</v>
      </c>
      <c r="G95" s="12">
        <f t="shared" si="2"/>
        <v>1.5574720000000184</v>
      </c>
      <c r="H95" s="12">
        <f t="shared" si="3"/>
        <v>1.5574720000000184</v>
      </c>
    </row>
    <row r="96" spans="1:8" x14ac:dyDescent="0.3">
      <c r="A96" s="12">
        <v>95</v>
      </c>
      <c r="B96" s="12" t="s">
        <v>109</v>
      </c>
      <c r="C96" s="12">
        <v>2</v>
      </c>
      <c r="D96" s="12">
        <v>123</v>
      </c>
      <c r="E96" s="12">
        <v>24.475999999999999</v>
      </c>
      <c r="F96" s="12">
        <v>122.006164</v>
      </c>
      <c r="G96" s="12">
        <f t="shared" si="2"/>
        <v>-0.99383600000000172</v>
      </c>
      <c r="H96" s="12">
        <f t="shared" si="3"/>
        <v>0.99383600000000172</v>
      </c>
    </row>
    <row r="97" spans="1:8" x14ac:dyDescent="0.3">
      <c r="A97" s="12">
        <v>96</v>
      </c>
      <c r="B97" s="12" t="s">
        <v>110</v>
      </c>
      <c r="C97" s="12">
        <v>4</v>
      </c>
      <c r="D97" s="12">
        <v>108</v>
      </c>
      <c r="E97" s="12">
        <v>21.187999999999999</v>
      </c>
      <c r="F97" s="12">
        <v>105.93113200000001</v>
      </c>
      <c r="G97" s="12">
        <f t="shared" si="2"/>
        <v>-2.0688679999999948</v>
      </c>
      <c r="H97" s="12">
        <f t="shared" si="3"/>
        <v>2.0688679999999948</v>
      </c>
    </row>
    <row r="98" spans="1:8" x14ac:dyDescent="0.3">
      <c r="A98" s="12">
        <v>97</v>
      </c>
      <c r="B98" s="12" t="s">
        <v>111</v>
      </c>
      <c r="C98" s="12">
        <v>3</v>
      </c>
      <c r="D98" s="12">
        <v>81</v>
      </c>
      <c r="E98" s="12">
        <v>16.655999999999999</v>
      </c>
      <c r="F98" s="12">
        <v>83.774184000000005</v>
      </c>
      <c r="G98" s="12">
        <f t="shared" si="2"/>
        <v>2.7741840000000053</v>
      </c>
      <c r="H98" s="12">
        <f t="shared" si="3"/>
        <v>2.7741840000000053</v>
      </c>
    </row>
    <row r="99" spans="1:8" x14ac:dyDescent="0.3">
      <c r="A99" s="12">
        <v>98</v>
      </c>
      <c r="B99" s="12" t="s">
        <v>112</v>
      </c>
      <c r="C99" s="12">
        <v>3</v>
      </c>
      <c r="D99" s="12">
        <v>107</v>
      </c>
      <c r="E99" s="12">
        <v>21.832999999999998</v>
      </c>
      <c r="F99" s="12">
        <v>109.084537</v>
      </c>
      <c r="G99" s="12">
        <f t="shared" si="2"/>
        <v>2.0845369999999974</v>
      </c>
      <c r="H99" s="12">
        <f t="shared" si="3"/>
        <v>2.0845369999999974</v>
      </c>
    </row>
    <row r="100" spans="1:8" x14ac:dyDescent="0.3">
      <c r="A100" s="12">
        <v>99</v>
      </c>
      <c r="B100" s="12" t="s">
        <v>113</v>
      </c>
      <c r="C100" s="12">
        <v>4</v>
      </c>
      <c r="D100" s="12">
        <v>94</v>
      </c>
      <c r="E100" s="12">
        <v>18.855</v>
      </c>
      <c r="F100" s="12">
        <v>94.525095000000007</v>
      </c>
      <c r="G100" s="12">
        <f t="shared" si="2"/>
        <v>0.52509500000000742</v>
      </c>
      <c r="H100" s="12">
        <f t="shared" si="3"/>
        <v>0.52509500000000742</v>
      </c>
    </row>
    <row r="101" spans="1:8" x14ac:dyDescent="0.3">
      <c r="A101" s="12">
        <v>100</v>
      </c>
      <c r="B101" s="12" t="s">
        <v>114</v>
      </c>
      <c r="C101" s="12">
        <v>5</v>
      </c>
      <c r="D101" s="12">
        <v>104</v>
      </c>
      <c r="E101" s="12">
        <v>20.350000000000001</v>
      </c>
      <c r="F101" s="12">
        <v>101.83415000000001</v>
      </c>
      <c r="G101" s="12">
        <f t="shared" si="2"/>
        <v>-2.1658499999999918</v>
      </c>
      <c r="H101" s="12">
        <f t="shared" si="3"/>
        <v>2.1658499999999918</v>
      </c>
    </row>
    <row r="102" spans="1:8" x14ac:dyDescent="0.3">
      <c r="A102" s="12">
        <v>101</v>
      </c>
      <c r="B102" s="12" t="s">
        <v>115</v>
      </c>
      <c r="C102" s="12">
        <v>4</v>
      </c>
      <c r="D102" s="12">
        <v>116</v>
      </c>
      <c r="E102" s="12">
        <v>22.762</v>
      </c>
      <c r="F102" s="12">
        <v>113.62641800000002</v>
      </c>
      <c r="G102" s="12">
        <f t="shared" si="2"/>
        <v>-2.3735819999999848</v>
      </c>
      <c r="H102" s="12">
        <f t="shared" si="3"/>
        <v>2.3735819999999848</v>
      </c>
    </row>
    <row r="103" spans="1:8" x14ac:dyDescent="0.3">
      <c r="A103" s="12">
        <v>102</v>
      </c>
      <c r="B103" s="12" t="s">
        <v>116</v>
      </c>
      <c r="C103" s="12">
        <v>1</v>
      </c>
      <c r="D103" s="12">
        <v>110</v>
      </c>
      <c r="E103" s="12">
        <v>22.038</v>
      </c>
      <c r="F103" s="12">
        <v>110.08678200000001</v>
      </c>
      <c r="G103" s="12">
        <f t="shared" si="2"/>
        <v>8.6782000000013682E-2</v>
      </c>
      <c r="H103" s="12">
        <f t="shared" si="3"/>
        <v>8.6782000000013682E-2</v>
      </c>
    </row>
    <row r="104" spans="1:8" x14ac:dyDescent="0.3">
      <c r="A104" s="12">
        <v>103</v>
      </c>
      <c r="B104" s="12" t="s">
        <v>117</v>
      </c>
      <c r="C104" s="12">
        <v>5</v>
      </c>
      <c r="D104" s="12">
        <v>117</v>
      </c>
      <c r="E104" s="12">
        <v>23.222000000000001</v>
      </c>
      <c r="F104" s="12">
        <v>115.87535800000002</v>
      </c>
      <c r="G104" s="12">
        <f t="shared" si="2"/>
        <v>-1.1246419999999802</v>
      </c>
      <c r="H104" s="12">
        <f t="shared" si="3"/>
        <v>1.1246419999999802</v>
      </c>
    </row>
    <row r="105" spans="1:8" x14ac:dyDescent="0.3">
      <c r="A105" s="12">
        <v>104</v>
      </c>
      <c r="B105" s="12" t="s">
        <v>118</v>
      </c>
      <c r="C105" s="12">
        <v>3</v>
      </c>
      <c r="D105" s="12">
        <v>111</v>
      </c>
      <c r="E105" s="12">
        <v>22.077999999999999</v>
      </c>
      <c r="F105" s="12">
        <v>110.282342</v>
      </c>
      <c r="G105" s="12">
        <f t="shared" si="2"/>
        <v>-0.71765800000000013</v>
      </c>
      <c r="H105" s="12">
        <f t="shared" si="3"/>
        <v>0.71765800000000013</v>
      </c>
    </row>
    <row r="106" spans="1:8" x14ac:dyDescent="0.3">
      <c r="A106" s="12">
        <v>105</v>
      </c>
      <c r="B106" s="12" t="s">
        <v>119</v>
      </c>
      <c r="C106" s="12">
        <v>1</v>
      </c>
      <c r="D106" s="12">
        <v>101</v>
      </c>
      <c r="E106" s="12">
        <v>20.564</v>
      </c>
      <c r="F106" s="12">
        <v>102.880396</v>
      </c>
      <c r="G106" s="12">
        <f t="shared" si="2"/>
        <v>1.8803960000000046</v>
      </c>
      <c r="H106" s="12">
        <f t="shared" si="3"/>
        <v>1.8803960000000046</v>
      </c>
    </row>
    <row r="107" spans="1:8" x14ac:dyDescent="0.3">
      <c r="A107" s="12">
        <v>106</v>
      </c>
      <c r="B107" s="12" t="s">
        <v>120</v>
      </c>
      <c r="C107" s="12">
        <v>5</v>
      </c>
      <c r="D107" s="12">
        <v>128</v>
      </c>
      <c r="E107" s="12">
        <v>25.861000000000001</v>
      </c>
      <c r="F107" s="12">
        <v>128.77742900000001</v>
      </c>
      <c r="G107" s="12">
        <f t="shared" si="2"/>
        <v>0.77742900000001214</v>
      </c>
      <c r="H107" s="12">
        <f t="shared" si="3"/>
        <v>0.77742900000001214</v>
      </c>
    </row>
    <row r="108" spans="1:8" x14ac:dyDescent="0.3">
      <c r="A108" s="12">
        <v>107</v>
      </c>
      <c r="B108" s="12" t="s">
        <v>121</v>
      </c>
      <c r="C108" s="12">
        <v>5</v>
      </c>
      <c r="D108" s="12">
        <v>110</v>
      </c>
      <c r="E108" s="12">
        <v>22.491</v>
      </c>
      <c r="F108" s="12">
        <v>112.30149900000001</v>
      </c>
      <c r="G108" s="12">
        <f t="shared" si="2"/>
        <v>2.3014990000000068</v>
      </c>
      <c r="H108" s="12">
        <f t="shared" si="3"/>
        <v>2.3014990000000068</v>
      </c>
    </row>
    <row r="109" spans="1:8" x14ac:dyDescent="0.3">
      <c r="A109" s="12">
        <v>108</v>
      </c>
      <c r="B109" s="12" t="s">
        <v>122</v>
      </c>
      <c r="C109" s="12">
        <v>4</v>
      </c>
      <c r="D109" s="12">
        <v>117</v>
      </c>
      <c r="E109" s="12">
        <v>23.047000000000001</v>
      </c>
      <c r="F109" s="12">
        <v>115.01978300000002</v>
      </c>
      <c r="G109" s="12">
        <f t="shared" si="2"/>
        <v>-1.9802169999999819</v>
      </c>
      <c r="H109" s="12">
        <f t="shared" si="3"/>
        <v>1.9802169999999819</v>
      </c>
    </row>
    <row r="110" spans="1:8" x14ac:dyDescent="0.3">
      <c r="A110" s="12">
        <v>109</v>
      </c>
      <c r="B110" s="12" t="s">
        <v>123</v>
      </c>
      <c r="C110" s="12">
        <v>2</v>
      </c>
      <c r="D110" s="12">
        <v>87</v>
      </c>
      <c r="E110" s="12">
        <v>17.277999999999999</v>
      </c>
      <c r="F110" s="12">
        <v>86.815141999999994</v>
      </c>
      <c r="G110" s="12">
        <f t="shared" si="2"/>
        <v>-0.18485800000000552</v>
      </c>
      <c r="H110" s="12">
        <f t="shared" si="3"/>
        <v>0.18485800000000552</v>
      </c>
    </row>
    <row r="111" spans="1:8" x14ac:dyDescent="0.3">
      <c r="A111" s="12">
        <v>110</v>
      </c>
      <c r="B111" s="12" t="s">
        <v>124</v>
      </c>
      <c r="C111" s="12">
        <v>2</v>
      </c>
      <c r="D111" s="12">
        <v>115</v>
      </c>
      <c r="E111" s="12">
        <v>23.27</v>
      </c>
      <c r="F111" s="12">
        <v>116.11003000000001</v>
      </c>
      <c r="G111" s="12">
        <f t="shared" si="2"/>
        <v>1.110030000000009</v>
      </c>
      <c r="H111" s="12">
        <f t="shared" si="3"/>
        <v>1.110030000000009</v>
      </c>
    </row>
    <row r="112" spans="1:8" x14ac:dyDescent="0.3">
      <c r="A112" s="12">
        <v>111</v>
      </c>
      <c r="B112" s="12" t="s">
        <v>125</v>
      </c>
      <c r="C112" s="12">
        <v>2</v>
      </c>
      <c r="D112" s="12">
        <v>112</v>
      </c>
      <c r="E112" s="12">
        <v>22.56</v>
      </c>
      <c r="F112" s="12">
        <v>112.63884</v>
      </c>
      <c r="G112" s="12">
        <f t="shared" si="2"/>
        <v>0.63884000000000185</v>
      </c>
      <c r="H112" s="12">
        <f t="shared" si="3"/>
        <v>0.63884000000000185</v>
      </c>
    </row>
    <row r="113" spans="1:8" x14ac:dyDescent="0.3">
      <c r="A113" s="12">
        <v>112</v>
      </c>
      <c r="B113" s="12" t="s">
        <v>126</v>
      </c>
      <c r="C113" s="12">
        <v>3</v>
      </c>
      <c r="D113" s="12">
        <v>90</v>
      </c>
      <c r="E113" s="12">
        <v>18.545999999999999</v>
      </c>
      <c r="F113" s="12">
        <v>93.01439400000001</v>
      </c>
      <c r="G113" s="12">
        <f t="shared" si="2"/>
        <v>3.01439400000001</v>
      </c>
      <c r="H113" s="12">
        <f t="shared" si="3"/>
        <v>3.01439400000001</v>
      </c>
    </row>
    <row r="114" spans="1:8" x14ac:dyDescent="0.3">
      <c r="A114" s="12">
        <v>113</v>
      </c>
      <c r="B114" s="12" t="s">
        <v>127</v>
      </c>
      <c r="C114" s="12">
        <v>3</v>
      </c>
      <c r="D114" s="12">
        <v>117</v>
      </c>
      <c r="E114" s="12">
        <v>24.058</v>
      </c>
      <c r="F114" s="12">
        <v>119.96256200000001</v>
      </c>
      <c r="G114" s="12">
        <f t="shared" si="2"/>
        <v>2.9625620000000055</v>
      </c>
      <c r="H114" s="12">
        <f t="shared" si="3"/>
        <v>2.9625620000000055</v>
      </c>
    </row>
    <row r="115" spans="1:8" x14ac:dyDescent="0.3">
      <c r="A115" s="12">
        <v>114</v>
      </c>
      <c r="B115" s="12" t="s">
        <v>128</v>
      </c>
      <c r="C115" s="12">
        <v>2</v>
      </c>
      <c r="D115" s="12">
        <v>111</v>
      </c>
      <c r="E115" s="12">
        <v>22.391999999999999</v>
      </c>
      <c r="F115" s="12">
        <v>111.81748800000001</v>
      </c>
      <c r="G115" s="12">
        <f t="shared" si="2"/>
        <v>0.81748800000001154</v>
      </c>
      <c r="H115" s="12">
        <f t="shared" si="3"/>
        <v>0.81748800000001154</v>
      </c>
    </row>
    <row r="116" spans="1:8" x14ac:dyDescent="0.3">
      <c r="A116" s="12">
        <v>115</v>
      </c>
      <c r="B116" s="12" t="s">
        <v>129</v>
      </c>
      <c r="C116" s="12">
        <v>2</v>
      </c>
      <c r="D116" s="12">
        <v>107</v>
      </c>
      <c r="E116" s="12">
        <v>21.777999999999999</v>
      </c>
      <c r="F116" s="12">
        <v>108.815642</v>
      </c>
      <c r="G116" s="12">
        <f t="shared" si="2"/>
        <v>1.8156419999999969</v>
      </c>
      <c r="H116" s="12">
        <f t="shared" si="3"/>
        <v>1.8156419999999969</v>
      </c>
    </row>
    <row r="117" spans="1:8" x14ac:dyDescent="0.3">
      <c r="A117" s="12">
        <v>116</v>
      </c>
      <c r="B117" s="12" t="s">
        <v>130</v>
      </c>
      <c r="C117" s="12">
        <v>4</v>
      </c>
      <c r="D117" s="12">
        <v>90</v>
      </c>
      <c r="E117" s="12">
        <v>17.885000000000002</v>
      </c>
      <c r="F117" s="12">
        <v>89.782765000000012</v>
      </c>
      <c r="G117" s="12">
        <f t="shared" si="2"/>
        <v>-0.21723499999998808</v>
      </c>
      <c r="H117" s="12">
        <f t="shared" si="3"/>
        <v>0.21723499999998808</v>
      </c>
    </row>
    <row r="118" spans="1:8" x14ac:dyDescent="0.3">
      <c r="A118" s="12">
        <v>117</v>
      </c>
      <c r="B118" s="12" t="s">
        <v>131</v>
      </c>
      <c r="C118" s="12">
        <v>2</v>
      </c>
      <c r="D118" s="12">
        <v>96</v>
      </c>
      <c r="E118" s="12">
        <v>19.204999999999998</v>
      </c>
      <c r="F118" s="12">
        <v>96.236244999999997</v>
      </c>
      <c r="G118" s="12">
        <f t="shared" si="2"/>
        <v>0.23624499999999671</v>
      </c>
      <c r="H118" s="12">
        <f t="shared" si="3"/>
        <v>0.23624499999999671</v>
      </c>
    </row>
    <row r="119" spans="1:8" x14ac:dyDescent="0.3">
      <c r="A119" s="12">
        <v>118</v>
      </c>
      <c r="B119" s="12" t="s">
        <v>132</v>
      </c>
      <c r="C119" s="12">
        <v>2</v>
      </c>
      <c r="D119" s="12">
        <v>94</v>
      </c>
      <c r="E119" s="12">
        <v>19.125</v>
      </c>
      <c r="F119" s="12">
        <v>95.84512500000001</v>
      </c>
      <c r="G119" s="12">
        <f t="shared" si="2"/>
        <v>1.8451250000000101</v>
      </c>
      <c r="H119" s="12">
        <f t="shared" si="3"/>
        <v>1.8451250000000101</v>
      </c>
    </row>
    <row r="120" spans="1:8" x14ac:dyDescent="0.3">
      <c r="A120" s="12">
        <v>119</v>
      </c>
      <c r="B120" s="12" t="s">
        <v>133</v>
      </c>
      <c r="C120" s="12">
        <v>2</v>
      </c>
      <c r="D120" s="12">
        <v>89</v>
      </c>
      <c r="E120" s="12">
        <v>18.375</v>
      </c>
      <c r="F120" s="12">
        <v>92.178375000000003</v>
      </c>
      <c r="G120" s="12">
        <f t="shared" si="2"/>
        <v>3.1783750000000026</v>
      </c>
      <c r="H120" s="12">
        <f t="shared" si="3"/>
        <v>3.1783750000000026</v>
      </c>
    </row>
    <row r="121" spans="1:8" x14ac:dyDescent="0.3">
      <c r="A121" s="12">
        <v>120</v>
      </c>
      <c r="B121" s="12" t="s">
        <v>134</v>
      </c>
      <c r="C121" s="12">
        <v>3</v>
      </c>
      <c r="D121" s="12">
        <v>104</v>
      </c>
      <c r="E121" s="12">
        <v>21.06</v>
      </c>
      <c r="F121" s="12">
        <v>105.30534</v>
      </c>
      <c r="G121" s="12">
        <f t="shared" si="2"/>
        <v>1.3053400000000011</v>
      </c>
      <c r="H121" s="12">
        <f t="shared" si="3"/>
        <v>1.3053400000000011</v>
      </c>
    </row>
    <row r="122" spans="1:8" x14ac:dyDescent="0.3">
      <c r="A122" s="12">
        <v>121</v>
      </c>
      <c r="B122" s="12" t="s">
        <v>135</v>
      </c>
      <c r="C122" s="12">
        <v>4</v>
      </c>
      <c r="D122" s="12">
        <v>113</v>
      </c>
      <c r="E122" s="12">
        <v>22.57</v>
      </c>
      <c r="F122" s="12">
        <v>112.68773000000002</v>
      </c>
      <c r="G122" s="12">
        <f t="shared" si="2"/>
        <v>-0.31226999999998384</v>
      </c>
      <c r="H122" s="12">
        <f t="shared" si="3"/>
        <v>0.31226999999998384</v>
      </c>
    </row>
    <row r="123" spans="1:8" x14ac:dyDescent="0.3">
      <c r="A123" s="12">
        <v>122</v>
      </c>
      <c r="B123" s="12" t="s">
        <v>136</v>
      </c>
      <c r="C123" s="12">
        <v>5</v>
      </c>
      <c r="D123" s="12">
        <v>113</v>
      </c>
      <c r="E123" s="12">
        <v>23.091000000000001</v>
      </c>
      <c r="F123" s="12">
        <v>115.23489900000001</v>
      </c>
      <c r="G123" s="12">
        <f t="shared" si="2"/>
        <v>2.2348990000000128</v>
      </c>
      <c r="H123" s="12">
        <f t="shared" si="3"/>
        <v>2.2348990000000128</v>
      </c>
    </row>
    <row r="124" spans="1:8" x14ac:dyDescent="0.3">
      <c r="A124" s="12">
        <v>123</v>
      </c>
      <c r="B124" s="12" t="s">
        <v>137</v>
      </c>
      <c r="C124" s="12">
        <v>3</v>
      </c>
      <c r="D124" s="12">
        <v>106</v>
      </c>
      <c r="E124" s="12">
        <v>20.419</v>
      </c>
      <c r="F124" s="12">
        <v>102.17149100000002</v>
      </c>
      <c r="G124" s="12">
        <f t="shared" si="2"/>
        <v>-3.8285089999999826</v>
      </c>
      <c r="H124" s="12">
        <f t="shared" si="3"/>
        <v>3.8285089999999826</v>
      </c>
    </row>
    <row r="125" spans="1:8" x14ac:dyDescent="0.3">
      <c r="A125" s="12">
        <v>124</v>
      </c>
      <c r="B125" s="12" t="s">
        <v>138</v>
      </c>
      <c r="C125" s="12">
        <v>3</v>
      </c>
      <c r="D125" s="12">
        <v>115</v>
      </c>
      <c r="E125" s="12">
        <v>22.492999999999999</v>
      </c>
      <c r="F125" s="12">
        <v>112.311277</v>
      </c>
      <c r="G125" s="12">
        <f t="shared" si="2"/>
        <v>-2.688722999999996</v>
      </c>
      <c r="H125" s="12">
        <f t="shared" si="3"/>
        <v>2.688722999999996</v>
      </c>
    </row>
    <row r="126" spans="1:8" x14ac:dyDescent="0.3">
      <c r="A126" s="12">
        <v>125</v>
      </c>
      <c r="B126" s="12" t="s">
        <v>139</v>
      </c>
      <c r="C126" s="12">
        <v>1</v>
      </c>
      <c r="D126" s="12">
        <v>94</v>
      </c>
      <c r="E126" s="12">
        <v>19.042999999999999</v>
      </c>
      <c r="F126" s="12">
        <v>95.444226999999998</v>
      </c>
      <c r="G126" s="12">
        <f t="shared" si="2"/>
        <v>1.4442269999999979</v>
      </c>
      <c r="H126" s="12">
        <f t="shared" si="3"/>
        <v>1.4442269999999979</v>
      </c>
    </row>
    <row r="127" spans="1:8" x14ac:dyDescent="0.3">
      <c r="A127" s="12">
        <v>126</v>
      </c>
      <c r="B127" s="12" t="s">
        <v>140</v>
      </c>
      <c r="C127" s="12">
        <v>3</v>
      </c>
      <c r="D127" s="12">
        <v>104</v>
      </c>
      <c r="E127" s="12">
        <v>20.805</v>
      </c>
      <c r="F127" s="12">
        <v>104.05864500000001</v>
      </c>
      <c r="G127" s="12">
        <f t="shared" si="2"/>
        <v>5.8645000000012715E-2</v>
      </c>
      <c r="H127" s="12">
        <f t="shared" si="3"/>
        <v>5.8645000000012715E-2</v>
      </c>
    </row>
    <row r="128" spans="1:8" x14ac:dyDescent="0.3">
      <c r="A128" s="12">
        <v>127</v>
      </c>
      <c r="B128" s="12" t="s">
        <v>141</v>
      </c>
      <c r="C128" s="12">
        <v>2</v>
      </c>
      <c r="D128" s="12">
        <v>111</v>
      </c>
      <c r="E128" s="12">
        <v>22.416</v>
      </c>
      <c r="F128" s="12">
        <v>111.93482400000001</v>
      </c>
      <c r="G128" s="12">
        <f t="shared" si="2"/>
        <v>0.93482400000000609</v>
      </c>
      <c r="H128" s="12">
        <f t="shared" si="3"/>
        <v>0.93482400000000609</v>
      </c>
    </row>
    <row r="129" spans="1:8" x14ac:dyDescent="0.3">
      <c r="A129" s="12">
        <v>128</v>
      </c>
      <c r="B129" s="12" t="s">
        <v>142</v>
      </c>
      <c r="C129" s="12">
        <v>4</v>
      </c>
      <c r="D129" s="12">
        <v>114</v>
      </c>
      <c r="E129" s="12">
        <v>22.823</v>
      </c>
      <c r="F129" s="12">
        <v>113.92464700000001</v>
      </c>
      <c r="G129" s="12">
        <f t="shared" si="2"/>
        <v>-7.5352999999992676E-2</v>
      </c>
      <c r="H129" s="12">
        <f t="shared" si="3"/>
        <v>7.5352999999992676E-2</v>
      </c>
    </row>
    <row r="130" spans="1:8" x14ac:dyDescent="0.3">
      <c r="A130" s="12">
        <v>129</v>
      </c>
      <c r="B130" s="12" t="s">
        <v>143</v>
      </c>
      <c r="C130" s="12">
        <v>4</v>
      </c>
      <c r="D130" s="12">
        <v>111</v>
      </c>
      <c r="E130" s="12">
        <v>22.402999999999999</v>
      </c>
      <c r="F130" s="12">
        <v>111.871267</v>
      </c>
      <c r="G130" s="12">
        <f t="shared" si="2"/>
        <v>0.87126700000000312</v>
      </c>
      <c r="H130" s="12">
        <f t="shared" si="3"/>
        <v>0.87126700000000312</v>
      </c>
    </row>
    <row r="131" spans="1:8" x14ac:dyDescent="0.3">
      <c r="A131" s="12">
        <v>130</v>
      </c>
      <c r="B131" s="12" t="s">
        <v>144</v>
      </c>
      <c r="C131" s="12">
        <v>3</v>
      </c>
      <c r="D131" s="12">
        <v>83</v>
      </c>
      <c r="E131" s="12">
        <v>16.309999999999999</v>
      </c>
      <c r="F131" s="12">
        <v>82.082589999999996</v>
      </c>
      <c r="G131" s="12">
        <f t="shared" ref="G131:G194" si="4">F131-D131</f>
        <v>-0.91741000000000383</v>
      </c>
      <c r="H131" s="12">
        <f t="shared" ref="H131:H194" si="5">ABS(F131-D131)</f>
        <v>0.91741000000000383</v>
      </c>
    </row>
    <row r="132" spans="1:8" x14ac:dyDescent="0.3">
      <c r="A132" s="12">
        <v>131</v>
      </c>
      <c r="B132" s="12" t="s">
        <v>145</v>
      </c>
      <c r="C132" s="12">
        <v>5</v>
      </c>
      <c r="D132" s="12">
        <v>109</v>
      </c>
      <c r="E132" s="12">
        <v>22.003</v>
      </c>
      <c r="F132" s="12">
        <v>109.91566700000001</v>
      </c>
      <c r="G132" s="12">
        <f t="shared" si="4"/>
        <v>0.91566700000001333</v>
      </c>
      <c r="H132" s="12">
        <f t="shared" si="5"/>
        <v>0.91566700000001333</v>
      </c>
    </row>
    <row r="133" spans="1:8" x14ac:dyDescent="0.3">
      <c r="A133" s="12">
        <v>132</v>
      </c>
      <c r="B133" s="12" t="s">
        <v>146</v>
      </c>
      <c r="C133" s="12">
        <v>1</v>
      </c>
      <c r="D133" s="12">
        <v>99</v>
      </c>
      <c r="E133" s="12">
        <v>20.154</v>
      </c>
      <c r="F133" s="12">
        <v>100.87590600000001</v>
      </c>
      <c r="G133" s="12">
        <f t="shared" si="4"/>
        <v>1.8759060000000147</v>
      </c>
      <c r="H133" s="12">
        <f t="shared" si="5"/>
        <v>1.8759060000000147</v>
      </c>
    </row>
    <row r="134" spans="1:8" x14ac:dyDescent="0.3">
      <c r="A134" s="12">
        <v>133</v>
      </c>
      <c r="B134" s="12" t="s">
        <v>147</v>
      </c>
      <c r="C134" s="12">
        <v>2</v>
      </c>
      <c r="D134" s="12">
        <v>120</v>
      </c>
      <c r="E134" s="12">
        <v>24.434999999999999</v>
      </c>
      <c r="F134" s="12">
        <v>121.80571500000001</v>
      </c>
      <c r="G134" s="12">
        <f t="shared" si="4"/>
        <v>1.8057150000000064</v>
      </c>
      <c r="H134" s="12">
        <f t="shared" si="5"/>
        <v>1.8057150000000064</v>
      </c>
    </row>
    <row r="135" spans="1:8" x14ac:dyDescent="0.3">
      <c r="A135" s="12">
        <v>134</v>
      </c>
      <c r="B135" s="12" t="s">
        <v>148</v>
      </c>
      <c r="C135" s="12">
        <v>4</v>
      </c>
      <c r="D135" s="12">
        <v>112</v>
      </c>
      <c r="E135" s="12">
        <v>23.117000000000001</v>
      </c>
      <c r="F135" s="12">
        <v>115.36201300000002</v>
      </c>
      <c r="G135" s="12">
        <f t="shared" si="4"/>
        <v>3.3620130000000188</v>
      </c>
      <c r="H135" s="12">
        <f t="shared" si="5"/>
        <v>3.3620130000000188</v>
      </c>
    </row>
    <row r="136" spans="1:8" x14ac:dyDescent="0.3">
      <c r="A136" s="12">
        <v>135</v>
      </c>
      <c r="B136" s="12" t="s">
        <v>149</v>
      </c>
      <c r="C136" s="12">
        <v>5</v>
      </c>
      <c r="D136" s="12">
        <v>120</v>
      </c>
      <c r="E136" s="12">
        <v>24.087</v>
      </c>
      <c r="F136" s="12">
        <v>120.10434300000001</v>
      </c>
      <c r="G136" s="12">
        <f t="shared" si="4"/>
        <v>0.10434300000001429</v>
      </c>
      <c r="H136" s="12">
        <f t="shared" si="5"/>
        <v>0.10434300000001429</v>
      </c>
    </row>
    <row r="137" spans="1:8" x14ac:dyDescent="0.3">
      <c r="A137" s="12">
        <v>136</v>
      </c>
      <c r="B137" s="12" t="s">
        <v>150</v>
      </c>
      <c r="C137" s="12">
        <v>4</v>
      </c>
      <c r="D137" s="12">
        <v>118</v>
      </c>
      <c r="E137" s="12">
        <v>23.698</v>
      </c>
      <c r="F137" s="12">
        <v>118.20252200000002</v>
      </c>
      <c r="G137" s="12">
        <f t="shared" si="4"/>
        <v>0.20252200000001608</v>
      </c>
      <c r="H137" s="12">
        <f t="shared" si="5"/>
        <v>0.20252200000001608</v>
      </c>
    </row>
    <row r="138" spans="1:8" x14ac:dyDescent="0.3">
      <c r="A138" s="12">
        <v>137</v>
      </c>
      <c r="B138" s="12" t="s">
        <v>151</v>
      </c>
      <c r="C138" s="12">
        <v>4</v>
      </c>
      <c r="D138" s="12">
        <v>108</v>
      </c>
      <c r="E138" s="12">
        <v>21.056999999999999</v>
      </c>
      <c r="F138" s="12">
        <v>105.290673</v>
      </c>
      <c r="G138" s="12">
        <f t="shared" si="4"/>
        <v>-2.7093270000000018</v>
      </c>
      <c r="H138" s="12">
        <f t="shared" si="5"/>
        <v>2.7093270000000018</v>
      </c>
    </row>
    <row r="139" spans="1:8" x14ac:dyDescent="0.3">
      <c r="A139" s="12">
        <v>138</v>
      </c>
      <c r="B139" s="12" t="s">
        <v>152</v>
      </c>
      <c r="C139" s="12">
        <v>2</v>
      </c>
      <c r="D139" s="12">
        <v>102</v>
      </c>
      <c r="E139" s="12">
        <v>20.210999999999999</v>
      </c>
      <c r="F139" s="12">
        <v>101.154579</v>
      </c>
      <c r="G139" s="12">
        <f t="shared" si="4"/>
        <v>-0.84542100000000175</v>
      </c>
      <c r="H139" s="12">
        <f t="shared" si="5"/>
        <v>0.84542100000000175</v>
      </c>
    </row>
    <row r="140" spans="1:8" x14ac:dyDescent="0.3">
      <c r="A140" s="12">
        <v>139</v>
      </c>
      <c r="B140" s="12" t="s">
        <v>153</v>
      </c>
      <c r="C140" s="12">
        <v>4</v>
      </c>
      <c r="D140" s="12">
        <v>93</v>
      </c>
      <c r="E140" s="12">
        <v>18.530999999999999</v>
      </c>
      <c r="F140" s="12">
        <v>92.941058999999996</v>
      </c>
      <c r="G140" s="12">
        <f t="shared" si="4"/>
        <v>-5.8941000000004351E-2</v>
      </c>
      <c r="H140" s="12">
        <f t="shared" si="5"/>
        <v>5.8941000000004351E-2</v>
      </c>
    </row>
    <row r="141" spans="1:8" x14ac:dyDescent="0.3">
      <c r="A141" s="12">
        <v>140</v>
      </c>
      <c r="B141" s="12" t="s">
        <v>154</v>
      </c>
      <c r="C141" s="12">
        <v>3</v>
      </c>
      <c r="D141" s="12">
        <v>93</v>
      </c>
      <c r="E141" s="12">
        <v>18.974</v>
      </c>
      <c r="F141" s="12">
        <v>95.106886000000003</v>
      </c>
      <c r="G141" s="12">
        <f t="shared" si="4"/>
        <v>2.1068860000000029</v>
      </c>
      <c r="H141" s="12">
        <f t="shared" si="5"/>
        <v>2.1068860000000029</v>
      </c>
    </row>
    <row r="142" spans="1:8" x14ac:dyDescent="0.3">
      <c r="A142" s="12">
        <v>141</v>
      </c>
      <c r="B142" s="12" t="s">
        <v>155</v>
      </c>
      <c r="C142" s="12">
        <v>2</v>
      </c>
      <c r="D142" s="12">
        <v>71</v>
      </c>
      <c r="E142" s="12">
        <v>13.981999999999999</v>
      </c>
      <c r="F142" s="12">
        <v>70.700997999999998</v>
      </c>
      <c r="G142" s="12">
        <f t="shared" si="4"/>
        <v>-0.29900200000000154</v>
      </c>
      <c r="H142" s="12">
        <f t="shared" si="5"/>
        <v>0.29900200000000154</v>
      </c>
    </row>
    <row r="143" spans="1:8" x14ac:dyDescent="0.3">
      <c r="A143" s="12">
        <v>142</v>
      </c>
      <c r="B143" s="12" t="s">
        <v>156</v>
      </c>
      <c r="C143" s="12">
        <v>2</v>
      </c>
      <c r="D143" s="12">
        <v>102</v>
      </c>
      <c r="E143" s="12">
        <v>20.684000000000001</v>
      </c>
      <c r="F143" s="12">
        <v>103.46707600000002</v>
      </c>
      <c r="G143" s="12">
        <f t="shared" si="4"/>
        <v>1.46707600000002</v>
      </c>
      <c r="H143" s="12">
        <f t="shared" si="5"/>
        <v>1.46707600000002</v>
      </c>
    </row>
    <row r="144" spans="1:8" x14ac:dyDescent="0.3">
      <c r="A144" s="12">
        <v>143</v>
      </c>
      <c r="B144" s="12" t="s">
        <v>157</v>
      </c>
      <c r="C144" s="12">
        <v>4</v>
      </c>
      <c r="D144" s="12">
        <v>99</v>
      </c>
      <c r="E144" s="12">
        <v>19.798999999999999</v>
      </c>
      <c r="F144" s="12">
        <v>99.140311000000011</v>
      </c>
      <c r="G144" s="12">
        <f t="shared" si="4"/>
        <v>0.14031100000001118</v>
      </c>
      <c r="H144" s="12">
        <f t="shared" si="5"/>
        <v>0.14031100000001118</v>
      </c>
    </row>
    <row r="145" spans="1:8" x14ac:dyDescent="0.3">
      <c r="A145" s="12">
        <v>144</v>
      </c>
      <c r="B145" s="12" t="s">
        <v>158</v>
      </c>
      <c r="C145" s="12">
        <v>3</v>
      </c>
      <c r="D145" s="12">
        <v>118</v>
      </c>
      <c r="E145" s="12">
        <v>23.536999999999999</v>
      </c>
      <c r="F145" s="12">
        <v>117.41539300000001</v>
      </c>
      <c r="G145" s="12">
        <f t="shared" si="4"/>
        <v>-0.58460699999999122</v>
      </c>
      <c r="H145" s="12">
        <f t="shared" si="5"/>
        <v>0.58460699999999122</v>
      </c>
    </row>
    <row r="146" spans="1:8" x14ac:dyDescent="0.3">
      <c r="A146" s="12">
        <v>145</v>
      </c>
      <c r="B146" s="12" t="s">
        <v>159</v>
      </c>
      <c r="C146" s="12">
        <v>2</v>
      </c>
      <c r="D146" s="12">
        <v>105</v>
      </c>
      <c r="E146" s="12">
        <v>21.088999999999999</v>
      </c>
      <c r="F146" s="12">
        <v>105.447121</v>
      </c>
      <c r="G146" s="12">
        <f t="shared" si="4"/>
        <v>0.44712099999999566</v>
      </c>
      <c r="H146" s="12">
        <f t="shared" si="5"/>
        <v>0.44712099999999566</v>
      </c>
    </row>
    <row r="147" spans="1:8" x14ac:dyDescent="0.3">
      <c r="A147" s="12">
        <v>146</v>
      </c>
      <c r="B147" s="12" t="s">
        <v>160</v>
      </c>
      <c r="C147" s="12">
        <v>2</v>
      </c>
      <c r="D147" s="12">
        <v>101</v>
      </c>
      <c r="E147" s="12">
        <v>20.061</v>
      </c>
      <c r="F147" s="12">
        <v>100.42122900000001</v>
      </c>
      <c r="G147" s="12">
        <f t="shared" si="4"/>
        <v>-0.57877099999998904</v>
      </c>
      <c r="H147" s="12">
        <f t="shared" si="5"/>
        <v>0.57877099999998904</v>
      </c>
    </row>
    <row r="148" spans="1:8" x14ac:dyDescent="0.3">
      <c r="A148" s="12">
        <v>147</v>
      </c>
      <c r="B148" s="12" t="s">
        <v>161</v>
      </c>
      <c r="C148" s="12">
        <v>3</v>
      </c>
      <c r="D148" s="12">
        <v>93</v>
      </c>
      <c r="E148" s="12">
        <v>18.446999999999999</v>
      </c>
      <c r="F148" s="12">
        <v>92.530383</v>
      </c>
      <c r="G148" s="12">
        <f t="shared" si="4"/>
        <v>-0.46961699999999951</v>
      </c>
      <c r="H148" s="12">
        <f t="shared" si="5"/>
        <v>0.46961699999999951</v>
      </c>
    </row>
    <row r="149" spans="1:8" x14ac:dyDescent="0.3">
      <c r="A149" s="12">
        <v>148</v>
      </c>
      <c r="B149" s="12" t="s">
        <v>162</v>
      </c>
      <c r="C149" s="12">
        <v>3</v>
      </c>
      <c r="D149" s="12">
        <v>118</v>
      </c>
      <c r="E149" s="12">
        <v>22.992999999999999</v>
      </c>
      <c r="F149" s="12">
        <v>114.75577699999999</v>
      </c>
      <c r="G149" s="12">
        <f t="shared" si="4"/>
        <v>-3.2442230000000052</v>
      </c>
      <c r="H149" s="12">
        <f t="shared" si="5"/>
        <v>3.2442230000000052</v>
      </c>
    </row>
    <row r="150" spans="1:8" x14ac:dyDescent="0.3">
      <c r="A150" s="12">
        <v>149</v>
      </c>
      <c r="B150" s="12" t="s">
        <v>163</v>
      </c>
      <c r="C150" s="12">
        <v>1</v>
      </c>
      <c r="D150" s="12">
        <v>107</v>
      </c>
      <c r="E150" s="12">
        <v>21.312000000000001</v>
      </c>
      <c r="F150" s="12">
        <v>106.53736800000001</v>
      </c>
      <c r="G150" s="12">
        <f t="shared" si="4"/>
        <v>-0.46263199999998506</v>
      </c>
      <c r="H150" s="12">
        <f t="shared" si="5"/>
        <v>0.46263199999998506</v>
      </c>
    </row>
    <row r="151" spans="1:8" x14ac:dyDescent="0.3">
      <c r="A151" s="12">
        <v>150</v>
      </c>
      <c r="B151" s="12" t="s">
        <v>164</v>
      </c>
      <c r="C151" s="12">
        <v>5</v>
      </c>
      <c r="D151" s="12">
        <v>97</v>
      </c>
      <c r="E151" s="12">
        <v>19.228999999999999</v>
      </c>
      <c r="F151" s="12">
        <v>96.353581000000005</v>
      </c>
      <c r="G151" s="12">
        <f t="shared" si="4"/>
        <v>-0.64641899999999453</v>
      </c>
      <c r="H151" s="12">
        <f t="shared" si="5"/>
        <v>0.64641899999999453</v>
      </c>
    </row>
    <row r="152" spans="1:8" x14ac:dyDescent="0.3">
      <c r="A152" s="12">
        <v>151</v>
      </c>
      <c r="B152" s="12" t="s">
        <v>165</v>
      </c>
      <c r="C152" s="12">
        <v>3</v>
      </c>
      <c r="D152" s="12">
        <v>105</v>
      </c>
      <c r="E152" s="12">
        <v>20.815999999999999</v>
      </c>
      <c r="F152" s="12">
        <v>104.112424</v>
      </c>
      <c r="G152" s="12">
        <f t="shared" si="4"/>
        <v>-0.8875759999999957</v>
      </c>
      <c r="H152" s="12">
        <f t="shared" si="5"/>
        <v>0.8875759999999957</v>
      </c>
    </row>
    <row r="153" spans="1:8" x14ac:dyDescent="0.3">
      <c r="A153" s="12">
        <v>152</v>
      </c>
      <c r="B153" s="12" t="s">
        <v>166</v>
      </c>
      <c r="C153" s="12">
        <v>5</v>
      </c>
      <c r="D153" s="12">
        <v>104</v>
      </c>
      <c r="E153" s="12">
        <v>20.949000000000002</v>
      </c>
      <c r="F153" s="12">
        <v>104.76266100000002</v>
      </c>
      <c r="G153" s="12">
        <f t="shared" si="4"/>
        <v>0.76266100000002268</v>
      </c>
      <c r="H153" s="12">
        <f t="shared" si="5"/>
        <v>0.76266100000002268</v>
      </c>
    </row>
    <row r="154" spans="1:8" x14ac:dyDescent="0.3">
      <c r="A154" s="12">
        <v>153</v>
      </c>
      <c r="B154" s="12" t="s">
        <v>167</v>
      </c>
      <c r="C154" s="12">
        <v>2</v>
      </c>
      <c r="D154" s="12">
        <v>78</v>
      </c>
      <c r="E154" s="12">
        <v>15.835000000000001</v>
      </c>
      <c r="F154" s="12">
        <v>79.760315000000006</v>
      </c>
      <c r="G154" s="12">
        <f t="shared" si="4"/>
        <v>1.7603150000000056</v>
      </c>
      <c r="H154" s="12">
        <f t="shared" si="5"/>
        <v>1.7603150000000056</v>
      </c>
    </row>
    <row r="155" spans="1:8" x14ac:dyDescent="0.3">
      <c r="A155" s="12">
        <v>154</v>
      </c>
      <c r="B155" s="12" t="s">
        <v>168</v>
      </c>
      <c r="C155" s="12">
        <v>2</v>
      </c>
      <c r="D155" s="12">
        <v>111</v>
      </c>
      <c r="E155" s="12">
        <v>22.283000000000001</v>
      </c>
      <c r="F155" s="12">
        <v>111.28458700000002</v>
      </c>
      <c r="G155" s="12">
        <f t="shared" si="4"/>
        <v>0.28458700000001613</v>
      </c>
      <c r="H155" s="12">
        <f t="shared" si="5"/>
        <v>0.28458700000001613</v>
      </c>
    </row>
    <row r="156" spans="1:8" x14ac:dyDescent="0.3">
      <c r="A156" s="12">
        <v>155</v>
      </c>
      <c r="B156" s="12" t="s">
        <v>169</v>
      </c>
      <c r="C156" s="12">
        <v>1</v>
      </c>
      <c r="D156" s="12">
        <v>101</v>
      </c>
      <c r="E156" s="12">
        <v>20.555</v>
      </c>
      <c r="F156" s="12">
        <v>102.83639500000001</v>
      </c>
      <c r="G156" s="12">
        <f t="shared" si="4"/>
        <v>1.8363950000000102</v>
      </c>
      <c r="H156" s="12">
        <f t="shared" si="5"/>
        <v>1.8363950000000102</v>
      </c>
    </row>
    <row r="157" spans="1:8" x14ac:dyDescent="0.3">
      <c r="A157" s="12">
        <v>156</v>
      </c>
      <c r="B157" s="12" t="s">
        <v>170</v>
      </c>
      <c r="C157" s="12">
        <v>1</v>
      </c>
      <c r="D157" s="12">
        <v>130</v>
      </c>
      <c r="E157" s="12">
        <v>26.204999999999998</v>
      </c>
      <c r="F157" s="12">
        <v>130.45924499999998</v>
      </c>
      <c r="G157" s="12">
        <f t="shared" si="4"/>
        <v>0.45924499999998147</v>
      </c>
      <c r="H157" s="12">
        <f t="shared" si="5"/>
        <v>0.45924499999998147</v>
      </c>
    </row>
    <row r="158" spans="1:8" x14ac:dyDescent="0.3">
      <c r="A158" s="12">
        <v>157</v>
      </c>
      <c r="B158" s="12" t="s">
        <v>171</v>
      </c>
      <c r="C158" s="12">
        <v>4</v>
      </c>
      <c r="D158" s="12">
        <v>91</v>
      </c>
      <c r="E158" s="12">
        <v>18.094999999999999</v>
      </c>
      <c r="F158" s="12">
        <v>90.809455</v>
      </c>
      <c r="G158" s="12">
        <f t="shared" si="4"/>
        <v>-0.19054500000000019</v>
      </c>
      <c r="H158" s="12">
        <f t="shared" si="5"/>
        <v>0.19054500000000019</v>
      </c>
    </row>
    <row r="159" spans="1:8" x14ac:dyDescent="0.3">
      <c r="A159" s="12">
        <v>158</v>
      </c>
      <c r="B159" s="12" t="s">
        <v>172</v>
      </c>
      <c r="C159" s="12">
        <v>2</v>
      </c>
      <c r="D159" s="12">
        <v>101</v>
      </c>
      <c r="E159" s="12">
        <v>20.035</v>
      </c>
      <c r="F159" s="12">
        <v>100.29411500000001</v>
      </c>
      <c r="G159" s="12">
        <f t="shared" si="4"/>
        <v>-0.70588499999999499</v>
      </c>
      <c r="H159" s="12">
        <f t="shared" si="5"/>
        <v>0.70588499999999499</v>
      </c>
    </row>
    <row r="160" spans="1:8" x14ac:dyDescent="0.3">
      <c r="A160" s="12">
        <v>159</v>
      </c>
      <c r="B160" s="12" t="s">
        <v>173</v>
      </c>
      <c r="C160" s="12">
        <v>3</v>
      </c>
      <c r="D160" s="12">
        <v>108</v>
      </c>
      <c r="E160" s="12">
        <v>21.710999999999999</v>
      </c>
      <c r="F160" s="12">
        <v>108.488079</v>
      </c>
      <c r="G160" s="12">
        <f t="shared" si="4"/>
        <v>0.48807899999999904</v>
      </c>
      <c r="H160" s="12">
        <f t="shared" si="5"/>
        <v>0.48807899999999904</v>
      </c>
    </row>
    <row r="161" spans="1:8" x14ac:dyDescent="0.3">
      <c r="A161" s="12">
        <v>160</v>
      </c>
      <c r="B161" s="12" t="s">
        <v>174</v>
      </c>
      <c r="C161" s="12">
        <v>4</v>
      </c>
      <c r="D161" s="12">
        <v>119</v>
      </c>
      <c r="E161" s="12">
        <v>24.004000000000001</v>
      </c>
      <c r="F161" s="12">
        <v>119.69855600000001</v>
      </c>
      <c r="G161" s="12">
        <f t="shared" si="4"/>
        <v>0.69855600000001061</v>
      </c>
      <c r="H161" s="12">
        <f t="shared" si="5"/>
        <v>0.69855600000001061</v>
      </c>
    </row>
    <row r="162" spans="1:8" x14ac:dyDescent="0.3">
      <c r="A162" s="12">
        <v>161</v>
      </c>
      <c r="B162" s="12" t="s">
        <v>175</v>
      </c>
      <c r="C162" s="12">
        <v>5</v>
      </c>
      <c r="D162" s="12">
        <v>84</v>
      </c>
      <c r="E162" s="12">
        <v>17.297999999999998</v>
      </c>
      <c r="F162" s="12">
        <v>86.912921999999995</v>
      </c>
      <c r="G162" s="12">
        <f t="shared" si="4"/>
        <v>2.9129219999999947</v>
      </c>
      <c r="H162" s="12">
        <f t="shared" si="5"/>
        <v>2.9129219999999947</v>
      </c>
    </row>
    <row r="163" spans="1:8" x14ac:dyDescent="0.3">
      <c r="A163" s="12">
        <v>162</v>
      </c>
      <c r="B163" s="12" t="s">
        <v>176</v>
      </c>
      <c r="C163" s="12">
        <v>5</v>
      </c>
      <c r="D163" s="12">
        <v>72</v>
      </c>
      <c r="E163" s="12">
        <v>14.824</v>
      </c>
      <c r="F163" s="12">
        <v>74.817536000000004</v>
      </c>
      <c r="G163" s="12">
        <f t="shared" si="4"/>
        <v>2.817536000000004</v>
      </c>
      <c r="H163" s="12">
        <f t="shared" si="5"/>
        <v>2.817536000000004</v>
      </c>
    </row>
    <row r="164" spans="1:8" x14ac:dyDescent="0.3">
      <c r="A164" s="12">
        <v>163</v>
      </c>
      <c r="B164" s="12" t="s">
        <v>177</v>
      </c>
      <c r="C164" s="12">
        <v>4</v>
      </c>
      <c r="D164" s="12">
        <v>102</v>
      </c>
      <c r="E164" s="12">
        <v>20.207000000000001</v>
      </c>
      <c r="F164" s="12">
        <v>101.13502300000002</v>
      </c>
      <c r="G164" s="12">
        <f t="shared" si="4"/>
        <v>-0.8649769999999819</v>
      </c>
      <c r="H164" s="12">
        <f t="shared" si="5"/>
        <v>0.8649769999999819</v>
      </c>
    </row>
    <row r="165" spans="1:8" x14ac:dyDescent="0.3">
      <c r="A165" s="12">
        <v>164</v>
      </c>
      <c r="B165" s="12" t="s">
        <v>178</v>
      </c>
      <c r="C165" s="12">
        <v>3</v>
      </c>
      <c r="D165" s="12">
        <v>100</v>
      </c>
      <c r="E165" s="12">
        <v>19.963999999999999</v>
      </c>
      <c r="F165" s="12">
        <v>99.946995999999999</v>
      </c>
      <c r="G165" s="12">
        <f t="shared" si="4"/>
        <v>-5.3004000000001383E-2</v>
      </c>
      <c r="H165" s="12">
        <f t="shared" si="5"/>
        <v>5.3004000000001383E-2</v>
      </c>
    </row>
    <row r="166" spans="1:8" x14ac:dyDescent="0.3">
      <c r="A166" s="12">
        <v>165</v>
      </c>
      <c r="B166" s="12" t="s">
        <v>179</v>
      </c>
      <c r="C166" s="12">
        <v>4</v>
      </c>
      <c r="D166" s="12">
        <v>106</v>
      </c>
      <c r="E166" s="12">
        <v>21.439</v>
      </c>
      <c r="F166" s="12">
        <v>107.15827100000001</v>
      </c>
      <c r="G166" s="12">
        <f t="shared" si="4"/>
        <v>1.1582710000000134</v>
      </c>
      <c r="H166" s="12">
        <f t="shared" si="5"/>
        <v>1.1582710000000134</v>
      </c>
    </row>
    <row r="167" spans="1:8" x14ac:dyDescent="0.3">
      <c r="A167" s="12">
        <v>166</v>
      </c>
      <c r="B167" s="12" t="s">
        <v>180</v>
      </c>
      <c r="C167" s="12">
        <v>3</v>
      </c>
      <c r="D167" s="12">
        <v>105</v>
      </c>
      <c r="E167" s="12">
        <v>21.38</v>
      </c>
      <c r="F167" s="12">
        <v>106.86982</v>
      </c>
      <c r="G167" s="12">
        <f t="shared" si="4"/>
        <v>1.8698200000000043</v>
      </c>
      <c r="H167" s="12">
        <f t="shared" si="5"/>
        <v>1.8698200000000043</v>
      </c>
    </row>
    <row r="168" spans="1:8" x14ac:dyDescent="0.3">
      <c r="A168" s="12">
        <v>167</v>
      </c>
      <c r="B168" s="12" t="s">
        <v>181</v>
      </c>
      <c r="C168" s="12">
        <v>5</v>
      </c>
      <c r="D168" s="12">
        <v>102</v>
      </c>
      <c r="E168" s="12">
        <v>20.734000000000002</v>
      </c>
      <c r="F168" s="12">
        <v>103.71152600000002</v>
      </c>
      <c r="G168" s="12">
        <f t="shared" si="4"/>
        <v>1.7115260000000205</v>
      </c>
      <c r="H168" s="12">
        <f t="shared" si="5"/>
        <v>1.7115260000000205</v>
      </c>
    </row>
    <row r="169" spans="1:8" x14ac:dyDescent="0.3">
      <c r="A169" s="12">
        <v>168</v>
      </c>
      <c r="B169" s="12" t="s">
        <v>182</v>
      </c>
      <c r="C169" s="12">
        <v>3</v>
      </c>
      <c r="D169" s="12">
        <v>106</v>
      </c>
      <c r="E169" s="12">
        <v>21.177</v>
      </c>
      <c r="F169" s="12">
        <v>105.87735300000001</v>
      </c>
      <c r="G169" s="12">
        <f t="shared" si="4"/>
        <v>-0.12264699999998641</v>
      </c>
      <c r="H169" s="12">
        <f t="shared" si="5"/>
        <v>0.12264699999998641</v>
      </c>
    </row>
    <row r="170" spans="1:8" x14ac:dyDescent="0.3">
      <c r="A170" s="12">
        <v>169</v>
      </c>
      <c r="B170" s="12" t="s">
        <v>183</v>
      </c>
      <c r="C170" s="12">
        <v>2</v>
      </c>
      <c r="D170" s="12">
        <v>112</v>
      </c>
      <c r="E170" s="12">
        <v>21.952999999999999</v>
      </c>
      <c r="F170" s="12">
        <v>109.67121700000001</v>
      </c>
      <c r="G170" s="12">
        <f t="shared" si="4"/>
        <v>-2.3287829999999872</v>
      </c>
      <c r="H170" s="12">
        <f t="shared" si="5"/>
        <v>2.3287829999999872</v>
      </c>
    </row>
    <row r="171" spans="1:8" x14ac:dyDescent="0.3">
      <c r="A171" s="12">
        <v>170</v>
      </c>
      <c r="B171" s="12" t="s">
        <v>184</v>
      </c>
      <c r="C171" s="12">
        <v>5</v>
      </c>
      <c r="D171" s="12">
        <v>100</v>
      </c>
      <c r="E171" s="12">
        <v>19.643999999999998</v>
      </c>
      <c r="F171" s="12">
        <v>98.382515999999995</v>
      </c>
      <c r="G171" s="12">
        <f t="shared" si="4"/>
        <v>-1.6174840000000046</v>
      </c>
      <c r="H171" s="12">
        <f t="shared" si="5"/>
        <v>1.6174840000000046</v>
      </c>
    </row>
    <row r="172" spans="1:8" x14ac:dyDescent="0.3">
      <c r="A172" s="12">
        <v>171</v>
      </c>
      <c r="B172" s="12" t="s">
        <v>185</v>
      </c>
      <c r="C172" s="12">
        <v>4</v>
      </c>
      <c r="D172" s="12">
        <v>97</v>
      </c>
      <c r="E172" s="12">
        <v>19.497</v>
      </c>
      <c r="F172" s="12">
        <v>97.663833000000011</v>
      </c>
      <c r="G172" s="12">
        <f t="shared" si="4"/>
        <v>0.663833000000011</v>
      </c>
      <c r="H172" s="12">
        <f t="shared" si="5"/>
        <v>0.663833000000011</v>
      </c>
    </row>
    <row r="173" spans="1:8" x14ac:dyDescent="0.3">
      <c r="A173" s="12">
        <v>172</v>
      </c>
      <c r="B173" s="12" t="s">
        <v>186</v>
      </c>
      <c r="C173" s="12">
        <v>4</v>
      </c>
      <c r="D173" s="12">
        <v>112</v>
      </c>
      <c r="E173" s="12">
        <v>22.521999999999998</v>
      </c>
      <c r="F173" s="12">
        <v>112.453058</v>
      </c>
      <c r="G173" s="12">
        <f t="shared" si="4"/>
        <v>0.45305799999999863</v>
      </c>
      <c r="H173" s="12">
        <f t="shared" si="5"/>
        <v>0.45305799999999863</v>
      </c>
    </row>
    <row r="174" spans="1:8" x14ac:dyDescent="0.3">
      <c r="A174" s="12">
        <v>173</v>
      </c>
      <c r="B174" s="12" t="s">
        <v>187</v>
      </c>
      <c r="C174" s="12">
        <v>1</v>
      </c>
      <c r="D174" s="12">
        <v>110</v>
      </c>
      <c r="E174" s="12">
        <v>21.609000000000002</v>
      </c>
      <c r="F174" s="12">
        <v>107.98940100000002</v>
      </c>
      <c r="G174" s="12">
        <f t="shared" si="4"/>
        <v>-2.0105989999999849</v>
      </c>
      <c r="H174" s="12">
        <f t="shared" si="5"/>
        <v>2.0105989999999849</v>
      </c>
    </row>
    <row r="175" spans="1:8" x14ac:dyDescent="0.3">
      <c r="A175" s="12">
        <v>174</v>
      </c>
      <c r="B175" s="12" t="s">
        <v>188</v>
      </c>
      <c r="C175" s="12">
        <v>1</v>
      </c>
      <c r="D175" s="12">
        <v>101</v>
      </c>
      <c r="E175" s="12">
        <v>20.216000000000001</v>
      </c>
      <c r="F175" s="12">
        <v>101.17902400000001</v>
      </c>
      <c r="G175" s="12">
        <f t="shared" si="4"/>
        <v>0.17902400000001251</v>
      </c>
      <c r="H175" s="12">
        <f t="shared" si="5"/>
        <v>0.17902400000001251</v>
      </c>
    </row>
    <row r="176" spans="1:8" x14ac:dyDescent="0.3">
      <c r="A176" s="12">
        <v>175</v>
      </c>
      <c r="B176" s="12" t="s">
        <v>189</v>
      </c>
      <c r="C176" s="12">
        <v>5</v>
      </c>
      <c r="D176" s="12">
        <v>100</v>
      </c>
      <c r="E176" s="12">
        <v>20.225000000000001</v>
      </c>
      <c r="F176" s="12">
        <v>101.22302500000002</v>
      </c>
      <c r="G176" s="12">
        <f t="shared" si="4"/>
        <v>1.2230250000000211</v>
      </c>
      <c r="H176" s="12">
        <f t="shared" si="5"/>
        <v>1.2230250000000211</v>
      </c>
    </row>
    <row r="177" spans="1:8" x14ac:dyDescent="0.3">
      <c r="A177" s="12">
        <v>176</v>
      </c>
      <c r="B177" s="12" t="s">
        <v>190</v>
      </c>
      <c r="C177" s="12">
        <v>2</v>
      </c>
      <c r="D177" s="12">
        <v>102</v>
      </c>
      <c r="E177" s="12">
        <v>19.989999999999998</v>
      </c>
      <c r="F177" s="12">
        <v>100.07411</v>
      </c>
      <c r="G177" s="12">
        <f t="shared" si="4"/>
        <v>-1.9258899999999954</v>
      </c>
      <c r="H177" s="12">
        <f t="shared" si="5"/>
        <v>1.9258899999999954</v>
      </c>
    </row>
    <row r="178" spans="1:8" x14ac:dyDescent="0.3">
      <c r="A178" s="12">
        <v>177</v>
      </c>
      <c r="B178" s="12" t="s">
        <v>191</v>
      </c>
      <c r="C178" s="12">
        <v>2</v>
      </c>
      <c r="D178" s="12">
        <v>100</v>
      </c>
      <c r="E178" s="12">
        <v>20.393999999999998</v>
      </c>
      <c r="F178" s="12">
        <v>102.049266</v>
      </c>
      <c r="G178" s="12">
        <f t="shared" si="4"/>
        <v>2.0492660000000029</v>
      </c>
      <c r="H178" s="12">
        <f t="shared" si="5"/>
        <v>2.0492660000000029</v>
      </c>
    </row>
    <row r="179" spans="1:8" x14ac:dyDescent="0.3">
      <c r="A179" s="12">
        <v>178</v>
      </c>
      <c r="B179" s="12" t="s">
        <v>192</v>
      </c>
      <c r="C179" s="12">
        <v>3</v>
      </c>
      <c r="D179" s="12">
        <v>107</v>
      </c>
      <c r="E179" s="12">
        <v>21.265999999999998</v>
      </c>
      <c r="F179" s="12">
        <v>106.31247399999999</v>
      </c>
      <c r="G179" s="12">
        <f t="shared" si="4"/>
        <v>-0.68752600000000541</v>
      </c>
      <c r="H179" s="12">
        <f t="shared" si="5"/>
        <v>0.68752600000000541</v>
      </c>
    </row>
    <row r="180" spans="1:8" x14ac:dyDescent="0.3">
      <c r="A180" s="12">
        <v>179</v>
      </c>
      <c r="B180" s="12" t="s">
        <v>193</v>
      </c>
      <c r="C180" s="12">
        <v>4</v>
      </c>
      <c r="D180" s="12">
        <v>113</v>
      </c>
      <c r="E180" s="12">
        <v>23.047999999999998</v>
      </c>
      <c r="F180" s="12">
        <v>115.024672</v>
      </c>
      <c r="G180" s="12">
        <f t="shared" si="4"/>
        <v>2.0246719999999954</v>
      </c>
      <c r="H180" s="12">
        <f t="shared" si="5"/>
        <v>2.0246719999999954</v>
      </c>
    </row>
    <row r="181" spans="1:8" x14ac:dyDescent="0.3">
      <c r="A181" s="12">
        <v>180</v>
      </c>
      <c r="B181" s="12" t="s">
        <v>194</v>
      </c>
      <c r="C181" s="12">
        <v>3</v>
      </c>
      <c r="D181" s="12">
        <v>96</v>
      </c>
      <c r="E181" s="12">
        <v>19.010000000000002</v>
      </c>
      <c r="F181" s="12">
        <v>95.282890000000009</v>
      </c>
      <c r="G181" s="12">
        <f t="shared" si="4"/>
        <v>-0.71710999999999103</v>
      </c>
      <c r="H181" s="12">
        <f t="shared" si="5"/>
        <v>0.71710999999999103</v>
      </c>
    </row>
    <row r="182" spans="1:8" x14ac:dyDescent="0.3">
      <c r="A182" s="12">
        <v>181</v>
      </c>
      <c r="B182" s="12" t="s">
        <v>195</v>
      </c>
      <c r="C182" s="12">
        <v>1</v>
      </c>
      <c r="D182" s="12">
        <v>107</v>
      </c>
      <c r="E182" s="12">
        <v>21.033999999999999</v>
      </c>
      <c r="F182" s="12">
        <v>105.17822600000001</v>
      </c>
      <c r="G182" s="12">
        <f t="shared" si="4"/>
        <v>-1.8217739999999907</v>
      </c>
      <c r="H182" s="12">
        <f t="shared" si="5"/>
        <v>1.8217739999999907</v>
      </c>
    </row>
    <row r="183" spans="1:8" x14ac:dyDescent="0.3">
      <c r="A183" s="12">
        <v>182</v>
      </c>
      <c r="B183" s="12" t="s">
        <v>196</v>
      </c>
      <c r="C183" s="12">
        <v>2</v>
      </c>
      <c r="D183" s="12">
        <v>106</v>
      </c>
      <c r="E183" s="12">
        <v>21.036999999999999</v>
      </c>
      <c r="F183" s="12">
        <v>105.192893</v>
      </c>
      <c r="G183" s="12">
        <f t="shared" si="4"/>
        <v>-0.80710700000000202</v>
      </c>
      <c r="H183" s="12">
        <f t="shared" si="5"/>
        <v>0.80710700000000202</v>
      </c>
    </row>
    <row r="184" spans="1:8" x14ac:dyDescent="0.3">
      <c r="A184" s="12">
        <v>183</v>
      </c>
      <c r="B184" s="12" t="s">
        <v>197</v>
      </c>
      <c r="C184" s="12">
        <v>1</v>
      </c>
      <c r="D184" s="12">
        <v>89</v>
      </c>
      <c r="E184" s="12">
        <v>17.765999999999998</v>
      </c>
      <c r="F184" s="12">
        <v>89.200974000000002</v>
      </c>
      <c r="G184" s="12">
        <f t="shared" si="4"/>
        <v>0.20097400000000221</v>
      </c>
      <c r="H184" s="12">
        <f t="shared" si="5"/>
        <v>0.20097400000000221</v>
      </c>
    </row>
    <row r="185" spans="1:8" x14ac:dyDescent="0.3">
      <c r="A185" s="12">
        <v>184</v>
      </c>
      <c r="B185" s="12" t="s">
        <v>198</v>
      </c>
      <c r="C185" s="12">
        <v>3</v>
      </c>
      <c r="D185" s="12">
        <v>114</v>
      </c>
      <c r="E185" s="12">
        <v>22.661999999999999</v>
      </c>
      <c r="F185" s="12">
        <v>113.137518</v>
      </c>
      <c r="G185" s="12">
        <f t="shared" si="4"/>
        <v>-0.86248199999999997</v>
      </c>
      <c r="H185" s="12">
        <f t="shared" si="5"/>
        <v>0.86248199999999997</v>
      </c>
    </row>
    <row r="186" spans="1:8" x14ac:dyDescent="0.3">
      <c r="A186" s="12">
        <v>185</v>
      </c>
      <c r="B186" s="12" t="s">
        <v>199</v>
      </c>
      <c r="C186" s="12">
        <v>3</v>
      </c>
      <c r="D186" s="12">
        <v>108</v>
      </c>
      <c r="E186" s="12">
        <v>21.523</v>
      </c>
      <c r="F186" s="12">
        <v>107.56894700000001</v>
      </c>
      <c r="G186" s="12">
        <f t="shared" si="4"/>
        <v>-0.43105299999999147</v>
      </c>
      <c r="H186" s="12">
        <f t="shared" si="5"/>
        <v>0.43105299999999147</v>
      </c>
    </row>
    <row r="187" spans="1:8" x14ac:dyDescent="0.3">
      <c r="A187" s="12">
        <v>186</v>
      </c>
      <c r="B187" s="12" t="s">
        <v>200</v>
      </c>
      <c r="C187" s="12">
        <v>1</v>
      </c>
      <c r="D187" s="12">
        <v>123</v>
      </c>
      <c r="E187" s="12">
        <v>24.719000000000001</v>
      </c>
      <c r="F187" s="12">
        <v>123.19419100000002</v>
      </c>
      <c r="G187" s="12">
        <f t="shared" si="4"/>
        <v>0.19419100000001777</v>
      </c>
      <c r="H187" s="12">
        <f t="shared" si="5"/>
        <v>0.19419100000001777</v>
      </c>
    </row>
    <row r="188" spans="1:8" x14ac:dyDescent="0.3">
      <c r="A188" s="12">
        <v>187</v>
      </c>
      <c r="B188" s="12" t="s">
        <v>201</v>
      </c>
      <c r="C188" s="12">
        <v>4</v>
      </c>
      <c r="D188" s="12">
        <v>95</v>
      </c>
      <c r="E188" s="12">
        <v>18.939</v>
      </c>
      <c r="F188" s="12">
        <v>94.935771000000003</v>
      </c>
      <c r="G188" s="12">
        <f t="shared" si="4"/>
        <v>-6.4228999999997427E-2</v>
      </c>
      <c r="H188" s="12">
        <f t="shared" si="5"/>
        <v>6.4228999999997427E-2</v>
      </c>
    </row>
    <row r="189" spans="1:8" x14ac:dyDescent="0.3">
      <c r="A189" s="12">
        <v>188</v>
      </c>
      <c r="B189" s="12" t="s">
        <v>202</v>
      </c>
      <c r="C189" s="12">
        <v>5</v>
      </c>
      <c r="D189" s="12">
        <v>90</v>
      </c>
      <c r="E189" s="12">
        <v>17.975999999999999</v>
      </c>
      <c r="F189" s="12">
        <v>90.227664000000004</v>
      </c>
      <c r="G189" s="12">
        <f t="shared" si="4"/>
        <v>0.22766400000000431</v>
      </c>
      <c r="H189" s="12">
        <f t="shared" si="5"/>
        <v>0.22766400000000431</v>
      </c>
    </row>
    <row r="190" spans="1:8" x14ac:dyDescent="0.3">
      <c r="A190" s="12">
        <v>189</v>
      </c>
      <c r="B190" s="12" t="s">
        <v>203</v>
      </c>
      <c r="C190" s="12">
        <v>5</v>
      </c>
      <c r="D190" s="12">
        <v>116</v>
      </c>
      <c r="E190" s="12">
        <v>22.591000000000001</v>
      </c>
      <c r="F190" s="12">
        <v>112.79039900000001</v>
      </c>
      <c r="G190" s="12">
        <f t="shared" si="4"/>
        <v>-3.2096009999999922</v>
      </c>
      <c r="H190" s="12">
        <f t="shared" si="5"/>
        <v>3.2096009999999922</v>
      </c>
    </row>
    <row r="191" spans="1:8" x14ac:dyDescent="0.3">
      <c r="A191" s="12">
        <v>190</v>
      </c>
      <c r="B191" s="12" t="s">
        <v>204</v>
      </c>
      <c r="C191" s="12">
        <v>5</v>
      </c>
      <c r="D191" s="12">
        <v>115</v>
      </c>
      <c r="E191" s="12">
        <v>23.14</v>
      </c>
      <c r="F191" s="12">
        <v>115.47446000000001</v>
      </c>
      <c r="G191" s="12">
        <f t="shared" si="4"/>
        <v>0.47446000000000765</v>
      </c>
      <c r="H191" s="12">
        <f t="shared" si="5"/>
        <v>0.47446000000000765</v>
      </c>
    </row>
    <row r="192" spans="1:8" x14ac:dyDescent="0.3">
      <c r="A192" s="12">
        <v>191</v>
      </c>
      <c r="B192" s="12" t="s">
        <v>205</v>
      </c>
      <c r="C192" s="12">
        <v>5</v>
      </c>
      <c r="D192" s="12">
        <v>110</v>
      </c>
      <c r="E192" s="12">
        <v>21.968</v>
      </c>
      <c r="F192" s="12">
        <v>109.74455200000001</v>
      </c>
      <c r="G192" s="12">
        <f t="shared" si="4"/>
        <v>-0.25544799999998702</v>
      </c>
      <c r="H192" s="12">
        <f t="shared" si="5"/>
        <v>0.25544799999998702</v>
      </c>
    </row>
    <row r="193" spans="1:8" x14ac:dyDescent="0.3">
      <c r="A193" s="12">
        <v>192</v>
      </c>
      <c r="B193" s="12" t="s">
        <v>206</v>
      </c>
      <c r="C193" s="12">
        <v>5</v>
      </c>
      <c r="D193" s="12">
        <v>123</v>
      </c>
      <c r="E193" s="12">
        <v>25.173999999999999</v>
      </c>
      <c r="F193" s="12">
        <v>125.41868600000001</v>
      </c>
      <c r="G193" s="12">
        <f t="shared" si="4"/>
        <v>2.4186860000000081</v>
      </c>
      <c r="H193" s="12">
        <f t="shared" si="5"/>
        <v>2.4186860000000081</v>
      </c>
    </row>
    <row r="194" spans="1:8" x14ac:dyDescent="0.3">
      <c r="A194" s="12">
        <v>193</v>
      </c>
      <c r="B194" s="12" t="s">
        <v>207</v>
      </c>
      <c r="C194" s="12">
        <v>2</v>
      </c>
      <c r="D194" s="12">
        <v>88</v>
      </c>
      <c r="E194" s="12">
        <v>17.265000000000001</v>
      </c>
      <c r="F194" s="12">
        <v>86.751585000000006</v>
      </c>
      <c r="G194" s="12">
        <f t="shared" si="4"/>
        <v>-1.2484149999999943</v>
      </c>
      <c r="H194" s="12">
        <f t="shared" si="5"/>
        <v>1.2484149999999943</v>
      </c>
    </row>
    <row r="195" spans="1:8" x14ac:dyDescent="0.3">
      <c r="A195" s="12">
        <v>194</v>
      </c>
      <c r="B195" s="12" t="s">
        <v>208</v>
      </c>
      <c r="C195" s="12">
        <v>1</v>
      </c>
      <c r="D195" s="12">
        <v>92</v>
      </c>
      <c r="E195" s="12">
        <v>17.756</v>
      </c>
      <c r="F195" s="12">
        <v>89.152084000000002</v>
      </c>
      <c r="G195" s="12">
        <f t="shared" ref="G195:G258" si="6">F195-D195</f>
        <v>-2.8479159999999979</v>
      </c>
      <c r="H195" s="12">
        <f t="shared" ref="H195:H258" si="7">ABS(F195-D195)</f>
        <v>2.8479159999999979</v>
      </c>
    </row>
    <row r="196" spans="1:8" x14ac:dyDescent="0.3">
      <c r="A196" s="12">
        <v>195</v>
      </c>
      <c r="B196" s="12" t="s">
        <v>209</v>
      </c>
      <c r="C196" s="12">
        <v>1</v>
      </c>
      <c r="D196" s="12">
        <v>109</v>
      </c>
      <c r="E196" s="12">
        <v>22.02</v>
      </c>
      <c r="F196" s="12">
        <v>109.99878000000001</v>
      </c>
      <c r="G196" s="12">
        <f t="shared" si="6"/>
        <v>0.99878000000001066</v>
      </c>
      <c r="H196" s="12">
        <f t="shared" si="7"/>
        <v>0.99878000000001066</v>
      </c>
    </row>
    <row r="197" spans="1:8" x14ac:dyDescent="0.3">
      <c r="A197" s="12">
        <v>196</v>
      </c>
      <c r="B197" s="12" t="s">
        <v>210</v>
      </c>
      <c r="C197" s="12">
        <v>2</v>
      </c>
      <c r="D197" s="12">
        <v>120</v>
      </c>
      <c r="E197" s="12">
        <v>24.123000000000001</v>
      </c>
      <c r="F197" s="12">
        <v>120.28034700000002</v>
      </c>
      <c r="G197" s="12">
        <f t="shared" si="6"/>
        <v>0.28034700000002033</v>
      </c>
      <c r="H197" s="12">
        <f t="shared" si="7"/>
        <v>0.28034700000002033</v>
      </c>
    </row>
    <row r="198" spans="1:8" x14ac:dyDescent="0.3">
      <c r="A198" s="12">
        <v>197</v>
      </c>
      <c r="B198" s="12" t="s">
        <v>211</v>
      </c>
      <c r="C198" s="12">
        <v>3</v>
      </c>
      <c r="D198" s="12">
        <v>127</v>
      </c>
      <c r="E198" s="12">
        <v>25.041</v>
      </c>
      <c r="F198" s="12">
        <v>124.76844900000002</v>
      </c>
      <c r="G198" s="12">
        <f t="shared" si="6"/>
        <v>-2.2315509999999819</v>
      </c>
      <c r="H198" s="12">
        <f t="shared" si="7"/>
        <v>2.2315509999999819</v>
      </c>
    </row>
    <row r="199" spans="1:8" x14ac:dyDescent="0.3">
      <c r="A199" s="12">
        <v>198</v>
      </c>
      <c r="B199" s="12" t="s">
        <v>212</v>
      </c>
      <c r="C199" s="12">
        <v>4</v>
      </c>
      <c r="D199" s="12">
        <v>105</v>
      </c>
      <c r="E199" s="12">
        <v>20.454999999999998</v>
      </c>
      <c r="F199" s="12">
        <v>102.347495</v>
      </c>
      <c r="G199" s="12">
        <f t="shared" si="6"/>
        <v>-2.652505000000005</v>
      </c>
      <c r="H199" s="12">
        <f t="shared" si="7"/>
        <v>2.652505000000005</v>
      </c>
    </row>
    <row r="200" spans="1:8" x14ac:dyDescent="0.3">
      <c r="A200" s="12">
        <v>199</v>
      </c>
      <c r="B200" s="12" t="s">
        <v>213</v>
      </c>
      <c r="C200" s="12">
        <v>3</v>
      </c>
      <c r="D200" s="12">
        <v>98</v>
      </c>
      <c r="E200" s="12">
        <v>20.148</v>
      </c>
      <c r="F200" s="12">
        <v>100.84657200000001</v>
      </c>
      <c r="G200" s="12">
        <f t="shared" si="6"/>
        <v>2.846572000000009</v>
      </c>
      <c r="H200" s="12">
        <f t="shared" si="7"/>
        <v>2.846572000000009</v>
      </c>
    </row>
    <row r="201" spans="1:8" x14ac:dyDescent="0.3">
      <c r="A201" s="12">
        <v>200</v>
      </c>
      <c r="B201" s="12" t="s">
        <v>214</v>
      </c>
      <c r="C201" s="12">
        <v>3</v>
      </c>
      <c r="D201" s="12">
        <v>112</v>
      </c>
      <c r="E201" s="12">
        <v>22.904</v>
      </c>
      <c r="F201" s="12">
        <v>114.32065600000001</v>
      </c>
      <c r="G201" s="12">
        <f t="shared" si="6"/>
        <v>2.3206560000000138</v>
      </c>
      <c r="H201" s="12">
        <f t="shared" si="7"/>
        <v>2.3206560000000138</v>
      </c>
    </row>
    <row r="202" spans="1:8" x14ac:dyDescent="0.3">
      <c r="A202" s="12">
        <v>201</v>
      </c>
      <c r="B202" s="12" t="s">
        <v>215</v>
      </c>
      <c r="C202" s="12">
        <v>4</v>
      </c>
      <c r="D202" s="12">
        <v>94</v>
      </c>
      <c r="E202" s="12">
        <v>17.914000000000001</v>
      </c>
      <c r="F202" s="12">
        <v>89.924546000000021</v>
      </c>
      <c r="G202" s="12">
        <f t="shared" si="6"/>
        <v>-4.0754539999999793</v>
      </c>
      <c r="H202" s="12">
        <f t="shared" si="7"/>
        <v>4.0754539999999793</v>
      </c>
    </row>
    <row r="203" spans="1:8" x14ac:dyDescent="0.3">
      <c r="A203" s="12">
        <v>202</v>
      </c>
      <c r="B203" s="12" t="s">
        <v>216</v>
      </c>
      <c r="C203" s="12">
        <v>5</v>
      </c>
      <c r="D203" s="12">
        <v>105</v>
      </c>
      <c r="E203" s="12">
        <v>20.837</v>
      </c>
      <c r="F203" s="12">
        <v>104.21509300000001</v>
      </c>
      <c r="G203" s="12">
        <f t="shared" si="6"/>
        <v>-0.78490699999998981</v>
      </c>
      <c r="H203" s="12">
        <f t="shared" si="7"/>
        <v>0.78490699999998981</v>
      </c>
    </row>
    <row r="204" spans="1:8" x14ac:dyDescent="0.3">
      <c r="A204" s="12">
        <v>203</v>
      </c>
      <c r="B204" s="12" t="s">
        <v>217</v>
      </c>
      <c r="C204" s="12">
        <v>3</v>
      </c>
      <c r="D204" s="12">
        <v>103</v>
      </c>
      <c r="E204" s="12">
        <v>21.193000000000001</v>
      </c>
      <c r="F204" s="12">
        <v>105.95557700000002</v>
      </c>
      <c r="G204" s="12">
        <f t="shared" si="6"/>
        <v>2.9555770000000194</v>
      </c>
      <c r="H204" s="12">
        <f t="shared" si="7"/>
        <v>2.9555770000000194</v>
      </c>
    </row>
    <row r="205" spans="1:8" x14ac:dyDescent="0.3">
      <c r="A205" s="12">
        <v>204</v>
      </c>
      <c r="B205" s="12" t="s">
        <v>218</v>
      </c>
      <c r="C205" s="12">
        <v>2</v>
      </c>
      <c r="D205" s="12">
        <v>111</v>
      </c>
      <c r="E205" s="12">
        <v>22.03</v>
      </c>
      <c r="F205" s="12">
        <v>110.04767000000001</v>
      </c>
      <c r="G205" s="12">
        <f t="shared" si="6"/>
        <v>-0.95232999999998924</v>
      </c>
      <c r="H205" s="12">
        <f t="shared" si="7"/>
        <v>0.95232999999998924</v>
      </c>
    </row>
    <row r="206" spans="1:8" x14ac:dyDescent="0.3">
      <c r="A206" s="12">
        <v>205</v>
      </c>
      <c r="B206" s="12" t="s">
        <v>219</v>
      </c>
      <c r="C206" s="12">
        <v>1</v>
      </c>
      <c r="D206" s="12">
        <v>124</v>
      </c>
      <c r="E206" s="12">
        <v>24.625</v>
      </c>
      <c r="F206" s="12">
        <v>122.73462500000001</v>
      </c>
      <c r="G206" s="12">
        <f t="shared" si="6"/>
        <v>-1.2653749999999917</v>
      </c>
      <c r="H206" s="12">
        <f t="shared" si="7"/>
        <v>1.2653749999999917</v>
      </c>
    </row>
    <row r="207" spans="1:8" x14ac:dyDescent="0.3">
      <c r="A207" s="12">
        <v>206</v>
      </c>
      <c r="B207" s="12" t="s">
        <v>220</v>
      </c>
      <c r="C207" s="12">
        <v>5</v>
      </c>
      <c r="D207" s="12">
        <v>115</v>
      </c>
      <c r="E207" s="12">
        <v>22.899000000000001</v>
      </c>
      <c r="F207" s="12">
        <v>114.29621100000001</v>
      </c>
      <c r="G207" s="12">
        <f t="shared" si="6"/>
        <v>-0.70378899999998623</v>
      </c>
      <c r="H207" s="12">
        <f t="shared" si="7"/>
        <v>0.70378899999998623</v>
      </c>
    </row>
    <row r="208" spans="1:8" x14ac:dyDescent="0.3">
      <c r="A208" s="12">
        <v>207</v>
      </c>
      <c r="B208" s="12" t="s">
        <v>221</v>
      </c>
      <c r="C208" s="12">
        <v>4</v>
      </c>
      <c r="D208" s="12">
        <v>100</v>
      </c>
      <c r="E208" s="12">
        <v>19.600999999999999</v>
      </c>
      <c r="F208" s="12">
        <v>98.172289000000006</v>
      </c>
      <c r="G208" s="12">
        <f t="shared" si="6"/>
        <v>-1.8277109999999936</v>
      </c>
      <c r="H208" s="12">
        <f t="shared" si="7"/>
        <v>1.8277109999999936</v>
      </c>
    </row>
    <row r="209" spans="1:8" x14ac:dyDescent="0.3">
      <c r="A209" s="12">
        <v>208</v>
      </c>
      <c r="B209" s="12" t="s">
        <v>222</v>
      </c>
      <c r="C209" s="12">
        <v>4</v>
      </c>
      <c r="D209" s="12">
        <v>108</v>
      </c>
      <c r="E209" s="12">
        <v>20.992999999999999</v>
      </c>
      <c r="F209" s="12">
        <v>104.977777</v>
      </c>
      <c r="G209" s="12">
        <f t="shared" si="6"/>
        <v>-3.0222229999999968</v>
      </c>
      <c r="H209" s="12">
        <f t="shared" si="7"/>
        <v>3.0222229999999968</v>
      </c>
    </row>
    <row r="210" spans="1:8" x14ac:dyDescent="0.3">
      <c r="A210" s="12">
        <v>209</v>
      </c>
      <c r="B210" s="12" t="s">
        <v>223</v>
      </c>
      <c r="C210" s="12">
        <v>2</v>
      </c>
      <c r="D210" s="12">
        <v>95</v>
      </c>
      <c r="E210" s="12">
        <v>19.375</v>
      </c>
      <c r="F210" s="12">
        <v>97.067375000000013</v>
      </c>
      <c r="G210" s="12">
        <f t="shared" si="6"/>
        <v>2.0673750000000126</v>
      </c>
      <c r="H210" s="12">
        <f t="shared" si="7"/>
        <v>2.0673750000000126</v>
      </c>
    </row>
    <row r="211" spans="1:8" x14ac:dyDescent="0.3">
      <c r="A211" s="12">
        <v>210</v>
      </c>
      <c r="B211" s="12" t="s">
        <v>224</v>
      </c>
      <c r="C211" s="12">
        <v>1</v>
      </c>
      <c r="D211" s="12">
        <v>103</v>
      </c>
      <c r="E211" s="12">
        <v>19.943999999999999</v>
      </c>
      <c r="F211" s="12">
        <v>99.849215999999998</v>
      </c>
      <c r="G211" s="12">
        <f t="shared" si="6"/>
        <v>-3.1507840000000016</v>
      </c>
      <c r="H211" s="12">
        <f t="shared" si="7"/>
        <v>3.1507840000000016</v>
      </c>
    </row>
    <row r="212" spans="1:8" x14ac:dyDescent="0.3">
      <c r="A212" s="12">
        <v>211</v>
      </c>
      <c r="B212" s="12" t="s">
        <v>225</v>
      </c>
      <c r="C212" s="12">
        <v>2</v>
      </c>
      <c r="D212" s="12">
        <v>89</v>
      </c>
      <c r="E212" s="12">
        <v>17.888000000000002</v>
      </c>
      <c r="F212" s="12">
        <v>89.797432000000015</v>
      </c>
      <c r="G212" s="12">
        <f t="shared" si="6"/>
        <v>0.7974320000000148</v>
      </c>
      <c r="H212" s="12">
        <f t="shared" si="7"/>
        <v>0.7974320000000148</v>
      </c>
    </row>
    <row r="213" spans="1:8" x14ac:dyDescent="0.3">
      <c r="A213" s="12">
        <v>212</v>
      </c>
      <c r="B213" s="12" t="s">
        <v>226</v>
      </c>
      <c r="C213" s="12">
        <v>1</v>
      </c>
      <c r="D213" s="12">
        <v>114</v>
      </c>
      <c r="E213" s="12">
        <v>23.116</v>
      </c>
      <c r="F213" s="12">
        <v>115.35712400000001</v>
      </c>
      <c r="G213" s="12">
        <f t="shared" si="6"/>
        <v>1.3571240000000131</v>
      </c>
      <c r="H213" s="12">
        <f t="shared" si="7"/>
        <v>1.3571240000000131</v>
      </c>
    </row>
    <row r="214" spans="1:8" x14ac:dyDescent="0.3">
      <c r="A214" s="12">
        <v>213</v>
      </c>
      <c r="B214" s="12" t="s">
        <v>227</v>
      </c>
      <c r="C214" s="12">
        <v>5</v>
      </c>
      <c r="D214" s="12">
        <v>89</v>
      </c>
      <c r="E214" s="12">
        <v>17.283000000000001</v>
      </c>
      <c r="F214" s="12">
        <v>86.839587000000009</v>
      </c>
      <c r="G214" s="12">
        <f t="shared" si="6"/>
        <v>-2.1604129999999913</v>
      </c>
      <c r="H214" s="12">
        <f t="shared" si="7"/>
        <v>2.1604129999999913</v>
      </c>
    </row>
    <row r="215" spans="1:8" x14ac:dyDescent="0.3">
      <c r="A215" s="12">
        <v>214</v>
      </c>
      <c r="B215" s="12" t="s">
        <v>228</v>
      </c>
      <c r="C215" s="12">
        <v>4</v>
      </c>
      <c r="D215" s="12">
        <v>121</v>
      </c>
      <c r="E215" s="12">
        <v>23.870999999999999</v>
      </c>
      <c r="F215" s="12">
        <v>119.04831900000001</v>
      </c>
      <c r="G215" s="12">
        <f t="shared" si="6"/>
        <v>-1.9516809999999936</v>
      </c>
      <c r="H215" s="12">
        <f t="shared" si="7"/>
        <v>1.9516809999999936</v>
      </c>
    </row>
    <row r="216" spans="1:8" x14ac:dyDescent="0.3">
      <c r="A216" s="12">
        <v>215</v>
      </c>
      <c r="B216" s="12" t="s">
        <v>229</v>
      </c>
      <c r="C216" s="12">
        <v>5</v>
      </c>
      <c r="D216" s="12">
        <v>118</v>
      </c>
      <c r="E216" s="12">
        <v>24.032</v>
      </c>
      <c r="F216" s="12">
        <v>119.83544800000001</v>
      </c>
      <c r="G216" s="12">
        <f t="shared" si="6"/>
        <v>1.8354480000000137</v>
      </c>
      <c r="H216" s="12">
        <f t="shared" si="7"/>
        <v>1.8354480000000137</v>
      </c>
    </row>
    <row r="217" spans="1:8" x14ac:dyDescent="0.3">
      <c r="A217" s="12">
        <v>216</v>
      </c>
      <c r="B217" s="12" t="s">
        <v>230</v>
      </c>
      <c r="C217" s="12">
        <v>4</v>
      </c>
      <c r="D217" s="12">
        <v>97</v>
      </c>
      <c r="E217" s="12">
        <v>19.18</v>
      </c>
      <c r="F217" s="12">
        <v>96.114020000000011</v>
      </c>
      <c r="G217" s="12">
        <f t="shared" si="6"/>
        <v>-0.88597999999998933</v>
      </c>
      <c r="H217" s="12">
        <f t="shared" si="7"/>
        <v>0.88597999999998933</v>
      </c>
    </row>
    <row r="218" spans="1:8" x14ac:dyDescent="0.3">
      <c r="A218" s="12">
        <v>217</v>
      </c>
      <c r="B218" s="12" t="s">
        <v>231</v>
      </c>
      <c r="C218" s="12">
        <v>4</v>
      </c>
      <c r="D218" s="12">
        <v>106</v>
      </c>
      <c r="E218" s="12">
        <v>21.628</v>
      </c>
      <c r="F218" s="12">
        <v>108.08229200000001</v>
      </c>
      <c r="G218" s="12">
        <f t="shared" si="6"/>
        <v>2.0822920000000096</v>
      </c>
      <c r="H218" s="12">
        <f t="shared" si="7"/>
        <v>2.0822920000000096</v>
      </c>
    </row>
    <row r="219" spans="1:8" x14ac:dyDescent="0.3">
      <c r="A219" s="12">
        <v>218</v>
      </c>
      <c r="B219" s="12" t="s">
        <v>232</v>
      </c>
      <c r="C219" s="12">
        <v>5</v>
      </c>
      <c r="D219" s="12">
        <v>84</v>
      </c>
      <c r="E219" s="12">
        <v>17.23</v>
      </c>
      <c r="F219" s="12">
        <v>86.580470000000005</v>
      </c>
      <c r="G219" s="12">
        <f t="shared" si="6"/>
        <v>2.5804700000000054</v>
      </c>
      <c r="H219" s="12">
        <f t="shared" si="7"/>
        <v>2.5804700000000054</v>
      </c>
    </row>
    <row r="220" spans="1:8" x14ac:dyDescent="0.3">
      <c r="A220" s="12">
        <v>219</v>
      </c>
      <c r="B220" s="12" t="s">
        <v>233</v>
      </c>
      <c r="C220" s="12">
        <v>2</v>
      </c>
      <c r="D220" s="12">
        <v>117</v>
      </c>
      <c r="E220" s="12">
        <v>23.495999999999999</v>
      </c>
      <c r="F220" s="12">
        <v>117.214944</v>
      </c>
      <c r="G220" s="12">
        <f t="shared" si="6"/>
        <v>0.21494400000000269</v>
      </c>
      <c r="H220" s="12">
        <f t="shared" si="7"/>
        <v>0.21494400000000269</v>
      </c>
    </row>
    <row r="221" spans="1:8" x14ac:dyDescent="0.3">
      <c r="A221" s="12">
        <v>220</v>
      </c>
      <c r="B221" s="12" t="s">
        <v>234</v>
      </c>
      <c r="C221" s="12">
        <v>3</v>
      </c>
      <c r="D221" s="12">
        <v>90</v>
      </c>
      <c r="E221" s="12">
        <v>17.678999999999998</v>
      </c>
      <c r="F221" s="12">
        <v>88.775631000000004</v>
      </c>
      <c r="G221" s="12">
        <f t="shared" si="6"/>
        <v>-1.2243689999999958</v>
      </c>
      <c r="H221" s="12">
        <f t="shared" si="7"/>
        <v>1.2243689999999958</v>
      </c>
    </row>
    <row r="222" spans="1:8" x14ac:dyDescent="0.3">
      <c r="A222" s="12">
        <v>221</v>
      </c>
      <c r="B222" s="12" t="s">
        <v>235</v>
      </c>
      <c r="C222" s="12">
        <v>2</v>
      </c>
      <c r="D222" s="12">
        <v>113</v>
      </c>
      <c r="E222" s="12">
        <v>22.452999999999999</v>
      </c>
      <c r="F222" s="12">
        <v>112.115717</v>
      </c>
      <c r="G222" s="12">
        <f t="shared" si="6"/>
        <v>-0.88428299999999638</v>
      </c>
      <c r="H222" s="12">
        <f t="shared" si="7"/>
        <v>0.88428299999999638</v>
      </c>
    </row>
    <row r="223" spans="1:8" x14ac:dyDescent="0.3">
      <c r="A223" s="12">
        <v>222</v>
      </c>
      <c r="B223" s="12" t="s">
        <v>236</v>
      </c>
      <c r="C223" s="12">
        <v>4</v>
      </c>
      <c r="D223" s="12">
        <v>102</v>
      </c>
      <c r="E223" s="12">
        <v>20.501999999999999</v>
      </c>
      <c r="F223" s="12">
        <v>102.57727800000001</v>
      </c>
      <c r="G223" s="12">
        <f t="shared" si="6"/>
        <v>0.57727800000000684</v>
      </c>
      <c r="H223" s="12">
        <f t="shared" si="7"/>
        <v>0.57727800000000684</v>
      </c>
    </row>
    <row r="224" spans="1:8" x14ac:dyDescent="0.3">
      <c r="A224" s="12">
        <v>223</v>
      </c>
      <c r="B224" s="12" t="s">
        <v>237</v>
      </c>
      <c r="C224" s="12">
        <v>2</v>
      </c>
      <c r="D224" s="12">
        <v>122</v>
      </c>
      <c r="E224" s="12">
        <v>24.332999999999998</v>
      </c>
      <c r="F224" s="12">
        <v>121.30703700000001</v>
      </c>
      <c r="G224" s="12">
        <f t="shared" si="6"/>
        <v>-0.69296299999999178</v>
      </c>
      <c r="H224" s="12">
        <f t="shared" si="7"/>
        <v>0.69296299999999178</v>
      </c>
    </row>
    <row r="225" spans="1:8" x14ac:dyDescent="0.3">
      <c r="A225" s="12">
        <v>224</v>
      </c>
      <c r="B225" s="12" t="s">
        <v>238</v>
      </c>
      <c r="C225" s="12">
        <v>3</v>
      </c>
      <c r="D225" s="12">
        <v>104</v>
      </c>
      <c r="E225" s="12">
        <v>21.134</v>
      </c>
      <c r="F225" s="12">
        <v>105.66712600000001</v>
      </c>
      <c r="G225" s="12">
        <f t="shared" si="6"/>
        <v>1.6671260000000103</v>
      </c>
      <c r="H225" s="12">
        <f t="shared" si="7"/>
        <v>1.6671260000000103</v>
      </c>
    </row>
    <row r="226" spans="1:8" x14ac:dyDescent="0.3">
      <c r="A226" s="12">
        <v>225</v>
      </c>
      <c r="B226" s="12" t="s">
        <v>239</v>
      </c>
      <c r="C226" s="12">
        <v>4</v>
      </c>
      <c r="D226" s="12">
        <v>125</v>
      </c>
      <c r="E226" s="12">
        <v>24.454999999999998</v>
      </c>
      <c r="F226" s="12">
        <v>121.90349500000001</v>
      </c>
      <c r="G226" s="12">
        <f t="shared" si="6"/>
        <v>-3.0965049999999934</v>
      </c>
      <c r="H226" s="12">
        <f t="shared" si="7"/>
        <v>3.0965049999999934</v>
      </c>
    </row>
    <row r="227" spans="1:8" x14ac:dyDescent="0.3">
      <c r="A227" s="12">
        <v>226</v>
      </c>
      <c r="B227" s="12" t="s">
        <v>240</v>
      </c>
      <c r="C227" s="12">
        <v>3</v>
      </c>
      <c r="D227" s="12">
        <v>108</v>
      </c>
      <c r="E227" s="12">
        <v>21.068000000000001</v>
      </c>
      <c r="F227" s="12">
        <v>105.34445200000002</v>
      </c>
      <c r="G227" s="12">
        <f t="shared" si="6"/>
        <v>-2.6555479999999818</v>
      </c>
      <c r="H227" s="12">
        <f t="shared" si="7"/>
        <v>2.6555479999999818</v>
      </c>
    </row>
    <row r="228" spans="1:8" x14ac:dyDescent="0.3">
      <c r="A228" s="12">
        <v>227</v>
      </c>
      <c r="B228" s="12" t="s">
        <v>241</v>
      </c>
      <c r="C228" s="12">
        <v>4</v>
      </c>
      <c r="D228" s="12">
        <v>92</v>
      </c>
      <c r="E228" s="12">
        <v>18.463999999999999</v>
      </c>
      <c r="F228" s="12">
        <v>92.613495999999998</v>
      </c>
      <c r="G228" s="12">
        <f t="shared" si="6"/>
        <v>0.61349599999999782</v>
      </c>
      <c r="H228" s="12">
        <f t="shared" si="7"/>
        <v>0.61349599999999782</v>
      </c>
    </row>
    <row r="229" spans="1:8" x14ac:dyDescent="0.3">
      <c r="A229" s="12">
        <v>228</v>
      </c>
      <c r="B229" s="12" t="s">
        <v>242</v>
      </c>
      <c r="C229" s="12">
        <v>2</v>
      </c>
      <c r="D229" s="12">
        <v>110</v>
      </c>
      <c r="E229" s="12">
        <v>21.824999999999999</v>
      </c>
      <c r="F229" s="12">
        <v>109.04542500000001</v>
      </c>
      <c r="G229" s="12">
        <f t="shared" si="6"/>
        <v>-0.95457499999999129</v>
      </c>
      <c r="H229" s="12">
        <f t="shared" si="7"/>
        <v>0.95457499999999129</v>
      </c>
    </row>
    <row r="230" spans="1:8" x14ac:dyDescent="0.3">
      <c r="A230" s="12">
        <v>229</v>
      </c>
      <c r="B230" s="12" t="s">
        <v>243</v>
      </c>
      <c r="C230" s="12">
        <v>3</v>
      </c>
      <c r="D230" s="12">
        <v>101</v>
      </c>
      <c r="E230" s="12">
        <v>19.977</v>
      </c>
      <c r="F230" s="12">
        <v>100.01055300000002</v>
      </c>
      <c r="G230" s="12">
        <f t="shared" si="6"/>
        <v>-0.9894469999999842</v>
      </c>
      <c r="H230" s="12">
        <f t="shared" si="7"/>
        <v>0.9894469999999842</v>
      </c>
    </row>
    <row r="231" spans="1:8" x14ac:dyDescent="0.3">
      <c r="A231" s="12">
        <v>230</v>
      </c>
      <c r="B231" s="12" t="s">
        <v>244</v>
      </c>
      <c r="C231" s="12">
        <v>2</v>
      </c>
      <c r="D231" s="12">
        <v>108</v>
      </c>
      <c r="E231" s="12">
        <v>20.97</v>
      </c>
      <c r="F231" s="12">
        <v>104.86533</v>
      </c>
      <c r="G231" s="12">
        <f t="shared" si="6"/>
        <v>-3.1346699999999998</v>
      </c>
      <c r="H231" s="12">
        <f t="shared" si="7"/>
        <v>3.1346699999999998</v>
      </c>
    </row>
    <row r="232" spans="1:8" x14ac:dyDescent="0.3">
      <c r="A232" s="12">
        <v>231</v>
      </c>
      <c r="B232" s="12" t="s">
        <v>245</v>
      </c>
      <c r="C232" s="12">
        <v>4</v>
      </c>
      <c r="D232" s="12">
        <v>102</v>
      </c>
      <c r="E232" s="12">
        <v>20.407</v>
      </c>
      <c r="F232" s="12">
        <v>102.11282300000001</v>
      </c>
      <c r="G232" s="12">
        <f t="shared" si="6"/>
        <v>0.11282300000000589</v>
      </c>
      <c r="H232" s="12">
        <f t="shared" si="7"/>
        <v>0.11282300000000589</v>
      </c>
    </row>
    <row r="233" spans="1:8" x14ac:dyDescent="0.3">
      <c r="A233" s="12">
        <v>232</v>
      </c>
      <c r="B233" s="12" t="s">
        <v>246</v>
      </c>
      <c r="C233" s="12">
        <v>2</v>
      </c>
      <c r="D233" s="12">
        <v>77</v>
      </c>
      <c r="E233" s="12">
        <v>15.381</v>
      </c>
      <c r="F233" s="12">
        <v>77.540709000000007</v>
      </c>
      <c r="G233" s="12">
        <f t="shared" si="6"/>
        <v>0.54070900000000677</v>
      </c>
      <c r="H233" s="12">
        <f t="shared" si="7"/>
        <v>0.54070900000000677</v>
      </c>
    </row>
    <row r="234" spans="1:8" x14ac:dyDescent="0.3">
      <c r="A234" s="12">
        <v>233</v>
      </c>
      <c r="B234" s="12" t="s">
        <v>247</v>
      </c>
      <c r="C234" s="12">
        <v>4</v>
      </c>
      <c r="D234" s="12">
        <v>117</v>
      </c>
      <c r="E234" s="12">
        <v>23.632999999999999</v>
      </c>
      <c r="F234" s="12">
        <v>117.884737</v>
      </c>
      <c r="G234" s="12">
        <f t="shared" si="6"/>
        <v>0.88473700000000122</v>
      </c>
      <c r="H234" s="12">
        <f t="shared" si="7"/>
        <v>0.88473700000000122</v>
      </c>
    </row>
    <row r="235" spans="1:8" x14ac:dyDescent="0.3">
      <c r="A235" s="12">
        <v>234</v>
      </c>
      <c r="B235" s="12" t="s">
        <v>248</v>
      </c>
      <c r="C235" s="12">
        <v>4</v>
      </c>
      <c r="D235" s="12">
        <v>97</v>
      </c>
      <c r="E235" s="12">
        <v>19.425000000000001</v>
      </c>
      <c r="F235" s="12">
        <v>97.311825000000013</v>
      </c>
      <c r="G235" s="12">
        <f t="shared" si="6"/>
        <v>0.31182500000001312</v>
      </c>
      <c r="H235" s="12">
        <f t="shared" si="7"/>
        <v>0.31182500000001312</v>
      </c>
    </row>
    <row r="236" spans="1:8" x14ac:dyDescent="0.3">
      <c r="A236" s="12">
        <v>235</v>
      </c>
      <c r="B236" s="12" t="s">
        <v>249</v>
      </c>
      <c r="C236" s="12">
        <v>3</v>
      </c>
      <c r="D236" s="12">
        <v>111</v>
      </c>
      <c r="E236" s="12">
        <v>22.152999999999999</v>
      </c>
      <c r="F236" s="12">
        <v>110.649017</v>
      </c>
      <c r="G236" s="12">
        <f t="shared" si="6"/>
        <v>-0.35098299999999938</v>
      </c>
      <c r="H236" s="12">
        <f t="shared" si="7"/>
        <v>0.35098299999999938</v>
      </c>
    </row>
    <row r="237" spans="1:8" x14ac:dyDescent="0.3">
      <c r="A237" s="12">
        <v>236</v>
      </c>
      <c r="B237" s="12" t="s">
        <v>250</v>
      </c>
      <c r="C237" s="12">
        <v>5</v>
      </c>
      <c r="D237" s="12">
        <v>100</v>
      </c>
      <c r="E237" s="12">
        <v>20.419</v>
      </c>
      <c r="F237" s="12">
        <v>102.17149100000002</v>
      </c>
      <c r="G237" s="12">
        <f t="shared" si="6"/>
        <v>2.1714910000000174</v>
      </c>
      <c r="H237" s="12">
        <f t="shared" si="7"/>
        <v>2.1714910000000174</v>
      </c>
    </row>
    <row r="238" spans="1:8" x14ac:dyDescent="0.3">
      <c r="A238" s="12">
        <v>237</v>
      </c>
      <c r="B238" s="12" t="s">
        <v>251</v>
      </c>
      <c r="C238" s="12">
        <v>4</v>
      </c>
      <c r="D238" s="12">
        <v>110</v>
      </c>
      <c r="E238" s="12">
        <v>21.532</v>
      </c>
      <c r="F238" s="12">
        <v>107.612948</v>
      </c>
      <c r="G238" s="12">
        <f t="shared" si="6"/>
        <v>-2.3870519999999971</v>
      </c>
      <c r="H238" s="12">
        <f t="shared" si="7"/>
        <v>2.3870519999999971</v>
      </c>
    </row>
    <row r="239" spans="1:8" x14ac:dyDescent="0.3">
      <c r="A239" s="12">
        <v>238</v>
      </c>
      <c r="B239" s="12" t="s">
        <v>252</v>
      </c>
      <c r="C239" s="12">
        <v>2</v>
      </c>
      <c r="D239" s="12">
        <v>111</v>
      </c>
      <c r="E239" s="12">
        <v>22.390999999999998</v>
      </c>
      <c r="F239" s="12">
        <v>111.81259900000001</v>
      </c>
      <c r="G239" s="12">
        <f t="shared" si="6"/>
        <v>0.81259900000000584</v>
      </c>
      <c r="H239" s="12">
        <f t="shared" si="7"/>
        <v>0.81259900000000584</v>
      </c>
    </row>
    <row r="240" spans="1:8" x14ac:dyDescent="0.3">
      <c r="A240" s="12">
        <v>239</v>
      </c>
      <c r="B240" s="12" t="s">
        <v>253</v>
      </c>
      <c r="C240" s="12">
        <v>1</v>
      </c>
      <c r="D240" s="12">
        <v>93</v>
      </c>
      <c r="E240" s="12">
        <v>18.004999999999999</v>
      </c>
      <c r="F240" s="12">
        <v>90.369444999999999</v>
      </c>
      <c r="G240" s="12">
        <f t="shared" si="6"/>
        <v>-2.6305550000000011</v>
      </c>
      <c r="H240" s="12">
        <f t="shared" si="7"/>
        <v>2.6305550000000011</v>
      </c>
    </row>
    <row r="241" spans="1:8" x14ac:dyDescent="0.3">
      <c r="A241" s="12">
        <v>240</v>
      </c>
      <c r="B241" s="12" t="s">
        <v>254</v>
      </c>
      <c r="C241" s="12">
        <v>3</v>
      </c>
      <c r="D241" s="12">
        <v>118</v>
      </c>
      <c r="E241" s="12">
        <v>23.300999999999998</v>
      </c>
      <c r="F241" s="12">
        <v>116.261589</v>
      </c>
      <c r="G241" s="12">
        <f t="shared" si="6"/>
        <v>-1.7384109999999993</v>
      </c>
      <c r="H241" s="12">
        <f t="shared" si="7"/>
        <v>1.7384109999999993</v>
      </c>
    </row>
    <row r="242" spans="1:8" x14ac:dyDescent="0.3">
      <c r="A242" s="12">
        <v>241</v>
      </c>
      <c r="B242" s="12" t="s">
        <v>255</v>
      </c>
      <c r="C242" s="12">
        <v>4</v>
      </c>
      <c r="D242" s="12">
        <v>109</v>
      </c>
      <c r="E242" s="12">
        <v>21.367999999999999</v>
      </c>
      <c r="F242" s="12">
        <v>106.81115200000001</v>
      </c>
      <c r="G242" s="12">
        <f t="shared" si="6"/>
        <v>-2.188847999999993</v>
      </c>
      <c r="H242" s="12">
        <f t="shared" si="7"/>
        <v>2.188847999999993</v>
      </c>
    </row>
    <row r="243" spans="1:8" x14ac:dyDescent="0.3">
      <c r="A243" s="12">
        <v>242</v>
      </c>
      <c r="B243" s="12" t="s">
        <v>256</v>
      </c>
      <c r="C243" s="12">
        <v>5</v>
      </c>
      <c r="D243" s="12">
        <v>109</v>
      </c>
      <c r="E243" s="12">
        <v>22.079000000000001</v>
      </c>
      <c r="F243" s="12">
        <v>110.28723100000001</v>
      </c>
      <c r="G243" s="12">
        <f t="shared" si="6"/>
        <v>1.2872310000000056</v>
      </c>
      <c r="H243" s="12">
        <f t="shared" si="7"/>
        <v>1.2872310000000056</v>
      </c>
    </row>
    <row r="244" spans="1:8" x14ac:dyDescent="0.3">
      <c r="A244" s="12">
        <v>243</v>
      </c>
      <c r="B244" s="12" t="s">
        <v>257</v>
      </c>
      <c r="C244" s="12">
        <v>4</v>
      </c>
      <c r="D244" s="12">
        <v>97</v>
      </c>
      <c r="E244" s="12">
        <v>19.376999999999999</v>
      </c>
      <c r="F244" s="12">
        <v>97.077152999999996</v>
      </c>
      <c r="G244" s="12">
        <f t="shared" si="6"/>
        <v>7.7152999999995586E-2</v>
      </c>
      <c r="H244" s="12">
        <f t="shared" si="7"/>
        <v>7.7152999999995586E-2</v>
      </c>
    </row>
    <row r="245" spans="1:8" x14ac:dyDescent="0.3">
      <c r="A245" s="12">
        <v>244</v>
      </c>
      <c r="B245" s="12" t="s">
        <v>258</v>
      </c>
      <c r="C245" s="12">
        <v>5</v>
      </c>
      <c r="D245" s="12">
        <v>107</v>
      </c>
      <c r="E245" s="12">
        <v>21.395</v>
      </c>
      <c r="F245" s="12">
        <v>106.943155</v>
      </c>
      <c r="G245" s="12">
        <f t="shared" si="6"/>
        <v>-5.6844999999995593E-2</v>
      </c>
      <c r="H245" s="12">
        <f t="shared" si="7"/>
        <v>5.6844999999995593E-2</v>
      </c>
    </row>
    <row r="246" spans="1:8" x14ac:dyDescent="0.3">
      <c r="A246" s="12">
        <v>245</v>
      </c>
      <c r="B246" s="12" t="s">
        <v>259</v>
      </c>
      <c r="C246" s="12">
        <v>3</v>
      </c>
      <c r="D246" s="12">
        <v>125</v>
      </c>
      <c r="E246" s="12">
        <v>24.606000000000002</v>
      </c>
      <c r="F246" s="12">
        <v>122.64173400000001</v>
      </c>
      <c r="G246" s="12">
        <f t="shared" si="6"/>
        <v>-2.3582659999999862</v>
      </c>
      <c r="H246" s="12">
        <f t="shared" si="7"/>
        <v>2.3582659999999862</v>
      </c>
    </row>
    <row r="247" spans="1:8" x14ac:dyDescent="0.3">
      <c r="A247" s="12">
        <v>246</v>
      </c>
      <c r="B247" s="12" t="s">
        <v>260</v>
      </c>
      <c r="C247" s="12">
        <v>3</v>
      </c>
      <c r="D247" s="12">
        <v>104</v>
      </c>
      <c r="E247" s="12">
        <v>20.693000000000001</v>
      </c>
      <c r="F247" s="12">
        <v>103.51107700000001</v>
      </c>
      <c r="G247" s="12">
        <f t="shared" si="6"/>
        <v>-0.48892299999998556</v>
      </c>
      <c r="H247" s="12">
        <f t="shared" si="7"/>
        <v>0.48892299999998556</v>
      </c>
    </row>
    <row r="248" spans="1:8" x14ac:dyDescent="0.3">
      <c r="A248" s="12">
        <v>247</v>
      </c>
      <c r="B248" s="12" t="s">
        <v>261</v>
      </c>
      <c r="C248" s="12">
        <v>3</v>
      </c>
      <c r="D248" s="12">
        <v>119</v>
      </c>
      <c r="E248" s="12">
        <v>23.527999999999999</v>
      </c>
      <c r="F248" s="12">
        <v>117.371392</v>
      </c>
      <c r="G248" s="12">
        <f t="shared" si="6"/>
        <v>-1.6286079999999998</v>
      </c>
      <c r="H248" s="12">
        <f t="shared" si="7"/>
        <v>1.6286079999999998</v>
      </c>
    </row>
    <row r="249" spans="1:8" x14ac:dyDescent="0.3">
      <c r="A249" s="12">
        <v>248</v>
      </c>
      <c r="B249" s="12" t="s">
        <v>262</v>
      </c>
      <c r="C249" s="12">
        <v>2</v>
      </c>
      <c r="D249" s="12">
        <v>100</v>
      </c>
      <c r="E249" s="12">
        <v>20.137</v>
      </c>
      <c r="F249" s="12">
        <v>100.79279300000002</v>
      </c>
      <c r="G249" s="12">
        <f t="shared" si="6"/>
        <v>0.7927930000000174</v>
      </c>
      <c r="H249" s="12">
        <f t="shared" si="7"/>
        <v>0.7927930000000174</v>
      </c>
    </row>
    <row r="250" spans="1:8" x14ac:dyDescent="0.3">
      <c r="A250" s="12">
        <v>249</v>
      </c>
      <c r="B250" s="12" t="s">
        <v>263</v>
      </c>
      <c r="C250" s="12">
        <v>2</v>
      </c>
      <c r="D250" s="12">
        <v>112</v>
      </c>
      <c r="E250" s="12">
        <v>22.047000000000001</v>
      </c>
      <c r="F250" s="12">
        <v>110.13078300000001</v>
      </c>
      <c r="G250" s="12">
        <f t="shared" si="6"/>
        <v>-1.8692169999999919</v>
      </c>
      <c r="H250" s="12">
        <f t="shared" si="7"/>
        <v>1.8692169999999919</v>
      </c>
    </row>
    <row r="251" spans="1:8" x14ac:dyDescent="0.3">
      <c r="A251" s="12">
        <v>250</v>
      </c>
      <c r="B251" s="12" t="s">
        <v>264</v>
      </c>
      <c r="C251" s="12">
        <v>2</v>
      </c>
      <c r="D251" s="12">
        <v>105</v>
      </c>
      <c r="E251" s="12">
        <v>21.474</v>
      </c>
      <c r="F251" s="12">
        <v>107.32938600000001</v>
      </c>
      <c r="G251" s="12">
        <f t="shared" si="6"/>
        <v>2.3293860000000137</v>
      </c>
      <c r="H251" s="12">
        <f t="shared" si="7"/>
        <v>2.3293860000000137</v>
      </c>
    </row>
    <row r="252" spans="1:8" x14ac:dyDescent="0.3">
      <c r="A252" s="12">
        <v>251</v>
      </c>
      <c r="B252" s="12" t="s">
        <v>265</v>
      </c>
      <c r="C252" s="12">
        <v>3</v>
      </c>
      <c r="D252" s="12">
        <v>108</v>
      </c>
      <c r="E252" s="12">
        <v>21.003</v>
      </c>
      <c r="F252" s="12">
        <v>105.026667</v>
      </c>
      <c r="G252" s="12">
        <f t="shared" si="6"/>
        <v>-2.9733329999999967</v>
      </c>
      <c r="H252" s="12">
        <f t="shared" si="7"/>
        <v>2.9733329999999967</v>
      </c>
    </row>
    <row r="253" spans="1:8" x14ac:dyDescent="0.3">
      <c r="A253" s="12">
        <v>252</v>
      </c>
      <c r="B253" s="12" t="s">
        <v>266</v>
      </c>
      <c r="C253" s="12">
        <v>5</v>
      </c>
      <c r="D253" s="12">
        <v>95</v>
      </c>
      <c r="E253" s="12">
        <v>18.713000000000001</v>
      </c>
      <c r="F253" s="12">
        <v>93.830857000000009</v>
      </c>
      <c r="G253" s="12">
        <f t="shared" si="6"/>
        <v>-1.1691429999999912</v>
      </c>
      <c r="H253" s="12">
        <f t="shared" si="7"/>
        <v>1.1691429999999912</v>
      </c>
    </row>
    <row r="254" spans="1:8" x14ac:dyDescent="0.3">
      <c r="A254" s="12">
        <v>253</v>
      </c>
      <c r="B254" s="12" t="s">
        <v>267</v>
      </c>
      <c r="C254" s="12">
        <v>5</v>
      </c>
      <c r="D254" s="12">
        <v>105</v>
      </c>
      <c r="E254" s="12">
        <v>21.597000000000001</v>
      </c>
      <c r="F254" s="12">
        <v>107.93073300000002</v>
      </c>
      <c r="G254" s="12">
        <f t="shared" si="6"/>
        <v>2.9307330000000178</v>
      </c>
      <c r="H254" s="12">
        <f t="shared" si="7"/>
        <v>2.9307330000000178</v>
      </c>
    </row>
    <row r="255" spans="1:8" x14ac:dyDescent="0.3">
      <c r="A255" s="12">
        <v>254</v>
      </c>
      <c r="B255" s="12" t="s">
        <v>268</v>
      </c>
      <c r="C255" s="12">
        <v>2</v>
      </c>
      <c r="D255" s="12">
        <v>110</v>
      </c>
      <c r="E255" s="12">
        <v>21.844999999999999</v>
      </c>
      <c r="F255" s="12">
        <v>109.14320500000001</v>
      </c>
      <c r="G255" s="12">
        <f t="shared" si="6"/>
        <v>-0.85679499999999109</v>
      </c>
      <c r="H255" s="12">
        <f t="shared" si="7"/>
        <v>0.85679499999999109</v>
      </c>
    </row>
    <row r="256" spans="1:8" x14ac:dyDescent="0.3">
      <c r="A256" s="12">
        <v>255</v>
      </c>
      <c r="B256" s="12" t="s">
        <v>269</v>
      </c>
      <c r="C256" s="12">
        <v>4</v>
      </c>
      <c r="D256" s="12">
        <v>98</v>
      </c>
      <c r="E256" s="12">
        <v>19.132000000000001</v>
      </c>
      <c r="F256" s="12">
        <v>95.879348000000022</v>
      </c>
      <c r="G256" s="12">
        <f t="shared" si="6"/>
        <v>-2.1206519999999784</v>
      </c>
      <c r="H256" s="12">
        <f t="shared" si="7"/>
        <v>2.1206519999999784</v>
      </c>
    </row>
    <row r="257" spans="1:8" x14ac:dyDescent="0.3">
      <c r="A257" s="12">
        <v>256</v>
      </c>
      <c r="B257" s="12" t="s">
        <v>270</v>
      </c>
      <c r="C257" s="12">
        <v>3</v>
      </c>
      <c r="D257" s="12">
        <v>118</v>
      </c>
      <c r="E257" s="12">
        <v>23.678000000000001</v>
      </c>
      <c r="F257" s="12">
        <v>118.10474200000002</v>
      </c>
      <c r="G257" s="12">
        <f t="shared" si="6"/>
        <v>0.10474200000001588</v>
      </c>
      <c r="H257" s="12">
        <f t="shared" si="7"/>
        <v>0.10474200000001588</v>
      </c>
    </row>
    <row r="258" spans="1:8" x14ac:dyDescent="0.3">
      <c r="A258" s="12">
        <v>257</v>
      </c>
      <c r="B258" s="12" t="s">
        <v>271</v>
      </c>
      <c r="C258" s="12">
        <v>4</v>
      </c>
      <c r="D258" s="12">
        <v>118</v>
      </c>
      <c r="E258" s="12">
        <v>23.431000000000001</v>
      </c>
      <c r="F258" s="12">
        <v>116.89715900000002</v>
      </c>
      <c r="G258" s="12">
        <f t="shared" si="6"/>
        <v>-1.1028409999999838</v>
      </c>
      <c r="H258" s="12">
        <f t="shared" si="7"/>
        <v>1.1028409999999838</v>
      </c>
    </row>
    <row r="259" spans="1:8" x14ac:dyDescent="0.3">
      <c r="A259" s="12">
        <v>258</v>
      </c>
      <c r="B259" s="12" t="s">
        <v>272</v>
      </c>
      <c r="C259" s="12">
        <v>5</v>
      </c>
      <c r="D259" s="12">
        <v>119</v>
      </c>
      <c r="E259" s="12">
        <v>23.501999999999999</v>
      </c>
      <c r="F259" s="12">
        <v>117.24427800000001</v>
      </c>
      <c r="G259" s="12">
        <f t="shared" ref="G259:G322" si="8">F259-D259</f>
        <v>-1.7557219999999916</v>
      </c>
      <c r="H259" s="12">
        <f t="shared" ref="H259:H322" si="9">ABS(F259-D259)</f>
        <v>1.7557219999999916</v>
      </c>
    </row>
    <row r="260" spans="1:8" x14ac:dyDescent="0.3">
      <c r="A260" s="12">
        <v>259</v>
      </c>
      <c r="B260" s="12" t="s">
        <v>273</v>
      </c>
      <c r="C260" s="12">
        <v>4</v>
      </c>
      <c r="D260" s="12">
        <v>103</v>
      </c>
      <c r="E260" s="12">
        <v>20.21</v>
      </c>
      <c r="F260" s="12">
        <v>101.14969000000001</v>
      </c>
      <c r="G260" s="12">
        <f t="shared" si="8"/>
        <v>-1.8503099999999932</v>
      </c>
      <c r="H260" s="12">
        <f t="shared" si="9"/>
        <v>1.8503099999999932</v>
      </c>
    </row>
    <row r="261" spans="1:8" x14ac:dyDescent="0.3">
      <c r="A261" s="12">
        <v>260</v>
      </c>
      <c r="B261" s="12" t="s">
        <v>274</v>
      </c>
      <c r="C261" s="12">
        <v>5</v>
      </c>
      <c r="D261" s="12">
        <v>118</v>
      </c>
      <c r="E261" s="12">
        <v>24.585999999999999</v>
      </c>
      <c r="F261" s="12">
        <v>119.543954</v>
      </c>
      <c r="G261" s="12">
        <f t="shared" si="8"/>
        <v>1.5439539999999994</v>
      </c>
      <c r="H261" s="12">
        <f t="shared" si="9"/>
        <v>1.5439539999999994</v>
      </c>
    </row>
    <row r="262" spans="1:8" x14ac:dyDescent="0.3">
      <c r="A262" s="12">
        <v>261</v>
      </c>
      <c r="B262" s="12" t="s">
        <v>275</v>
      </c>
      <c r="C262" s="12">
        <v>4</v>
      </c>
      <c r="D262" s="12">
        <v>107</v>
      </c>
      <c r="E262" s="12">
        <v>21.31</v>
      </c>
      <c r="F262" s="12">
        <v>106.52759</v>
      </c>
      <c r="G262" s="12">
        <f t="shared" si="8"/>
        <v>-0.47240999999999644</v>
      </c>
      <c r="H262" s="12">
        <f t="shared" si="9"/>
        <v>0.47240999999999644</v>
      </c>
    </row>
    <row r="263" spans="1:8" x14ac:dyDescent="0.3">
      <c r="A263" s="12">
        <v>262</v>
      </c>
      <c r="B263" s="12" t="s">
        <v>276</v>
      </c>
      <c r="C263" s="12">
        <v>2</v>
      </c>
      <c r="D263" s="12">
        <v>95</v>
      </c>
      <c r="E263" s="12">
        <v>18.314</v>
      </c>
      <c r="F263" s="12">
        <v>91.880146000000011</v>
      </c>
      <c r="G263" s="12">
        <f t="shared" si="8"/>
        <v>-3.1198539999999895</v>
      </c>
      <c r="H263" s="12">
        <f t="shared" si="9"/>
        <v>3.1198539999999895</v>
      </c>
    </row>
    <row r="264" spans="1:8" x14ac:dyDescent="0.3">
      <c r="A264" s="12">
        <v>263</v>
      </c>
      <c r="B264" s="12" t="s">
        <v>277</v>
      </c>
      <c r="C264" s="12">
        <v>1</v>
      </c>
      <c r="D264" s="12">
        <v>104</v>
      </c>
      <c r="E264" s="12">
        <v>21.332000000000001</v>
      </c>
      <c r="F264" s="12">
        <v>106.63514800000002</v>
      </c>
      <c r="G264" s="12">
        <f t="shared" si="8"/>
        <v>2.6351480000000151</v>
      </c>
      <c r="H264" s="12">
        <f t="shared" si="9"/>
        <v>2.6351480000000151</v>
      </c>
    </row>
    <row r="265" spans="1:8" x14ac:dyDescent="0.3">
      <c r="A265" s="12">
        <v>264</v>
      </c>
      <c r="B265" s="12" t="s">
        <v>278</v>
      </c>
      <c r="C265" s="12">
        <v>5</v>
      </c>
      <c r="D265" s="12">
        <v>93</v>
      </c>
      <c r="E265" s="12">
        <v>18.818000000000001</v>
      </c>
      <c r="F265" s="12">
        <v>94.34420200000001</v>
      </c>
      <c r="G265" s="12">
        <f t="shared" si="8"/>
        <v>1.3442020000000099</v>
      </c>
      <c r="H265" s="12">
        <f t="shared" si="9"/>
        <v>1.3442020000000099</v>
      </c>
    </row>
    <row r="266" spans="1:8" x14ac:dyDescent="0.3">
      <c r="A266" s="12">
        <v>265</v>
      </c>
      <c r="B266" s="12" t="s">
        <v>279</v>
      </c>
      <c r="C266" s="12">
        <v>5</v>
      </c>
      <c r="D266" s="12">
        <v>101</v>
      </c>
      <c r="E266" s="12">
        <v>19.927</v>
      </c>
      <c r="F266" s="12">
        <v>99.766103000000001</v>
      </c>
      <c r="G266" s="12">
        <f t="shared" si="8"/>
        <v>-1.2338969999999989</v>
      </c>
      <c r="H266" s="12">
        <f t="shared" si="9"/>
        <v>1.2338969999999989</v>
      </c>
    </row>
    <row r="267" spans="1:8" x14ac:dyDescent="0.3">
      <c r="A267" s="12">
        <v>266</v>
      </c>
      <c r="B267" s="12" t="s">
        <v>280</v>
      </c>
      <c r="C267" s="12">
        <v>2</v>
      </c>
      <c r="D267" s="12">
        <v>111</v>
      </c>
      <c r="E267" s="12">
        <v>21.867999999999999</v>
      </c>
      <c r="F267" s="12">
        <v>109.255652</v>
      </c>
      <c r="G267" s="12">
        <f t="shared" si="8"/>
        <v>-1.7443480000000022</v>
      </c>
      <c r="H267" s="12">
        <f t="shared" si="9"/>
        <v>1.7443480000000022</v>
      </c>
    </row>
    <row r="268" spans="1:8" x14ac:dyDescent="0.3">
      <c r="A268" s="12">
        <v>267</v>
      </c>
      <c r="B268" s="12" t="s">
        <v>281</v>
      </c>
      <c r="C268" s="12">
        <v>2</v>
      </c>
      <c r="D268" s="12">
        <v>102</v>
      </c>
      <c r="E268" s="12">
        <v>20.64</v>
      </c>
      <c r="F268" s="12">
        <v>103.25196000000001</v>
      </c>
      <c r="G268" s="12">
        <f t="shared" si="8"/>
        <v>1.2519600000000111</v>
      </c>
      <c r="H268" s="12">
        <f t="shared" si="9"/>
        <v>1.2519600000000111</v>
      </c>
    </row>
    <row r="269" spans="1:8" x14ac:dyDescent="0.3">
      <c r="A269" s="12">
        <v>268</v>
      </c>
      <c r="B269" s="12" t="s">
        <v>282</v>
      </c>
      <c r="C269" s="12">
        <v>4</v>
      </c>
      <c r="D269" s="12">
        <v>112</v>
      </c>
      <c r="E269" s="12">
        <v>22.312000000000001</v>
      </c>
      <c r="F269" s="12">
        <v>111.42636800000001</v>
      </c>
      <c r="G269" s="12">
        <f t="shared" si="8"/>
        <v>-0.57363199999998926</v>
      </c>
      <c r="H269" s="12">
        <f t="shared" si="9"/>
        <v>0.57363199999998926</v>
      </c>
    </row>
    <row r="270" spans="1:8" x14ac:dyDescent="0.3">
      <c r="A270" s="12">
        <v>269</v>
      </c>
      <c r="B270" s="12" t="s">
        <v>283</v>
      </c>
      <c r="C270" s="12">
        <v>1</v>
      </c>
      <c r="D270" s="12">
        <v>114</v>
      </c>
      <c r="E270" s="12">
        <v>22.114000000000001</v>
      </c>
      <c r="F270" s="12">
        <v>110.45834600000001</v>
      </c>
      <c r="G270" s="12">
        <f t="shared" si="8"/>
        <v>-3.5416539999999941</v>
      </c>
      <c r="H270" s="12">
        <f t="shared" si="9"/>
        <v>3.5416539999999941</v>
      </c>
    </row>
    <row r="271" spans="1:8" x14ac:dyDescent="0.3">
      <c r="A271" s="12">
        <v>270</v>
      </c>
      <c r="B271" s="12" t="s">
        <v>284</v>
      </c>
      <c r="C271" s="12">
        <v>5</v>
      </c>
      <c r="D271" s="12">
        <v>92</v>
      </c>
      <c r="E271" s="12">
        <v>19.036999999999999</v>
      </c>
      <c r="F271" s="12">
        <v>95.414893000000006</v>
      </c>
      <c r="G271" s="12">
        <f t="shared" si="8"/>
        <v>3.4148930000000064</v>
      </c>
      <c r="H271" s="12">
        <f t="shared" si="9"/>
        <v>3.4148930000000064</v>
      </c>
    </row>
    <row r="272" spans="1:8" x14ac:dyDescent="0.3">
      <c r="A272" s="12">
        <v>271</v>
      </c>
      <c r="B272" s="12" t="s">
        <v>285</v>
      </c>
      <c r="C272" s="12">
        <v>5</v>
      </c>
      <c r="D272" s="12">
        <v>105</v>
      </c>
      <c r="E272" s="12">
        <v>20.844999999999999</v>
      </c>
      <c r="F272" s="12">
        <v>104.254205</v>
      </c>
      <c r="G272" s="12">
        <f t="shared" si="8"/>
        <v>-0.7457950000000011</v>
      </c>
      <c r="H272" s="12">
        <f t="shared" si="9"/>
        <v>0.7457950000000011</v>
      </c>
    </row>
    <row r="273" spans="1:8" x14ac:dyDescent="0.3">
      <c r="A273" s="12">
        <v>272</v>
      </c>
      <c r="B273" s="12" t="s">
        <v>286</v>
      </c>
      <c r="C273" s="12">
        <v>2</v>
      </c>
      <c r="D273" s="12">
        <v>104</v>
      </c>
      <c r="E273" s="12">
        <v>21.332999999999998</v>
      </c>
      <c r="F273" s="12">
        <v>106.64003700000001</v>
      </c>
      <c r="G273" s="12">
        <f t="shared" si="8"/>
        <v>2.6400370000000066</v>
      </c>
      <c r="H273" s="12">
        <f t="shared" si="9"/>
        <v>2.6400370000000066</v>
      </c>
    </row>
    <row r="274" spans="1:8" x14ac:dyDescent="0.3">
      <c r="A274" s="12">
        <v>273</v>
      </c>
      <c r="B274" s="12" t="s">
        <v>287</v>
      </c>
      <c r="C274" s="12">
        <v>2</v>
      </c>
      <c r="D274" s="12">
        <v>111</v>
      </c>
      <c r="E274" s="12">
        <v>22.655000000000001</v>
      </c>
      <c r="F274" s="12">
        <v>113.10329500000002</v>
      </c>
      <c r="G274" s="12">
        <f t="shared" si="8"/>
        <v>2.103295000000017</v>
      </c>
      <c r="H274" s="12">
        <f t="shared" si="9"/>
        <v>2.103295000000017</v>
      </c>
    </row>
    <row r="275" spans="1:8" x14ac:dyDescent="0.3">
      <c r="A275" s="12">
        <v>274</v>
      </c>
      <c r="B275" s="12" t="s">
        <v>288</v>
      </c>
      <c r="C275" s="12">
        <v>5</v>
      </c>
      <c r="D275" s="12">
        <v>122</v>
      </c>
      <c r="E275" s="12">
        <v>24.042999999999999</v>
      </c>
      <c r="F275" s="12">
        <v>119.88922700000001</v>
      </c>
      <c r="G275" s="12">
        <f t="shared" si="8"/>
        <v>-2.1107729999999947</v>
      </c>
      <c r="H275" s="12">
        <f t="shared" si="9"/>
        <v>2.1107729999999947</v>
      </c>
    </row>
    <row r="276" spans="1:8" x14ac:dyDescent="0.3">
      <c r="A276" s="12">
        <v>275</v>
      </c>
      <c r="B276" s="12" t="s">
        <v>289</v>
      </c>
      <c r="C276" s="12">
        <v>3</v>
      </c>
      <c r="D276" s="12">
        <v>125</v>
      </c>
      <c r="E276" s="12">
        <v>25.367999999999999</v>
      </c>
      <c r="F276" s="12">
        <v>126.367152</v>
      </c>
      <c r="G276" s="12">
        <f t="shared" si="8"/>
        <v>1.3671520000000044</v>
      </c>
      <c r="H276" s="12">
        <f t="shared" si="9"/>
        <v>1.3671520000000044</v>
      </c>
    </row>
    <row r="277" spans="1:8" x14ac:dyDescent="0.3">
      <c r="A277" s="12">
        <v>276</v>
      </c>
      <c r="B277" s="12" t="s">
        <v>290</v>
      </c>
      <c r="C277" s="12">
        <v>2</v>
      </c>
      <c r="D277" s="12">
        <v>107</v>
      </c>
      <c r="E277" s="12">
        <v>21.167999999999999</v>
      </c>
      <c r="F277" s="12">
        <v>105.833352</v>
      </c>
      <c r="G277" s="12">
        <f t="shared" si="8"/>
        <v>-1.166647999999995</v>
      </c>
      <c r="H277" s="12">
        <f t="shared" si="9"/>
        <v>1.166647999999995</v>
      </c>
    </row>
    <row r="278" spans="1:8" x14ac:dyDescent="0.3">
      <c r="A278" s="12">
        <v>277</v>
      </c>
      <c r="B278" s="12" t="s">
        <v>291</v>
      </c>
      <c r="C278" s="12">
        <v>5</v>
      </c>
      <c r="D278" s="12">
        <v>104</v>
      </c>
      <c r="E278" s="12">
        <v>20.135000000000002</v>
      </c>
      <c r="F278" s="12">
        <v>100.78301500000002</v>
      </c>
      <c r="G278" s="12">
        <f t="shared" si="8"/>
        <v>-3.2169849999999798</v>
      </c>
      <c r="H278" s="12">
        <f t="shared" si="9"/>
        <v>3.2169849999999798</v>
      </c>
    </row>
    <row r="279" spans="1:8" x14ac:dyDescent="0.3">
      <c r="A279" s="12">
        <v>278</v>
      </c>
      <c r="B279" s="12" t="s">
        <v>292</v>
      </c>
      <c r="C279" s="12">
        <v>1</v>
      </c>
      <c r="D279" s="12">
        <v>98</v>
      </c>
      <c r="E279" s="12">
        <v>19.449000000000002</v>
      </c>
      <c r="F279" s="12">
        <v>97.429161000000022</v>
      </c>
      <c r="G279" s="12">
        <f t="shared" si="8"/>
        <v>-0.57083899999997811</v>
      </c>
      <c r="H279" s="12">
        <f t="shared" si="9"/>
        <v>0.57083899999997811</v>
      </c>
    </row>
    <row r="280" spans="1:8" x14ac:dyDescent="0.3">
      <c r="A280" s="12">
        <v>279</v>
      </c>
      <c r="B280" s="12" t="s">
        <v>293</v>
      </c>
      <c r="C280" s="12">
        <v>1</v>
      </c>
      <c r="D280" s="12">
        <v>121</v>
      </c>
      <c r="E280" s="12">
        <v>24.341999999999999</v>
      </c>
      <c r="F280" s="12">
        <v>121.351038</v>
      </c>
      <c r="G280" s="12">
        <f t="shared" si="8"/>
        <v>0.35103800000000263</v>
      </c>
      <c r="H280" s="12">
        <f t="shared" si="9"/>
        <v>0.35103800000000263</v>
      </c>
    </row>
    <row r="281" spans="1:8" x14ac:dyDescent="0.3">
      <c r="A281" s="12">
        <v>280</v>
      </c>
      <c r="B281" s="12" t="s">
        <v>294</v>
      </c>
      <c r="C281" s="12">
        <v>4</v>
      </c>
      <c r="D281" s="12">
        <v>103</v>
      </c>
      <c r="E281" s="12">
        <v>20.434999999999999</v>
      </c>
      <c r="F281" s="12">
        <v>102.24971500000001</v>
      </c>
      <c r="G281" s="12">
        <f t="shared" si="8"/>
        <v>-0.75028499999999099</v>
      </c>
      <c r="H281" s="12">
        <f t="shared" si="9"/>
        <v>0.75028499999999099</v>
      </c>
    </row>
    <row r="282" spans="1:8" x14ac:dyDescent="0.3">
      <c r="A282" s="12">
        <v>281</v>
      </c>
      <c r="B282" s="12" t="s">
        <v>295</v>
      </c>
      <c r="C282" s="12">
        <v>1</v>
      </c>
      <c r="D282" s="12">
        <v>102</v>
      </c>
      <c r="E282" s="12">
        <v>20.291</v>
      </c>
      <c r="F282" s="12">
        <v>101.54569900000001</v>
      </c>
      <c r="G282" s="12">
        <f t="shared" si="8"/>
        <v>-0.45430099999998674</v>
      </c>
      <c r="H282" s="12">
        <f t="shared" si="9"/>
        <v>0.45430099999998674</v>
      </c>
    </row>
    <row r="283" spans="1:8" x14ac:dyDescent="0.3">
      <c r="A283" s="12">
        <v>282</v>
      </c>
      <c r="B283" s="12" t="s">
        <v>296</v>
      </c>
      <c r="C283" s="12">
        <v>2</v>
      </c>
      <c r="D283" s="12">
        <v>113</v>
      </c>
      <c r="E283" s="12">
        <v>23.007000000000001</v>
      </c>
      <c r="F283" s="12">
        <v>114.82422300000002</v>
      </c>
      <c r="G283" s="12">
        <f t="shared" si="8"/>
        <v>1.8242230000000177</v>
      </c>
      <c r="H283" s="12">
        <f t="shared" si="9"/>
        <v>1.8242230000000177</v>
      </c>
    </row>
    <row r="284" spans="1:8" x14ac:dyDescent="0.3">
      <c r="A284" s="12">
        <v>283</v>
      </c>
      <c r="B284" s="12" t="s">
        <v>297</v>
      </c>
      <c r="C284" s="12">
        <v>4</v>
      </c>
      <c r="D284" s="12">
        <v>108</v>
      </c>
      <c r="E284" s="12">
        <v>21.638000000000002</v>
      </c>
      <c r="F284" s="12">
        <v>108.13118200000002</v>
      </c>
      <c r="G284" s="12">
        <f t="shared" si="8"/>
        <v>0.13118200000002389</v>
      </c>
      <c r="H284" s="12">
        <f t="shared" si="9"/>
        <v>0.13118200000002389</v>
      </c>
    </row>
    <row r="285" spans="1:8" x14ac:dyDescent="0.3">
      <c r="A285" s="12">
        <v>284</v>
      </c>
      <c r="B285" s="12" t="s">
        <v>298</v>
      </c>
      <c r="C285" s="12">
        <v>4</v>
      </c>
      <c r="D285" s="12">
        <v>97</v>
      </c>
      <c r="E285" s="12">
        <v>19.100000000000001</v>
      </c>
      <c r="F285" s="12">
        <v>95.72290000000001</v>
      </c>
      <c r="G285" s="12">
        <f t="shared" si="8"/>
        <v>-1.2770999999999901</v>
      </c>
      <c r="H285" s="12">
        <f t="shared" si="9"/>
        <v>1.2770999999999901</v>
      </c>
    </row>
    <row r="286" spans="1:8" x14ac:dyDescent="0.3">
      <c r="A286" s="12">
        <v>285</v>
      </c>
      <c r="B286" s="12" t="s">
        <v>299</v>
      </c>
      <c r="C286" s="12">
        <v>3</v>
      </c>
      <c r="D286" s="12">
        <v>109</v>
      </c>
      <c r="E286" s="12">
        <v>22.05</v>
      </c>
      <c r="F286" s="12">
        <v>110.14545000000001</v>
      </c>
      <c r="G286" s="12">
        <f t="shared" si="8"/>
        <v>1.145450000000011</v>
      </c>
      <c r="H286" s="12">
        <f t="shared" si="9"/>
        <v>1.145450000000011</v>
      </c>
    </row>
    <row r="287" spans="1:8" x14ac:dyDescent="0.3">
      <c r="A287" s="12">
        <v>286</v>
      </c>
      <c r="B287" s="12" t="s">
        <v>300</v>
      </c>
      <c r="C287" s="12">
        <v>4</v>
      </c>
      <c r="D287" s="12">
        <v>97</v>
      </c>
      <c r="E287" s="12">
        <v>19.47</v>
      </c>
      <c r="F287" s="12">
        <v>97.531829999999999</v>
      </c>
      <c r="G287" s="12">
        <f t="shared" si="8"/>
        <v>0.53182999999999936</v>
      </c>
      <c r="H287" s="12">
        <f t="shared" si="9"/>
        <v>0.53182999999999936</v>
      </c>
    </row>
    <row r="288" spans="1:8" x14ac:dyDescent="0.3">
      <c r="A288" s="12">
        <v>287</v>
      </c>
      <c r="B288" s="12" t="s">
        <v>301</v>
      </c>
      <c r="C288" s="12">
        <v>3</v>
      </c>
      <c r="D288" s="12">
        <v>103</v>
      </c>
      <c r="E288" s="12">
        <v>19.702000000000002</v>
      </c>
      <c r="F288" s="12">
        <v>98.666078000000013</v>
      </c>
      <c r="G288" s="12">
        <f t="shared" si="8"/>
        <v>-4.333921999999987</v>
      </c>
      <c r="H288" s="12">
        <f t="shared" si="9"/>
        <v>4.333921999999987</v>
      </c>
    </row>
    <row r="289" spans="1:8" x14ac:dyDescent="0.3">
      <c r="A289" s="12">
        <v>288</v>
      </c>
      <c r="B289" s="12" t="s">
        <v>302</v>
      </c>
      <c r="C289" s="12">
        <v>3</v>
      </c>
      <c r="D289" s="12">
        <v>99</v>
      </c>
      <c r="E289" s="12">
        <v>19.952999999999999</v>
      </c>
      <c r="F289" s="12">
        <v>99.893217000000007</v>
      </c>
      <c r="G289" s="12">
        <f t="shared" si="8"/>
        <v>0.89321700000000703</v>
      </c>
      <c r="H289" s="12">
        <f t="shared" si="9"/>
        <v>0.89321700000000703</v>
      </c>
    </row>
    <row r="290" spans="1:8" x14ac:dyDescent="0.3">
      <c r="A290" s="12">
        <v>289</v>
      </c>
      <c r="B290" s="12" t="s">
        <v>303</v>
      </c>
      <c r="C290" s="12">
        <v>4</v>
      </c>
      <c r="D290" s="12">
        <v>80</v>
      </c>
      <c r="E290" s="12">
        <v>16.14</v>
      </c>
      <c r="F290" s="12">
        <v>81.251460000000009</v>
      </c>
      <c r="G290" s="12">
        <f t="shared" si="8"/>
        <v>1.2514600000000087</v>
      </c>
      <c r="H290" s="12">
        <f t="shared" si="9"/>
        <v>1.2514600000000087</v>
      </c>
    </row>
    <row r="291" spans="1:8" x14ac:dyDescent="0.3">
      <c r="A291" s="12">
        <v>290</v>
      </c>
      <c r="B291" s="12" t="s">
        <v>304</v>
      </c>
      <c r="C291" s="12">
        <v>3</v>
      </c>
      <c r="D291" s="12">
        <v>104</v>
      </c>
      <c r="E291" s="12">
        <v>20.806999999999999</v>
      </c>
      <c r="F291" s="12">
        <v>104.068423</v>
      </c>
      <c r="G291" s="12">
        <f t="shared" si="8"/>
        <v>6.8422999999995682E-2</v>
      </c>
      <c r="H291" s="12">
        <f t="shared" si="9"/>
        <v>6.8422999999995682E-2</v>
      </c>
    </row>
    <row r="292" spans="1:8" x14ac:dyDescent="0.3">
      <c r="A292" s="12">
        <v>291</v>
      </c>
      <c r="B292" s="12" t="s">
        <v>305</v>
      </c>
      <c r="C292" s="12">
        <v>1</v>
      </c>
      <c r="D292" s="12">
        <v>104</v>
      </c>
      <c r="E292" s="12">
        <v>21.117999999999999</v>
      </c>
      <c r="F292" s="12">
        <v>105.588902</v>
      </c>
      <c r="G292" s="12">
        <f t="shared" si="8"/>
        <v>1.5889020000000045</v>
      </c>
      <c r="H292" s="12">
        <f t="shared" si="9"/>
        <v>1.5889020000000045</v>
      </c>
    </row>
    <row r="293" spans="1:8" x14ac:dyDescent="0.3">
      <c r="A293" s="12">
        <v>292</v>
      </c>
      <c r="B293" s="12" t="s">
        <v>306</v>
      </c>
      <c r="C293" s="12">
        <v>3</v>
      </c>
      <c r="D293" s="12">
        <v>108</v>
      </c>
      <c r="E293" s="12">
        <v>21.36</v>
      </c>
      <c r="F293" s="12">
        <v>106.77204</v>
      </c>
      <c r="G293" s="12">
        <f t="shared" si="8"/>
        <v>-1.2279599999999959</v>
      </c>
      <c r="H293" s="12">
        <f t="shared" si="9"/>
        <v>1.2279599999999959</v>
      </c>
    </row>
    <row r="294" spans="1:8" x14ac:dyDescent="0.3">
      <c r="A294" s="12">
        <v>293</v>
      </c>
      <c r="B294" s="12" t="s">
        <v>307</v>
      </c>
      <c r="C294" s="12">
        <v>4</v>
      </c>
      <c r="D294" s="12">
        <v>94</v>
      </c>
      <c r="E294" s="12">
        <v>18.920000000000002</v>
      </c>
      <c r="F294" s="12">
        <v>94.842880000000022</v>
      </c>
      <c r="G294" s="12">
        <f t="shared" si="8"/>
        <v>0.84288000000002228</v>
      </c>
      <c r="H294" s="12">
        <f t="shared" si="9"/>
        <v>0.84288000000002228</v>
      </c>
    </row>
    <row r="295" spans="1:8" x14ac:dyDescent="0.3">
      <c r="A295" s="12">
        <v>294</v>
      </c>
      <c r="B295" s="12" t="s">
        <v>308</v>
      </c>
      <c r="C295" s="12">
        <v>5</v>
      </c>
      <c r="D295" s="12">
        <v>124</v>
      </c>
      <c r="E295" s="12">
        <v>24.242000000000001</v>
      </c>
      <c r="F295" s="12">
        <v>120.86213800000002</v>
      </c>
      <c r="G295" s="12">
        <f t="shared" si="8"/>
        <v>-3.1378619999999842</v>
      </c>
      <c r="H295" s="12">
        <f t="shared" si="9"/>
        <v>3.1378619999999842</v>
      </c>
    </row>
    <row r="296" spans="1:8" x14ac:dyDescent="0.3">
      <c r="A296" s="12">
        <v>295</v>
      </c>
      <c r="B296" s="12" t="s">
        <v>309</v>
      </c>
      <c r="C296" s="12">
        <v>3</v>
      </c>
      <c r="D296" s="12">
        <v>107</v>
      </c>
      <c r="E296" s="12">
        <v>21.545000000000002</v>
      </c>
      <c r="F296" s="12">
        <v>107.67650500000002</v>
      </c>
      <c r="G296" s="12">
        <f t="shared" si="8"/>
        <v>0.67650500000002012</v>
      </c>
      <c r="H296" s="12">
        <f t="shared" si="9"/>
        <v>0.67650500000002012</v>
      </c>
    </row>
    <row r="297" spans="1:8" x14ac:dyDescent="0.3">
      <c r="A297" s="12">
        <v>296</v>
      </c>
      <c r="B297" s="12" t="s">
        <v>310</v>
      </c>
      <c r="C297" s="12">
        <v>5</v>
      </c>
      <c r="D297" s="12">
        <v>116</v>
      </c>
      <c r="E297" s="12">
        <v>23.896000000000001</v>
      </c>
      <c r="F297" s="12">
        <v>119.17054400000001</v>
      </c>
      <c r="G297" s="12">
        <f t="shared" si="8"/>
        <v>3.1705440000000067</v>
      </c>
      <c r="H297" s="12">
        <f t="shared" si="9"/>
        <v>3.1705440000000067</v>
      </c>
    </row>
    <row r="298" spans="1:8" x14ac:dyDescent="0.3">
      <c r="A298" s="12">
        <v>297</v>
      </c>
      <c r="B298" s="12" t="s">
        <v>311</v>
      </c>
      <c r="C298" s="12">
        <v>3</v>
      </c>
      <c r="D298" s="12">
        <v>113</v>
      </c>
      <c r="E298" s="12">
        <v>22.245999999999999</v>
      </c>
      <c r="F298" s="12">
        <v>111.103694</v>
      </c>
      <c r="G298" s="12">
        <f t="shared" si="8"/>
        <v>-1.8963059999999956</v>
      </c>
      <c r="H298" s="12">
        <f t="shared" si="9"/>
        <v>1.8963059999999956</v>
      </c>
    </row>
    <row r="299" spans="1:8" x14ac:dyDescent="0.3">
      <c r="A299" s="12">
        <v>298</v>
      </c>
      <c r="B299" s="12" t="s">
        <v>312</v>
      </c>
      <c r="C299" s="12">
        <v>3</v>
      </c>
      <c r="D299" s="12">
        <v>103</v>
      </c>
      <c r="E299" s="12">
        <v>20.329000000000001</v>
      </c>
      <c r="F299" s="12">
        <v>101.73148100000002</v>
      </c>
      <c r="G299" s="12">
        <f t="shared" si="8"/>
        <v>-1.2685189999999835</v>
      </c>
      <c r="H299" s="12">
        <f t="shared" si="9"/>
        <v>1.2685189999999835</v>
      </c>
    </row>
    <row r="300" spans="1:8" x14ac:dyDescent="0.3">
      <c r="A300" s="12">
        <v>299</v>
      </c>
      <c r="B300" s="12" t="s">
        <v>313</v>
      </c>
      <c r="C300" s="12">
        <v>3</v>
      </c>
      <c r="D300" s="12">
        <v>101</v>
      </c>
      <c r="E300" s="12">
        <v>19.946999999999999</v>
      </c>
      <c r="F300" s="12">
        <v>99.863883000000001</v>
      </c>
      <c r="G300" s="12">
        <f t="shared" si="8"/>
        <v>-1.1361169999999987</v>
      </c>
      <c r="H300" s="12">
        <f t="shared" si="9"/>
        <v>1.1361169999999987</v>
      </c>
    </row>
    <row r="301" spans="1:8" x14ac:dyDescent="0.3">
      <c r="A301" s="12">
        <v>300</v>
      </c>
      <c r="B301" s="12" t="s">
        <v>314</v>
      </c>
      <c r="C301" s="12">
        <v>3</v>
      </c>
      <c r="D301" s="12">
        <v>98</v>
      </c>
      <c r="E301" s="12">
        <v>19.646000000000001</v>
      </c>
      <c r="F301" s="12">
        <v>98.392294000000007</v>
      </c>
      <c r="G301" s="12">
        <f t="shared" si="8"/>
        <v>0.3922940000000068</v>
      </c>
      <c r="H301" s="12">
        <f t="shared" si="9"/>
        <v>0.3922940000000068</v>
      </c>
    </row>
    <row r="302" spans="1:8" x14ac:dyDescent="0.3">
      <c r="A302" s="12">
        <v>301</v>
      </c>
      <c r="B302" s="12" t="s">
        <v>315</v>
      </c>
      <c r="C302" s="12">
        <v>4</v>
      </c>
      <c r="D302" s="12">
        <v>89</v>
      </c>
      <c r="E302" s="12">
        <v>17.420999999999999</v>
      </c>
      <c r="F302" s="12">
        <v>87.514268999999999</v>
      </c>
      <c r="G302" s="12">
        <f t="shared" si="8"/>
        <v>-1.4857310000000012</v>
      </c>
      <c r="H302" s="12">
        <f t="shared" si="9"/>
        <v>1.4857310000000012</v>
      </c>
    </row>
    <row r="303" spans="1:8" x14ac:dyDescent="0.3">
      <c r="A303" s="12">
        <v>302</v>
      </c>
      <c r="B303" s="12" t="s">
        <v>316</v>
      </c>
      <c r="C303" s="12">
        <v>2</v>
      </c>
      <c r="D303" s="12">
        <v>113</v>
      </c>
      <c r="E303" s="12">
        <v>22.75</v>
      </c>
      <c r="F303" s="12">
        <v>113.56775</v>
      </c>
      <c r="G303" s="12">
        <f t="shared" si="8"/>
        <v>0.56775000000000375</v>
      </c>
      <c r="H303" s="12">
        <f t="shared" si="9"/>
        <v>0.56775000000000375</v>
      </c>
    </row>
    <row r="304" spans="1:8" x14ac:dyDescent="0.3">
      <c r="A304" s="12">
        <v>303</v>
      </c>
      <c r="B304" s="12" t="s">
        <v>317</v>
      </c>
      <c r="C304" s="12">
        <v>3</v>
      </c>
      <c r="D304" s="12">
        <v>93</v>
      </c>
      <c r="E304" s="12">
        <v>18.902000000000001</v>
      </c>
      <c r="F304" s="12">
        <v>94.754878000000019</v>
      </c>
      <c r="G304" s="12">
        <f t="shared" si="8"/>
        <v>1.7548780000000193</v>
      </c>
      <c r="H304" s="12">
        <f t="shared" si="9"/>
        <v>1.7548780000000193</v>
      </c>
    </row>
    <row r="305" spans="1:8" x14ac:dyDescent="0.3">
      <c r="A305" s="12">
        <v>304</v>
      </c>
      <c r="B305" s="12" t="s">
        <v>318</v>
      </c>
      <c r="C305" s="12">
        <v>5</v>
      </c>
      <c r="D305" s="12">
        <v>123</v>
      </c>
      <c r="E305" s="12">
        <v>24.79</v>
      </c>
      <c r="F305" s="12">
        <v>123.54131000000001</v>
      </c>
      <c r="G305" s="12">
        <f t="shared" si="8"/>
        <v>0.54131000000000995</v>
      </c>
      <c r="H305" s="12">
        <f t="shared" si="9"/>
        <v>0.54131000000000995</v>
      </c>
    </row>
    <row r="306" spans="1:8" x14ac:dyDescent="0.3">
      <c r="A306" s="12">
        <v>305</v>
      </c>
      <c r="B306" s="12" t="s">
        <v>319</v>
      </c>
      <c r="C306" s="12">
        <v>1</v>
      </c>
      <c r="D306" s="12">
        <v>118</v>
      </c>
      <c r="E306" s="12">
        <v>22.97</v>
      </c>
      <c r="F306" s="12">
        <v>114.64333000000001</v>
      </c>
      <c r="G306" s="12">
        <f t="shared" si="8"/>
        <v>-3.356669999999994</v>
      </c>
      <c r="H306" s="12">
        <f t="shared" si="9"/>
        <v>3.356669999999994</v>
      </c>
    </row>
    <row r="307" spans="1:8" x14ac:dyDescent="0.3">
      <c r="A307" s="12">
        <v>306</v>
      </c>
      <c r="B307" s="12" t="s">
        <v>320</v>
      </c>
      <c r="C307" s="12">
        <v>3</v>
      </c>
      <c r="D307" s="12">
        <v>100</v>
      </c>
      <c r="E307" s="12">
        <v>20.355</v>
      </c>
      <c r="F307" s="12">
        <v>101.85859500000001</v>
      </c>
      <c r="G307" s="12">
        <f t="shared" si="8"/>
        <v>1.8585950000000082</v>
      </c>
      <c r="H307" s="12">
        <f t="shared" si="9"/>
        <v>1.8585950000000082</v>
      </c>
    </row>
    <row r="308" spans="1:8" x14ac:dyDescent="0.3">
      <c r="A308" s="12">
        <v>307</v>
      </c>
      <c r="B308" s="12" t="s">
        <v>321</v>
      </c>
      <c r="C308" s="12">
        <v>5</v>
      </c>
      <c r="D308" s="12">
        <v>97</v>
      </c>
      <c r="E308" s="12">
        <v>19.734000000000002</v>
      </c>
      <c r="F308" s="12">
        <v>98.822526000000011</v>
      </c>
      <c r="G308" s="12">
        <f t="shared" si="8"/>
        <v>1.8225260000000105</v>
      </c>
      <c r="H308" s="12">
        <f t="shared" si="9"/>
        <v>1.8225260000000105</v>
      </c>
    </row>
    <row r="309" spans="1:8" x14ac:dyDescent="0.3">
      <c r="A309" s="12">
        <v>308</v>
      </c>
      <c r="B309" s="12" t="s">
        <v>322</v>
      </c>
      <c r="C309" s="12">
        <v>3</v>
      </c>
      <c r="D309" s="12">
        <v>101</v>
      </c>
      <c r="E309" s="12">
        <v>20.495999999999999</v>
      </c>
      <c r="F309" s="12">
        <v>102.547944</v>
      </c>
      <c r="G309" s="12">
        <f t="shared" si="8"/>
        <v>1.5479440000000011</v>
      </c>
      <c r="H309" s="12">
        <f t="shared" si="9"/>
        <v>1.5479440000000011</v>
      </c>
    </row>
    <row r="310" spans="1:8" x14ac:dyDescent="0.3">
      <c r="A310" s="12">
        <v>309</v>
      </c>
      <c r="B310" s="12" t="s">
        <v>323</v>
      </c>
      <c r="C310" s="12">
        <v>5</v>
      </c>
      <c r="D310" s="12">
        <v>104</v>
      </c>
      <c r="E310" s="12">
        <v>20.933</v>
      </c>
      <c r="F310" s="12">
        <v>104.684437</v>
      </c>
      <c r="G310" s="12">
        <f t="shared" si="8"/>
        <v>0.68443700000000263</v>
      </c>
      <c r="H310" s="12">
        <f t="shared" si="9"/>
        <v>0.68443700000000263</v>
      </c>
    </row>
    <row r="311" spans="1:8" x14ac:dyDescent="0.3">
      <c r="A311" s="12">
        <v>310</v>
      </c>
      <c r="B311" s="12" t="s">
        <v>324</v>
      </c>
      <c r="C311" s="12">
        <v>5</v>
      </c>
      <c r="D311" s="12">
        <v>102</v>
      </c>
      <c r="E311" s="12">
        <v>20.478000000000002</v>
      </c>
      <c r="F311" s="12">
        <v>102.45994200000001</v>
      </c>
      <c r="G311" s="12">
        <f t="shared" si="8"/>
        <v>0.45994200000001229</v>
      </c>
      <c r="H311" s="12">
        <f t="shared" si="9"/>
        <v>0.45994200000001229</v>
      </c>
    </row>
    <row r="312" spans="1:8" x14ac:dyDescent="0.3">
      <c r="A312" s="12">
        <v>311</v>
      </c>
      <c r="B312" s="12" t="s">
        <v>325</v>
      </c>
      <c r="C312" s="12">
        <v>3</v>
      </c>
      <c r="D312" s="12">
        <v>92</v>
      </c>
      <c r="E312" s="12">
        <v>18.768000000000001</v>
      </c>
      <c r="F312" s="12">
        <v>94.099752000000009</v>
      </c>
      <c r="G312" s="12">
        <f t="shared" si="8"/>
        <v>2.0997520000000094</v>
      </c>
      <c r="H312" s="12">
        <f t="shared" si="9"/>
        <v>2.0997520000000094</v>
      </c>
    </row>
    <row r="313" spans="1:8" x14ac:dyDescent="0.3">
      <c r="A313" s="12">
        <v>312</v>
      </c>
      <c r="B313" s="12" t="s">
        <v>326</v>
      </c>
      <c r="C313" s="12">
        <v>4</v>
      </c>
      <c r="D313" s="12">
        <v>85</v>
      </c>
      <c r="E313" s="12">
        <v>17.684999999999999</v>
      </c>
      <c r="F313" s="12">
        <v>88.804964999999996</v>
      </c>
      <c r="G313" s="12">
        <f t="shared" si="8"/>
        <v>3.8049649999999957</v>
      </c>
      <c r="H313" s="12">
        <f t="shared" si="9"/>
        <v>3.8049649999999957</v>
      </c>
    </row>
    <row r="314" spans="1:8" x14ac:dyDescent="0.3">
      <c r="A314" s="12">
        <v>313</v>
      </c>
      <c r="B314" s="12" t="s">
        <v>327</v>
      </c>
      <c r="C314" s="12">
        <v>1</v>
      </c>
      <c r="D314" s="12">
        <v>112</v>
      </c>
      <c r="E314" s="12">
        <v>22.061</v>
      </c>
      <c r="F314" s="12">
        <v>110.199229</v>
      </c>
      <c r="G314" s="12">
        <f t="shared" si="8"/>
        <v>-1.8007709999999975</v>
      </c>
      <c r="H314" s="12">
        <f t="shared" si="9"/>
        <v>1.8007709999999975</v>
      </c>
    </row>
    <row r="315" spans="1:8" x14ac:dyDescent="0.3">
      <c r="A315" s="12">
        <v>314</v>
      </c>
      <c r="B315" s="12" t="s">
        <v>328</v>
      </c>
      <c r="C315" s="12">
        <v>5</v>
      </c>
      <c r="D315" s="12">
        <v>110</v>
      </c>
      <c r="E315" s="12">
        <v>22.384</v>
      </c>
      <c r="F315" s="12">
        <v>111.77837600000001</v>
      </c>
      <c r="G315" s="12">
        <f t="shared" si="8"/>
        <v>1.7783760000000086</v>
      </c>
      <c r="H315" s="12">
        <f t="shared" si="9"/>
        <v>1.7783760000000086</v>
      </c>
    </row>
    <row r="316" spans="1:8" x14ac:dyDescent="0.3">
      <c r="A316" s="12">
        <v>315</v>
      </c>
      <c r="B316" s="12" t="s">
        <v>329</v>
      </c>
      <c r="C316" s="12">
        <v>3</v>
      </c>
      <c r="D316" s="12">
        <v>113</v>
      </c>
      <c r="E316" s="12">
        <v>22.568999999999999</v>
      </c>
      <c r="F316" s="12">
        <v>112.68284100000001</v>
      </c>
      <c r="G316" s="12">
        <f t="shared" si="8"/>
        <v>-0.31715899999998953</v>
      </c>
      <c r="H316" s="12">
        <f t="shared" si="9"/>
        <v>0.31715899999998953</v>
      </c>
    </row>
    <row r="317" spans="1:8" x14ac:dyDescent="0.3">
      <c r="A317" s="12">
        <v>316</v>
      </c>
      <c r="B317" s="12" t="s">
        <v>330</v>
      </c>
      <c r="C317" s="12">
        <v>5</v>
      </c>
      <c r="D317" s="12">
        <v>92</v>
      </c>
      <c r="E317" s="12">
        <v>18.353999999999999</v>
      </c>
      <c r="F317" s="12">
        <v>92.075706000000011</v>
      </c>
      <c r="G317" s="12">
        <f t="shared" si="8"/>
        <v>7.5706000000010931E-2</v>
      </c>
      <c r="H317" s="12">
        <f t="shared" si="9"/>
        <v>7.5706000000010931E-2</v>
      </c>
    </row>
    <row r="318" spans="1:8" x14ac:dyDescent="0.3">
      <c r="A318" s="12">
        <v>317</v>
      </c>
      <c r="B318" s="12" t="s">
        <v>331</v>
      </c>
      <c r="C318" s="12">
        <v>1</v>
      </c>
      <c r="D318" s="12">
        <v>95</v>
      </c>
      <c r="E318" s="12">
        <v>18.452999999999999</v>
      </c>
      <c r="F318" s="12">
        <v>92.559717000000006</v>
      </c>
      <c r="G318" s="12">
        <f t="shared" si="8"/>
        <v>-2.4402829999999938</v>
      </c>
      <c r="H318" s="12">
        <f t="shared" si="9"/>
        <v>2.4402829999999938</v>
      </c>
    </row>
    <row r="319" spans="1:8" x14ac:dyDescent="0.3">
      <c r="A319" s="12">
        <v>318</v>
      </c>
      <c r="B319" s="12" t="s">
        <v>332</v>
      </c>
      <c r="C319" s="12">
        <v>1</v>
      </c>
      <c r="D319" s="12">
        <v>109</v>
      </c>
      <c r="E319" s="12">
        <v>21.699000000000002</v>
      </c>
      <c r="F319" s="12">
        <v>108.42941100000002</v>
      </c>
      <c r="G319" s="12">
        <f t="shared" si="8"/>
        <v>-0.57058899999998403</v>
      </c>
      <c r="H319" s="12">
        <f t="shared" si="9"/>
        <v>0.57058899999998403</v>
      </c>
    </row>
    <row r="320" spans="1:8" x14ac:dyDescent="0.3">
      <c r="A320" s="12">
        <v>319</v>
      </c>
      <c r="B320" s="12" t="s">
        <v>333</v>
      </c>
      <c r="C320" s="12">
        <v>2</v>
      </c>
      <c r="D320" s="12">
        <v>104</v>
      </c>
      <c r="E320" s="12">
        <v>20.445</v>
      </c>
      <c r="F320" s="12">
        <v>102.29860500000001</v>
      </c>
      <c r="G320" s="12">
        <f t="shared" si="8"/>
        <v>-1.7013949999999909</v>
      </c>
      <c r="H320" s="12">
        <f t="shared" si="9"/>
        <v>1.7013949999999909</v>
      </c>
    </row>
    <row r="321" spans="1:8" x14ac:dyDescent="0.3">
      <c r="A321" s="12">
        <v>320</v>
      </c>
      <c r="B321" s="12" t="s">
        <v>334</v>
      </c>
      <c r="C321" s="12">
        <v>5</v>
      </c>
      <c r="D321" s="12">
        <v>95</v>
      </c>
      <c r="E321" s="12">
        <v>18.835000000000001</v>
      </c>
      <c r="F321" s="12">
        <v>94.427315000000007</v>
      </c>
      <c r="G321" s="12">
        <f t="shared" si="8"/>
        <v>-0.57268499999999278</v>
      </c>
      <c r="H321" s="12">
        <f t="shared" si="9"/>
        <v>0.57268499999999278</v>
      </c>
    </row>
    <row r="322" spans="1:8" x14ac:dyDescent="0.3">
      <c r="A322" s="12">
        <v>321</v>
      </c>
      <c r="B322" s="12" t="s">
        <v>335</v>
      </c>
      <c r="C322" s="12">
        <v>2</v>
      </c>
      <c r="D322" s="12">
        <v>116</v>
      </c>
      <c r="E322" s="12">
        <v>22.809000000000001</v>
      </c>
      <c r="F322" s="12">
        <v>113.85620100000001</v>
      </c>
      <c r="G322" s="12">
        <f t="shared" si="8"/>
        <v>-2.1437989999999871</v>
      </c>
      <c r="H322" s="12">
        <f t="shared" si="9"/>
        <v>2.1437989999999871</v>
      </c>
    </row>
    <row r="323" spans="1:8" x14ac:dyDescent="0.3">
      <c r="A323" s="12">
        <v>322</v>
      </c>
      <c r="B323" s="12" t="s">
        <v>336</v>
      </c>
      <c r="C323" s="12">
        <v>1</v>
      </c>
      <c r="D323" s="12">
        <v>110</v>
      </c>
      <c r="E323" s="12">
        <v>21.84</v>
      </c>
      <c r="F323" s="12">
        <v>109.11876000000001</v>
      </c>
      <c r="G323" s="12">
        <f t="shared" ref="G323:G386" si="10">F323-D323</f>
        <v>-0.88123999999999114</v>
      </c>
      <c r="H323" s="12">
        <f t="shared" ref="H323:H386" si="11">ABS(F323-D323)</f>
        <v>0.88123999999999114</v>
      </c>
    </row>
    <row r="324" spans="1:8" x14ac:dyDescent="0.3">
      <c r="A324" s="12">
        <v>323</v>
      </c>
      <c r="B324" s="12" t="s">
        <v>337</v>
      </c>
      <c r="C324" s="12">
        <v>2</v>
      </c>
      <c r="D324" s="12">
        <v>111</v>
      </c>
      <c r="E324" s="12">
        <v>22.055</v>
      </c>
      <c r="F324" s="12">
        <v>110.16989500000001</v>
      </c>
      <c r="G324" s="12">
        <f t="shared" si="10"/>
        <v>-0.83010499999998899</v>
      </c>
      <c r="H324" s="12">
        <f t="shared" si="11"/>
        <v>0.83010499999998899</v>
      </c>
    </row>
    <row r="325" spans="1:8" x14ac:dyDescent="0.3">
      <c r="A325" s="12">
        <v>324</v>
      </c>
      <c r="B325" s="12" t="s">
        <v>338</v>
      </c>
      <c r="C325" s="12">
        <v>1</v>
      </c>
      <c r="D325" s="12">
        <v>73</v>
      </c>
      <c r="E325" s="12">
        <v>14.634</v>
      </c>
      <c r="F325" s="12">
        <v>73.888626000000002</v>
      </c>
      <c r="G325" s="12">
        <f t="shared" si="10"/>
        <v>0.88862600000000214</v>
      </c>
      <c r="H325" s="12">
        <f t="shared" si="11"/>
        <v>0.88862600000000214</v>
      </c>
    </row>
    <row r="326" spans="1:8" x14ac:dyDescent="0.3">
      <c r="A326" s="12">
        <v>325</v>
      </c>
      <c r="B326" s="12" t="s">
        <v>339</v>
      </c>
      <c r="C326" s="12">
        <v>1</v>
      </c>
      <c r="D326" s="12">
        <v>105</v>
      </c>
      <c r="E326" s="12">
        <v>20.425000000000001</v>
      </c>
      <c r="F326" s="12">
        <v>102.20082500000001</v>
      </c>
      <c r="G326" s="12">
        <f t="shared" si="10"/>
        <v>-2.7991749999999911</v>
      </c>
      <c r="H326" s="12">
        <f t="shared" si="11"/>
        <v>2.7991749999999911</v>
      </c>
    </row>
    <row r="327" spans="1:8" x14ac:dyDescent="0.3">
      <c r="A327" s="12">
        <v>326</v>
      </c>
      <c r="B327" s="12" t="s">
        <v>340</v>
      </c>
      <c r="C327" s="12">
        <v>4</v>
      </c>
      <c r="D327" s="12">
        <v>101</v>
      </c>
      <c r="E327" s="12">
        <v>19.684999999999999</v>
      </c>
      <c r="F327" s="12">
        <v>98.582965000000002</v>
      </c>
      <c r="G327" s="12">
        <f t="shared" si="10"/>
        <v>-2.4170349999999985</v>
      </c>
      <c r="H327" s="12">
        <f t="shared" si="11"/>
        <v>2.4170349999999985</v>
      </c>
    </row>
    <row r="328" spans="1:8" x14ac:dyDescent="0.3">
      <c r="A328" s="12">
        <v>327</v>
      </c>
      <c r="B328" s="12" t="s">
        <v>341</v>
      </c>
      <c r="C328" s="12">
        <v>4</v>
      </c>
      <c r="D328" s="12">
        <v>103</v>
      </c>
      <c r="E328" s="12">
        <v>20.728999999999999</v>
      </c>
      <c r="F328" s="12">
        <v>103.68708100000001</v>
      </c>
      <c r="G328" s="12">
        <f t="shared" si="10"/>
        <v>0.68708100000000627</v>
      </c>
      <c r="H328" s="12">
        <f t="shared" si="11"/>
        <v>0.68708100000000627</v>
      </c>
    </row>
    <row r="329" spans="1:8" x14ac:dyDescent="0.3">
      <c r="A329" s="12">
        <v>328</v>
      </c>
      <c r="B329" s="12" t="s">
        <v>342</v>
      </c>
      <c r="C329" s="12">
        <v>4</v>
      </c>
      <c r="D329" s="12">
        <v>122</v>
      </c>
      <c r="E329" s="12">
        <v>24.116</v>
      </c>
      <c r="F329" s="12">
        <v>120.24612400000001</v>
      </c>
      <c r="G329" s="12">
        <f t="shared" si="10"/>
        <v>-1.7538759999999911</v>
      </c>
      <c r="H329" s="12">
        <f t="shared" si="11"/>
        <v>1.7538759999999911</v>
      </c>
    </row>
    <row r="330" spans="1:8" x14ac:dyDescent="0.3">
      <c r="A330" s="12">
        <v>329</v>
      </c>
      <c r="B330" s="12" t="s">
        <v>343</v>
      </c>
      <c r="C330" s="12">
        <v>5</v>
      </c>
      <c r="D330" s="12">
        <v>96</v>
      </c>
      <c r="E330" s="12">
        <v>19.582999999999998</v>
      </c>
      <c r="F330" s="12">
        <v>98.084287000000003</v>
      </c>
      <c r="G330" s="12">
        <f t="shared" si="10"/>
        <v>2.0842870000000033</v>
      </c>
      <c r="H330" s="12">
        <f t="shared" si="11"/>
        <v>2.0842870000000033</v>
      </c>
    </row>
    <row r="331" spans="1:8" x14ac:dyDescent="0.3">
      <c r="A331" s="12">
        <v>330</v>
      </c>
      <c r="B331" s="12" t="s">
        <v>344</v>
      </c>
      <c r="C331" s="12">
        <v>2</v>
      </c>
      <c r="D331" s="12">
        <v>105</v>
      </c>
      <c r="E331" s="12">
        <v>21.08</v>
      </c>
      <c r="F331" s="12">
        <v>105.40312</v>
      </c>
      <c r="G331" s="12">
        <f t="shared" si="10"/>
        <v>0.40312000000000126</v>
      </c>
      <c r="H331" s="12">
        <f t="shared" si="11"/>
        <v>0.40312000000000126</v>
      </c>
    </row>
    <row r="332" spans="1:8" x14ac:dyDescent="0.3">
      <c r="A332" s="12">
        <v>331</v>
      </c>
      <c r="B332" s="12" t="s">
        <v>345</v>
      </c>
      <c r="C332" s="12">
        <v>5</v>
      </c>
      <c r="D332" s="12">
        <v>103</v>
      </c>
      <c r="E332" s="12">
        <v>20.815999999999999</v>
      </c>
      <c r="F332" s="12">
        <v>104.112424</v>
      </c>
      <c r="G332" s="12">
        <f t="shared" si="10"/>
        <v>1.1124240000000043</v>
      </c>
      <c r="H332" s="12">
        <f t="shared" si="11"/>
        <v>1.1124240000000043</v>
      </c>
    </row>
    <row r="333" spans="1:8" x14ac:dyDescent="0.3">
      <c r="A333" s="12">
        <v>332</v>
      </c>
      <c r="B333" s="12" t="s">
        <v>346</v>
      </c>
      <c r="C333" s="12">
        <v>2</v>
      </c>
      <c r="D333" s="12">
        <v>108</v>
      </c>
      <c r="E333" s="12">
        <v>22.103000000000002</v>
      </c>
      <c r="F333" s="12">
        <v>110.40456700000001</v>
      </c>
      <c r="G333" s="12">
        <f t="shared" si="10"/>
        <v>2.4045670000000143</v>
      </c>
      <c r="H333" s="12">
        <f t="shared" si="11"/>
        <v>2.4045670000000143</v>
      </c>
    </row>
    <row r="334" spans="1:8" x14ac:dyDescent="0.3">
      <c r="A334" s="12">
        <v>333</v>
      </c>
      <c r="B334" s="12" t="s">
        <v>347</v>
      </c>
      <c r="C334" s="12">
        <v>2</v>
      </c>
      <c r="D334" s="12">
        <v>106</v>
      </c>
      <c r="E334" s="12">
        <v>21.09</v>
      </c>
      <c r="F334" s="12">
        <v>105.45201</v>
      </c>
      <c r="G334" s="12">
        <f t="shared" si="10"/>
        <v>-0.54798999999999864</v>
      </c>
      <c r="H334" s="12">
        <f t="shared" si="11"/>
        <v>0.54798999999999864</v>
      </c>
    </row>
    <row r="335" spans="1:8" x14ac:dyDescent="0.3">
      <c r="A335" s="12">
        <v>334</v>
      </c>
      <c r="B335" s="12" t="s">
        <v>348</v>
      </c>
      <c r="C335" s="12">
        <v>1</v>
      </c>
      <c r="D335" s="12">
        <v>115</v>
      </c>
      <c r="E335" s="12">
        <v>22.795000000000002</v>
      </c>
      <c r="F335" s="12">
        <v>113.78775500000002</v>
      </c>
      <c r="G335" s="12">
        <f t="shared" si="10"/>
        <v>-1.2122449999999816</v>
      </c>
      <c r="H335" s="12">
        <f t="shared" si="11"/>
        <v>1.2122449999999816</v>
      </c>
    </row>
    <row r="336" spans="1:8" x14ac:dyDescent="0.3">
      <c r="A336" s="12">
        <v>335</v>
      </c>
      <c r="B336" s="12" t="s">
        <v>349</v>
      </c>
      <c r="C336" s="12">
        <v>1</v>
      </c>
      <c r="D336" s="12">
        <v>119</v>
      </c>
      <c r="E336" s="12">
        <v>24.111000000000001</v>
      </c>
      <c r="F336" s="12">
        <v>120.22167900000001</v>
      </c>
      <c r="G336" s="12">
        <f t="shared" si="10"/>
        <v>1.2216790000000088</v>
      </c>
      <c r="H336" s="12">
        <f t="shared" si="11"/>
        <v>1.2216790000000088</v>
      </c>
    </row>
    <row r="337" spans="1:8" x14ac:dyDescent="0.3">
      <c r="A337" s="12">
        <v>336</v>
      </c>
      <c r="B337" s="12" t="s">
        <v>350</v>
      </c>
      <c r="C337" s="12">
        <v>2</v>
      </c>
      <c r="D337" s="12">
        <v>103</v>
      </c>
      <c r="E337" s="12">
        <v>20.782</v>
      </c>
      <c r="F337" s="12">
        <v>103.94619800000001</v>
      </c>
      <c r="G337" s="12">
        <f t="shared" si="10"/>
        <v>0.94619800000000964</v>
      </c>
      <c r="H337" s="12">
        <f t="shared" si="11"/>
        <v>0.94619800000000964</v>
      </c>
    </row>
    <row r="338" spans="1:8" x14ac:dyDescent="0.3">
      <c r="A338" s="12">
        <v>337</v>
      </c>
      <c r="B338" s="12" t="s">
        <v>351</v>
      </c>
      <c r="C338" s="12">
        <v>1</v>
      </c>
      <c r="D338" s="12">
        <v>100</v>
      </c>
      <c r="E338" s="12">
        <v>19.933</v>
      </c>
      <c r="F338" s="12">
        <v>99.795437000000007</v>
      </c>
      <c r="G338" s="12">
        <f t="shared" si="10"/>
        <v>-0.20456299999999317</v>
      </c>
      <c r="H338" s="12">
        <f t="shared" si="11"/>
        <v>0.20456299999999317</v>
      </c>
    </row>
    <row r="339" spans="1:8" x14ac:dyDescent="0.3">
      <c r="A339" s="12">
        <v>338</v>
      </c>
      <c r="B339" s="12" t="s">
        <v>352</v>
      </c>
      <c r="C339" s="12">
        <v>4</v>
      </c>
      <c r="D339" s="12">
        <v>107</v>
      </c>
      <c r="E339" s="12">
        <v>21.896000000000001</v>
      </c>
      <c r="F339" s="12">
        <v>109.39254400000002</v>
      </c>
      <c r="G339" s="12">
        <f t="shared" si="10"/>
        <v>2.3925440000000151</v>
      </c>
      <c r="H339" s="12">
        <f t="shared" si="11"/>
        <v>2.3925440000000151</v>
      </c>
    </row>
    <row r="340" spans="1:8" x14ac:dyDescent="0.3">
      <c r="A340" s="12">
        <v>339</v>
      </c>
      <c r="B340" s="12" t="s">
        <v>353</v>
      </c>
      <c r="C340" s="12">
        <v>3</v>
      </c>
      <c r="D340" s="12">
        <v>112</v>
      </c>
      <c r="E340" s="12">
        <v>22.324000000000002</v>
      </c>
      <c r="F340" s="12">
        <v>111.48503600000002</v>
      </c>
      <c r="G340" s="12">
        <f t="shared" si="10"/>
        <v>-0.51496399999997777</v>
      </c>
      <c r="H340" s="12">
        <f t="shared" si="11"/>
        <v>0.51496399999997777</v>
      </c>
    </row>
    <row r="341" spans="1:8" x14ac:dyDescent="0.3">
      <c r="A341" s="12">
        <v>340</v>
      </c>
      <c r="B341" s="12" t="s">
        <v>354</v>
      </c>
      <c r="C341" s="12">
        <v>5</v>
      </c>
      <c r="D341" s="12">
        <v>112</v>
      </c>
      <c r="E341" s="12">
        <v>22.411999999999999</v>
      </c>
      <c r="F341" s="12">
        <v>111.915268</v>
      </c>
      <c r="G341" s="12">
        <f t="shared" si="10"/>
        <v>-8.4732000000002472E-2</v>
      </c>
      <c r="H341" s="12">
        <f t="shared" si="11"/>
        <v>8.4732000000002472E-2</v>
      </c>
    </row>
    <row r="342" spans="1:8" x14ac:dyDescent="0.3">
      <c r="A342" s="12">
        <v>341</v>
      </c>
      <c r="B342" s="12" t="s">
        <v>355</v>
      </c>
      <c r="C342" s="12">
        <v>3</v>
      </c>
      <c r="D342" s="12">
        <v>118</v>
      </c>
      <c r="E342" s="12">
        <v>23.608000000000001</v>
      </c>
      <c r="F342" s="12">
        <v>117.76251200000002</v>
      </c>
      <c r="G342" s="12">
        <f t="shared" si="10"/>
        <v>-0.23748799999998482</v>
      </c>
      <c r="H342" s="12">
        <f t="shared" si="11"/>
        <v>0.23748799999998482</v>
      </c>
    </row>
    <row r="343" spans="1:8" x14ac:dyDescent="0.3">
      <c r="A343" s="12">
        <v>342</v>
      </c>
      <c r="B343" s="12" t="s">
        <v>356</v>
      </c>
      <c r="C343" s="12">
        <v>1</v>
      </c>
      <c r="D343" s="12">
        <v>92</v>
      </c>
      <c r="E343" s="12">
        <v>18.067</v>
      </c>
      <c r="F343" s="12">
        <v>90.672563000000011</v>
      </c>
      <c r="G343" s="12">
        <f t="shared" si="10"/>
        <v>-1.3274369999999891</v>
      </c>
      <c r="H343" s="12">
        <f t="shared" si="11"/>
        <v>1.3274369999999891</v>
      </c>
    </row>
    <row r="344" spans="1:8" x14ac:dyDescent="0.3">
      <c r="A344" s="12">
        <v>343</v>
      </c>
      <c r="B344" s="12" t="s">
        <v>357</v>
      </c>
      <c r="C344" s="12">
        <v>4</v>
      </c>
      <c r="D344" s="12">
        <v>122</v>
      </c>
      <c r="E344" s="12">
        <v>24.428000000000001</v>
      </c>
      <c r="F344" s="12">
        <v>121.77149200000001</v>
      </c>
      <c r="G344" s="12">
        <f t="shared" si="10"/>
        <v>-0.22850799999999083</v>
      </c>
      <c r="H344" s="12">
        <f t="shared" si="11"/>
        <v>0.22850799999999083</v>
      </c>
    </row>
    <row r="345" spans="1:8" x14ac:dyDescent="0.3">
      <c r="A345" s="12">
        <v>344</v>
      </c>
      <c r="B345" s="12" t="s">
        <v>358</v>
      </c>
      <c r="C345" s="12">
        <v>5</v>
      </c>
      <c r="D345" s="12">
        <v>109</v>
      </c>
      <c r="E345" s="12">
        <v>22.297999999999998</v>
      </c>
      <c r="F345" s="12">
        <v>111.357922</v>
      </c>
      <c r="G345" s="12">
        <f t="shared" si="10"/>
        <v>2.3579220000000021</v>
      </c>
      <c r="H345" s="12">
        <f t="shared" si="11"/>
        <v>2.3579220000000021</v>
      </c>
    </row>
    <row r="346" spans="1:8" x14ac:dyDescent="0.3">
      <c r="A346" s="12">
        <v>345</v>
      </c>
      <c r="B346" s="12" t="s">
        <v>359</v>
      </c>
      <c r="C346" s="12">
        <v>5</v>
      </c>
      <c r="D346" s="12">
        <v>96</v>
      </c>
      <c r="E346" s="12">
        <v>19.359000000000002</v>
      </c>
      <c r="F346" s="12">
        <v>96.989151000000021</v>
      </c>
      <c r="G346" s="12">
        <f t="shared" si="10"/>
        <v>0.98915100000002099</v>
      </c>
      <c r="H346" s="12">
        <f t="shared" si="11"/>
        <v>0.98915100000002099</v>
      </c>
    </row>
    <row r="347" spans="1:8" x14ac:dyDescent="0.3">
      <c r="A347" s="12">
        <v>346</v>
      </c>
      <c r="B347" s="12" t="s">
        <v>360</v>
      </c>
      <c r="C347" s="12">
        <v>5</v>
      </c>
      <c r="D347" s="12">
        <v>102</v>
      </c>
      <c r="E347" s="12">
        <v>20.411000000000001</v>
      </c>
      <c r="F347" s="12">
        <v>102.13237900000001</v>
      </c>
      <c r="G347" s="12">
        <f t="shared" si="10"/>
        <v>0.13237900000001446</v>
      </c>
      <c r="H347" s="12">
        <f t="shared" si="11"/>
        <v>0.13237900000001446</v>
      </c>
    </row>
    <row r="348" spans="1:8" x14ac:dyDescent="0.3">
      <c r="A348" s="12">
        <v>347</v>
      </c>
      <c r="B348" s="12" t="s">
        <v>361</v>
      </c>
      <c r="C348" s="12">
        <v>3</v>
      </c>
      <c r="D348" s="12">
        <v>107</v>
      </c>
      <c r="E348" s="12">
        <v>21.341999999999999</v>
      </c>
      <c r="F348" s="12">
        <v>106.684038</v>
      </c>
      <c r="G348" s="12">
        <f t="shared" si="10"/>
        <v>-0.31596199999999897</v>
      </c>
      <c r="H348" s="12">
        <f t="shared" si="11"/>
        <v>0.31596199999999897</v>
      </c>
    </row>
    <row r="349" spans="1:8" x14ac:dyDescent="0.3">
      <c r="A349" s="12">
        <v>348</v>
      </c>
      <c r="B349" s="12" t="s">
        <v>362</v>
      </c>
      <c r="C349" s="12">
        <v>1</v>
      </c>
      <c r="D349" s="12">
        <v>108</v>
      </c>
      <c r="E349" s="12">
        <v>21.718</v>
      </c>
      <c r="F349" s="12">
        <v>108.52230200000001</v>
      </c>
      <c r="G349" s="12">
        <f t="shared" si="10"/>
        <v>0.52230200000001048</v>
      </c>
      <c r="H349" s="12">
        <f t="shared" si="11"/>
        <v>0.52230200000001048</v>
      </c>
    </row>
    <row r="350" spans="1:8" x14ac:dyDescent="0.3">
      <c r="A350" s="12">
        <v>349</v>
      </c>
      <c r="B350" s="12" t="s">
        <v>363</v>
      </c>
      <c r="C350" s="12">
        <v>5</v>
      </c>
      <c r="D350" s="12">
        <v>112</v>
      </c>
      <c r="E350" s="12">
        <v>22.667000000000002</v>
      </c>
      <c r="F350" s="12">
        <v>113.16196300000001</v>
      </c>
      <c r="G350" s="12">
        <f t="shared" si="10"/>
        <v>1.1619630000000143</v>
      </c>
      <c r="H350" s="12">
        <f t="shared" si="11"/>
        <v>1.1619630000000143</v>
      </c>
    </row>
    <row r="351" spans="1:8" x14ac:dyDescent="0.3">
      <c r="A351" s="12">
        <v>350</v>
      </c>
      <c r="B351" s="12" t="s">
        <v>364</v>
      </c>
      <c r="C351" s="12">
        <v>4</v>
      </c>
      <c r="D351" s="12">
        <v>115</v>
      </c>
      <c r="E351" s="12">
        <v>23.216999999999999</v>
      </c>
      <c r="F351" s="12">
        <v>115.85091300000001</v>
      </c>
      <c r="G351" s="12">
        <f t="shared" si="10"/>
        <v>0.85091300000000558</v>
      </c>
      <c r="H351" s="12">
        <f t="shared" si="11"/>
        <v>0.85091300000000558</v>
      </c>
    </row>
    <row r="352" spans="1:8" x14ac:dyDescent="0.3">
      <c r="A352" s="12">
        <v>351</v>
      </c>
      <c r="B352" s="12" t="s">
        <v>365</v>
      </c>
      <c r="C352" s="12">
        <v>5</v>
      </c>
      <c r="D352" s="12">
        <v>110</v>
      </c>
      <c r="E352" s="12">
        <v>21.882000000000001</v>
      </c>
      <c r="F352" s="12">
        <v>109.32409800000002</v>
      </c>
      <c r="G352" s="12">
        <f t="shared" si="10"/>
        <v>-0.67590199999997935</v>
      </c>
      <c r="H352" s="12">
        <f t="shared" si="11"/>
        <v>0.67590199999997935</v>
      </c>
    </row>
    <row r="353" spans="1:8" x14ac:dyDescent="0.3">
      <c r="A353" s="12">
        <v>352</v>
      </c>
      <c r="B353" s="12" t="s">
        <v>366</v>
      </c>
      <c r="C353" s="12">
        <v>3</v>
      </c>
      <c r="D353" s="12">
        <v>121</v>
      </c>
      <c r="E353" s="12">
        <v>24.315999999999999</v>
      </c>
      <c r="F353" s="12">
        <v>121.22392400000001</v>
      </c>
      <c r="G353" s="12">
        <f t="shared" si="10"/>
        <v>0.22392400000001089</v>
      </c>
      <c r="H353" s="12">
        <f t="shared" si="11"/>
        <v>0.22392400000001089</v>
      </c>
    </row>
    <row r="354" spans="1:8" x14ac:dyDescent="0.3">
      <c r="A354" s="12">
        <v>353</v>
      </c>
      <c r="B354" s="12" t="s">
        <v>367</v>
      </c>
      <c r="C354" s="12">
        <v>1</v>
      </c>
      <c r="D354" s="12">
        <v>95</v>
      </c>
      <c r="E354" s="12">
        <v>19.170999999999999</v>
      </c>
      <c r="F354" s="12">
        <v>96.070019000000002</v>
      </c>
      <c r="G354" s="12">
        <f t="shared" si="10"/>
        <v>1.0700190000000021</v>
      </c>
      <c r="H354" s="12">
        <f t="shared" si="11"/>
        <v>1.0700190000000021</v>
      </c>
    </row>
    <row r="355" spans="1:8" x14ac:dyDescent="0.3">
      <c r="A355" s="12">
        <v>354</v>
      </c>
      <c r="B355" s="12" t="s">
        <v>368</v>
      </c>
      <c r="C355" s="12">
        <v>3</v>
      </c>
      <c r="D355" s="12">
        <v>106</v>
      </c>
      <c r="E355" s="12">
        <v>20.841000000000001</v>
      </c>
      <c r="F355" s="12">
        <v>104.23464900000002</v>
      </c>
      <c r="G355" s="12">
        <f t="shared" si="10"/>
        <v>-1.7653509999999812</v>
      </c>
      <c r="H355" s="12">
        <f t="shared" si="11"/>
        <v>1.7653509999999812</v>
      </c>
    </row>
    <row r="356" spans="1:8" x14ac:dyDescent="0.3">
      <c r="A356" s="12">
        <v>355</v>
      </c>
      <c r="B356" s="12" t="s">
        <v>369</v>
      </c>
      <c r="C356" s="12">
        <v>3</v>
      </c>
      <c r="D356" s="12">
        <v>120</v>
      </c>
      <c r="E356" s="12">
        <v>24.06</v>
      </c>
      <c r="F356" s="12">
        <v>119.97234</v>
      </c>
      <c r="G356" s="12">
        <f t="shared" si="10"/>
        <v>-2.7659999999997353E-2</v>
      </c>
      <c r="H356" s="12">
        <f t="shared" si="11"/>
        <v>2.7659999999997353E-2</v>
      </c>
    </row>
    <row r="357" spans="1:8" x14ac:dyDescent="0.3">
      <c r="A357" s="12">
        <v>356</v>
      </c>
      <c r="B357" s="12" t="s">
        <v>370</v>
      </c>
      <c r="C357" s="12">
        <v>3</v>
      </c>
      <c r="D357" s="12">
        <v>119</v>
      </c>
      <c r="E357" s="12">
        <v>23.03</v>
      </c>
      <c r="F357" s="12">
        <v>114.93667000000002</v>
      </c>
      <c r="G357" s="12">
        <f t="shared" si="10"/>
        <v>-4.0633299999999792</v>
      </c>
      <c r="H357" s="12">
        <f t="shared" si="11"/>
        <v>4.0633299999999792</v>
      </c>
    </row>
    <row r="358" spans="1:8" x14ac:dyDescent="0.3">
      <c r="A358" s="12">
        <v>357</v>
      </c>
      <c r="B358" s="12" t="s">
        <v>371</v>
      </c>
      <c r="C358" s="12">
        <v>1</v>
      </c>
      <c r="D358" s="12">
        <v>133</v>
      </c>
      <c r="E358" s="12">
        <v>26.771999999999998</v>
      </c>
      <c r="F358" s="12">
        <v>133.23130799999998</v>
      </c>
      <c r="G358" s="12">
        <f t="shared" si="10"/>
        <v>0.2313079999999843</v>
      </c>
      <c r="H358" s="12">
        <f t="shared" si="11"/>
        <v>0.2313079999999843</v>
      </c>
    </row>
    <row r="359" spans="1:8" x14ac:dyDescent="0.3">
      <c r="A359" s="12">
        <v>358</v>
      </c>
      <c r="B359" s="12" t="s">
        <v>372</v>
      </c>
      <c r="C359" s="12">
        <v>2</v>
      </c>
      <c r="D359" s="12">
        <v>107</v>
      </c>
      <c r="E359" s="12">
        <v>21.635000000000002</v>
      </c>
      <c r="F359" s="12">
        <v>108.11651500000002</v>
      </c>
      <c r="G359" s="12">
        <f t="shared" si="10"/>
        <v>1.116515000000021</v>
      </c>
      <c r="H359" s="12">
        <f t="shared" si="11"/>
        <v>1.116515000000021</v>
      </c>
    </row>
    <row r="360" spans="1:8" x14ac:dyDescent="0.3">
      <c r="A360" s="12">
        <v>359</v>
      </c>
      <c r="B360" s="12" t="s">
        <v>373</v>
      </c>
      <c r="C360" s="12">
        <v>3</v>
      </c>
      <c r="D360" s="12">
        <v>110</v>
      </c>
      <c r="E360" s="12">
        <v>22.265999999999998</v>
      </c>
      <c r="F360" s="12">
        <v>111.201474</v>
      </c>
      <c r="G360" s="12">
        <f t="shared" si="10"/>
        <v>1.2014740000000046</v>
      </c>
      <c r="H360" s="12">
        <f t="shared" si="11"/>
        <v>1.2014740000000046</v>
      </c>
    </row>
    <row r="361" spans="1:8" x14ac:dyDescent="0.3">
      <c r="A361" s="12">
        <v>360</v>
      </c>
      <c r="B361" s="12" t="s">
        <v>374</v>
      </c>
      <c r="C361" s="12">
        <v>5</v>
      </c>
      <c r="D361" s="12">
        <v>98</v>
      </c>
      <c r="E361" s="12">
        <v>19.459</v>
      </c>
      <c r="F361" s="12">
        <v>97.478051000000008</v>
      </c>
      <c r="G361" s="12">
        <f t="shared" si="10"/>
        <v>-0.52194899999999222</v>
      </c>
      <c r="H361" s="12">
        <f t="shared" si="11"/>
        <v>0.52194899999999222</v>
      </c>
    </row>
    <row r="362" spans="1:8" x14ac:dyDescent="0.3">
      <c r="A362" s="12">
        <v>361</v>
      </c>
      <c r="B362" s="12" t="s">
        <v>375</v>
      </c>
      <c r="C362" s="12">
        <v>3</v>
      </c>
      <c r="D362" s="12">
        <v>93</v>
      </c>
      <c r="E362" s="12">
        <v>18.71</v>
      </c>
      <c r="F362" s="12">
        <v>93.816190000000006</v>
      </c>
      <c r="G362" s="12">
        <f t="shared" si="10"/>
        <v>0.81619000000000597</v>
      </c>
      <c r="H362" s="12">
        <f t="shared" si="11"/>
        <v>0.81619000000000597</v>
      </c>
    </row>
    <row r="363" spans="1:8" x14ac:dyDescent="0.3">
      <c r="A363" s="12">
        <v>362</v>
      </c>
      <c r="B363" s="12" t="s">
        <v>376</v>
      </c>
      <c r="C363" s="12">
        <v>1</v>
      </c>
      <c r="D363" s="12">
        <v>89</v>
      </c>
      <c r="E363" s="12">
        <v>18.306999999999999</v>
      </c>
      <c r="F363" s="12">
        <v>91.845922999999999</v>
      </c>
      <c r="G363" s="12">
        <f t="shared" si="10"/>
        <v>2.8459229999999991</v>
      </c>
      <c r="H363" s="12">
        <f t="shared" si="11"/>
        <v>2.8459229999999991</v>
      </c>
    </row>
    <row r="364" spans="1:8" x14ac:dyDescent="0.3">
      <c r="A364" s="12">
        <v>363</v>
      </c>
      <c r="B364" s="12" t="s">
        <v>377</v>
      </c>
      <c r="C364" s="12">
        <v>1</v>
      </c>
      <c r="D364" s="12">
        <v>94</v>
      </c>
      <c r="E364" s="12">
        <v>19.303999999999998</v>
      </c>
      <c r="F364" s="12">
        <v>96.720256000000006</v>
      </c>
      <c r="G364" s="12">
        <f t="shared" si="10"/>
        <v>2.7202560000000062</v>
      </c>
      <c r="H364" s="12">
        <f t="shared" si="11"/>
        <v>2.7202560000000062</v>
      </c>
    </row>
    <row r="365" spans="1:8" x14ac:dyDescent="0.3">
      <c r="A365" s="12">
        <v>364</v>
      </c>
      <c r="B365" s="12" t="s">
        <v>378</v>
      </c>
      <c r="C365" s="12">
        <v>5</v>
      </c>
      <c r="D365" s="12">
        <v>117</v>
      </c>
      <c r="E365" s="12">
        <v>23.39</v>
      </c>
      <c r="F365" s="12">
        <v>116.69671000000001</v>
      </c>
      <c r="G365" s="12">
        <f t="shared" si="10"/>
        <v>-0.30328999999998985</v>
      </c>
      <c r="H365" s="12">
        <f t="shared" si="11"/>
        <v>0.30328999999998985</v>
      </c>
    </row>
    <row r="366" spans="1:8" x14ac:dyDescent="0.3">
      <c r="A366" s="12">
        <v>365</v>
      </c>
      <c r="B366" s="12" t="s">
        <v>379</v>
      </c>
      <c r="C366" s="12">
        <v>3</v>
      </c>
      <c r="D366" s="12">
        <v>93</v>
      </c>
      <c r="E366" s="12">
        <v>18.649999999999999</v>
      </c>
      <c r="F366" s="12">
        <v>93.522850000000005</v>
      </c>
      <c r="G366" s="12">
        <f t="shared" si="10"/>
        <v>0.52285000000000537</v>
      </c>
      <c r="H366" s="12">
        <f t="shared" si="11"/>
        <v>0.52285000000000537</v>
      </c>
    </row>
    <row r="367" spans="1:8" x14ac:dyDescent="0.3">
      <c r="A367" s="12">
        <v>366</v>
      </c>
      <c r="B367" s="12" t="s">
        <v>380</v>
      </c>
      <c r="C367" s="12">
        <v>2</v>
      </c>
      <c r="D367" s="12">
        <v>100</v>
      </c>
      <c r="E367" s="12">
        <v>20.396000000000001</v>
      </c>
      <c r="F367" s="12">
        <v>102.05904400000001</v>
      </c>
      <c r="G367" s="12">
        <f t="shared" si="10"/>
        <v>2.0590440000000143</v>
      </c>
      <c r="H367" s="12">
        <f t="shared" si="11"/>
        <v>2.0590440000000143</v>
      </c>
    </row>
    <row r="368" spans="1:8" x14ac:dyDescent="0.3">
      <c r="A368" s="12">
        <v>367</v>
      </c>
      <c r="B368" s="12" t="s">
        <v>381</v>
      </c>
      <c r="C368" s="12">
        <v>5</v>
      </c>
      <c r="D368" s="12">
        <v>123</v>
      </c>
      <c r="E368" s="12">
        <v>24.065000000000001</v>
      </c>
      <c r="F368" s="12">
        <v>119.99678500000002</v>
      </c>
      <c r="G368" s="12">
        <f t="shared" si="10"/>
        <v>-3.0032149999999831</v>
      </c>
      <c r="H368" s="12">
        <f t="shared" si="11"/>
        <v>3.0032149999999831</v>
      </c>
    </row>
    <row r="369" spans="1:8" x14ac:dyDescent="0.3">
      <c r="A369" s="12">
        <v>368</v>
      </c>
      <c r="B369" s="12" t="s">
        <v>382</v>
      </c>
      <c r="C369" s="12">
        <v>2</v>
      </c>
      <c r="D369" s="12">
        <v>115</v>
      </c>
      <c r="E369" s="12">
        <v>22.885000000000002</v>
      </c>
      <c r="F369" s="12">
        <v>114.22776500000002</v>
      </c>
      <c r="G369" s="12">
        <f t="shared" si="10"/>
        <v>-0.77223499999998069</v>
      </c>
      <c r="H369" s="12">
        <f t="shared" si="11"/>
        <v>0.77223499999998069</v>
      </c>
    </row>
    <row r="370" spans="1:8" x14ac:dyDescent="0.3">
      <c r="A370" s="12">
        <v>369</v>
      </c>
      <c r="B370" s="12" t="s">
        <v>383</v>
      </c>
      <c r="C370" s="12">
        <v>3</v>
      </c>
      <c r="D370" s="12">
        <v>112</v>
      </c>
      <c r="E370" s="12">
        <v>22.876000000000001</v>
      </c>
      <c r="F370" s="12">
        <v>114.18376400000001</v>
      </c>
      <c r="G370" s="12">
        <f t="shared" si="10"/>
        <v>2.1837640000000107</v>
      </c>
      <c r="H370" s="12">
        <f t="shared" si="11"/>
        <v>2.1837640000000107</v>
      </c>
    </row>
    <row r="371" spans="1:8" x14ac:dyDescent="0.3">
      <c r="A371" s="12">
        <v>370</v>
      </c>
      <c r="B371" s="12" t="s">
        <v>384</v>
      </c>
      <c r="C371" s="12">
        <v>2</v>
      </c>
      <c r="D371" s="12">
        <v>95</v>
      </c>
      <c r="E371" s="12">
        <v>19.347000000000001</v>
      </c>
      <c r="F371" s="12">
        <v>96.930483000000009</v>
      </c>
      <c r="G371" s="12">
        <f t="shared" si="10"/>
        <v>1.9304830000000095</v>
      </c>
      <c r="H371" s="12">
        <f t="shared" si="11"/>
        <v>1.9304830000000095</v>
      </c>
    </row>
    <row r="372" spans="1:8" x14ac:dyDescent="0.3">
      <c r="A372" s="12">
        <v>371</v>
      </c>
      <c r="B372" s="12" t="s">
        <v>385</v>
      </c>
      <c r="C372" s="12">
        <v>4</v>
      </c>
      <c r="D372" s="12">
        <v>98</v>
      </c>
      <c r="E372" s="12">
        <v>19.731999999999999</v>
      </c>
      <c r="F372" s="12">
        <v>98.812747999999999</v>
      </c>
      <c r="G372" s="12">
        <f t="shared" si="10"/>
        <v>0.81274799999999914</v>
      </c>
      <c r="H372" s="12">
        <f t="shared" si="11"/>
        <v>0.81274799999999914</v>
      </c>
    </row>
    <row r="373" spans="1:8" x14ac:dyDescent="0.3">
      <c r="A373" s="12">
        <v>372</v>
      </c>
      <c r="B373" s="12" t="s">
        <v>386</v>
      </c>
      <c r="C373" s="12">
        <v>1</v>
      </c>
      <c r="D373" s="12">
        <v>109</v>
      </c>
      <c r="E373" s="12">
        <v>21.263999999999999</v>
      </c>
      <c r="F373" s="12">
        <v>106.30269600000001</v>
      </c>
      <c r="G373" s="12">
        <f t="shared" si="10"/>
        <v>-2.6973039999999884</v>
      </c>
      <c r="H373" s="12">
        <f t="shared" si="11"/>
        <v>2.6973039999999884</v>
      </c>
    </row>
    <row r="374" spans="1:8" x14ac:dyDescent="0.3">
      <c r="A374" s="12">
        <v>373</v>
      </c>
      <c r="B374" s="12" t="s">
        <v>387</v>
      </c>
      <c r="C374" s="12">
        <v>5</v>
      </c>
      <c r="D374" s="12">
        <v>115</v>
      </c>
      <c r="E374" s="12">
        <v>22.981999999999999</v>
      </c>
      <c r="F374" s="12">
        <v>114.701998</v>
      </c>
      <c r="G374" s="12">
        <f t="shared" si="10"/>
        <v>-0.29800199999999677</v>
      </c>
      <c r="H374" s="12">
        <f t="shared" si="11"/>
        <v>0.29800199999999677</v>
      </c>
    </row>
    <row r="375" spans="1:8" x14ac:dyDescent="0.3">
      <c r="A375" s="12">
        <v>374</v>
      </c>
      <c r="B375" s="12" t="s">
        <v>388</v>
      </c>
      <c r="C375" s="12">
        <v>2</v>
      </c>
      <c r="D375" s="12">
        <v>96</v>
      </c>
      <c r="E375" s="12">
        <v>18.989999999999998</v>
      </c>
      <c r="F375" s="12">
        <v>95.185109999999995</v>
      </c>
      <c r="G375" s="12">
        <f t="shared" si="10"/>
        <v>-0.81489000000000544</v>
      </c>
      <c r="H375" s="12">
        <f t="shared" si="11"/>
        <v>0.81489000000000544</v>
      </c>
    </row>
    <row r="376" spans="1:8" x14ac:dyDescent="0.3">
      <c r="A376" s="12">
        <v>375</v>
      </c>
      <c r="B376" s="12" t="s">
        <v>389</v>
      </c>
      <c r="C376" s="12">
        <v>1</v>
      </c>
      <c r="D376" s="12">
        <v>91</v>
      </c>
      <c r="E376" s="12">
        <v>18.318000000000001</v>
      </c>
      <c r="F376" s="12">
        <v>91.899702000000019</v>
      </c>
      <c r="G376" s="12">
        <f t="shared" si="10"/>
        <v>0.8997020000000191</v>
      </c>
      <c r="H376" s="12">
        <f t="shared" si="11"/>
        <v>0.8997020000000191</v>
      </c>
    </row>
    <row r="377" spans="1:8" x14ac:dyDescent="0.3">
      <c r="A377" s="12">
        <v>376</v>
      </c>
      <c r="B377" s="12" t="s">
        <v>390</v>
      </c>
      <c r="C377" s="12">
        <v>2</v>
      </c>
      <c r="D377" s="12">
        <v>95</v>
      </c>
      <c r="E377" s="12">
        <v>18.712</v>
      </c>
      <c r="F377" s="12">
        <v>93.825968000000003</v>
      </c>
      <c r="G377" s="12">
        <f t="shared" si="10"/>
        <v>-1.1740319999999969</v>
      </c>
      <c r="H377" s="12">
        <f t="shared" si="11"/>
        <v>1.1740319999999969</v>
      </c>
    </row>
    <row r="378" spans="1:8" x14ac:dyDescent="0.3">
      <c r="A378" s="12">
        <v>377</v>
      </c>
      <c r="B378" s="12" t="s">
        <v>391</v>
      </c>
      <c r="C378" s="12">
        <v>3</v>
      </c>
      <c r="D378" s="12">
        <v>121</v>
      </c>
      <c r="E378" s="12">
        <v>23.835000000000001</v>
      </c>
      <c r="F378" s="12">
        <v>118.87231500000001</v>
      </c>
      <c r="G378" s="12">
        <f t="shared" si="10"/>
        <v>-2.1276849999999854</v>
      </c>
      <c r="H378" s="12">
        <f t="shared" si="11"/>
        <v>2.1276849999999854</v>
      </c>
    </row>
    <row r="379" spans="1:8" x14ac:dyDescent="0.3">
      <c r="A379" s="12">
        <v>378</v>
      </c>
      <c r="B379" s="12" t="s">
        <v>392</v>
      </c>
      <c r="C379" s="12">
        <v>1</v>
      </c>
      <c r="D379" s="12">
        <v>98</v>
      </c>
      <c r="E379" s="12">
        <v>18.864000000000001</v>
      </c>
      <c r="F379" s="12">
        <v>94.569096000000016</v>
      </c>
      <c r="G379" s="12">
        <f t="shared" si="10"/>
        <v>-3.430903999999984</v>
      </c>
      <c r="H379" s="12">
        <f t="shared" si="11"/>
        <v>3.430903999999984</v>
      </c>
    </row>
    <row r="380" spans="1:8" x14ac:dyDescent="0.3">
      <c r="A380" s="12">
        <v>379</v>
      </c>
      <c r="B380" s="12" t="s">
        <v>393</v>
      </c>
      <c r="C380" s="12">
        <v>4</v>
      </c>
      <c r="D380" s="12">
        <v>99</v>
      </c>
      <c r="E380" s="12">
        <v>20.234999999999999</v>
      </c>
      <c r="F380" s="12">
        <v>101.27191500000001</v>
      </c>
      <c r="G380" s="12">
        <f t="shared" si="10"/>
        <v>2.271915000000007</v>
      </c>
      <c r="H380" s="12">
        <f t="shared" si="11"/>
        <v>2.271915000000007</v>
      </c>
    </row>
    <row r="381" spans="1:8" x14ac:dyDescent="0.3">
      <c r="A381" s="12">
        <v>380</v>
      </c>
      <c r="B381" s="12" t="s">
        <v>394</v>
      </c>
      <c r="C381" s="12">
        <v>4</v>
      </c>
      <c r="D381" s="12">
        <v>108</v>
      </c>
      <c r="E381" s="12">
        <v>21.457999999999998</v>
      </c>
      <c r="F381" s="12">
        <v>107.25116200000001</v>
      </c>
      <c r="G381" s="12">
        <f t="shared" si="10"/>
        <v>-0.74883799999999212</v>
      </c>
      <c r="H381" s="12">
        <f t="shared" si="11"/>
        <v>0.74883799999999212</v>
      </c>
    </row>
    <row r="382" spans="1:8" x14ac:dyDescent="0.3">
      <c r="A382" s="12">
        <v>381</v>
      </c>
      <c r="B382" s="12" t="s">
        <v>395</v>
      </c>
      <c r="C382" s="12">
        <v>3</v>
      </c>
      <c r="D382" s="12">
        <v>85</v>
      </c>
      <c r="E382" s="12">
        <v>17.056000000000001</v>
      </c>
      <c r="F382" s="12">
        <v>85.729784000000009</v>
      </c>
      <c r="G382" s="12">
        <f t="shared" si="10"/>
        <v>0.72978400000000931</v>
      </c>
      <c r="H382" s="12">
        <f t="shared" si="11"/>
        <v>0.72978400000000931</v>
      </c>
    </row>
    <row r="383" spans="1:8" x14ac:dyDescent="0.3">
      <c r="A383" s="12">
        <v>382</v>
      </c>
      <c r="B383" s="12" t="s">
        <v>396</v>
      </c>
      <c r="C383" s="12">
        <v>1</v>
      </c>
      <c r="D383" s="12">
        <v>107</v>
      </c>
      <c r="E383" s="12">
        <v>21.399000000000001</v>
      </c>
      <c r="F383" s="12">
        <v>106.96271100000001</v>
      </c>
      <c r="G383" s="12">
        <f t="shared" si="10"/>
        <v>-3.7288999999987027E-2</v>
      </c>
      <c r="H383" s="12">
        <f t="shared" si="11"/>
        <v>3.7288999999987027E-2</v>
      </c>
    </row>
    <row r="384" spans="1:8" x14ac:dyDescent="0.3">
      <c r="A384" s="12">
        <v>383</v>
      </c>
      <c r="B384" s="12" t="s">
        <v>397</v>
      </c>
      <c r="C384" s="12">
        <v>3</v>
      </c>
      <c r="D384" s="12">
        <v>112</v>
      </c>
      <c r="E384" s="12">
        <v>22.02</v>
      </c>
      <c r="F384" s="12">
        <v>109.99878000000001</v>
      </c>
      <c r="G384" s="12">
        <f t="shared" si="10"/>
        <v>-2.0012199999999893</v>
      </c>
      <c r="H384" s="12">
        <f t="shared" si="11"/>
        <v>2.0012199999999893</v>
      </c>
    </row>
    <row r="385" spans="1:8" x14ac:dyDescent="0.3">
      <c r="A385" s="12">
        <v>384</v>
      </c>
      <c r="B385" s="12" t="s">
        <v>398</v>
      </c>
      <c r="C385" s="12">
        <v>4</v>
      </c>
      <c r="D385" s="12">
        <v>97</v>
      </c>
      <c r="E385" s="12">
        <v>18.951000000000001</v>
      </c>
      <c r="F385" s="12">
        <v>94.994439000000014</v>
      </c>
      <c r="G385" s="12">
        <f t="shared" si="10"/>
        <v>-2.0055609999999859</v>
      </c>
      <c r="H385" s="12">
        <f t="shared" si="11"/>
        <v>2.0055609999999859</v>
      </c>
    </row>
    <row r="386" spans="1:8" x14ac:dyDescent="0.3">
      <c r="A386" s="12">
        <v>385</v>
      </c>
      <c r="B386" s="12" t="s">
        <v>399</v>
      </c>
      <c r="C386" s="12">
        <v>1</v>
      </c>
      <c r="D386" s="12">
        <v>107</v>
      </c>
      <c r="E386" s="12">
        <v>21.042000000000002</v>
      </c>
      <c r="F386" s="12">
        <v>105.21733800000001</v>
      </c>
      <c r="G386" s="12">
        <f t="shared" si="10"/>
        <v>-1.7826619999999878</v>
      </c>
      <c r="H386" s="12">
        <f t="shared" si="11"/>
        <v>1.7826619999999878</v>
      </c>
    </row>
    <row r="387" spans="1:8" x14ac:dyDescent="0.3">
      <c r="A387" s="12">
        <v>386</v>
      </c>
      <c r="B387" s="12" t="s">
        <v>400</v>
      </c>
      <c r="C387" s="12">
        <v>5</v>
      </c>
      <c r="D387" s="12">
        <v>107</v>
      </c>
      <c r="E387" s="12">
        <v>21.141999999999999</v>
      </c>
      <c r="F387" s="12">
        <v>105.706238</v>
      </c>
      <c r="G387" s="12">
        <f t="shared" ref="G387:G450" si="12">F387-D387</f>
        <v>-1.293762000000001</v>
      </c>
      <c r="H387" s="12">
        <f t="shared" ref="H387:H450" si="13">ABS(F387-D387)</f>
        <v>1.293762000000001</v>
      </c>
    </row>
    <row r="388" spans="1:8" x14ac:dyDescent="0.3">
      <c r="A388" s="12">
        <v>387</v>
      </c>
      <c r="B388" s="12" t="s">
        <v>401</v>
      </c>
      <c r="C388" s="12">
        <v>3</v>
      </c>
      <c r="D388" s="12">
        <v>97</v>
      </c>
      <c r="E388" s="12">
        <v>19.530999999999999</v>
      </c>
      <c r="F388" s="12">
        <v>97.830059000000006</v>
      </c>
      <c r="G388" s="12">
        <f t="shared" si="12"/>
        <v>0.83005900000000565</v>
      </c>
      <c r="H388" s="12">
        <f t="shared" si="13"/>
        <v>0.83005900000000565</v>
      </c>
    </row>
    <row r="389" spans="1:8" x14ac:dyDescent="0.3">
      <c r="A389" s="12">
        <v>388</v>
      </c>
      <c r="B389" s="12" t="s">
        <v>402</v>
      </c>
      <c r="C389" s="12">
        <v>5</v>
      </c>
      <c r="D389" s="12">
        <v>113</v>
      </c>
      <c r="E389" s="12">
        <v>22.317</v>
      </c>
      <c r="F389" s="12">
        <v>111.45081300000001</v>
      </c>
      <c r="G389" s="12">
        <f t="shared" si="12"/>
        <v>-1.5491869999999892</v>
      </c>
      <c r="H389" s="12">
        <f t="shared" si="13"/>
        <v>1.5491869999999892</v>
      </c>
    </row>
    <row r="390" spans="1:8" x14ac:dyDescent="0.3">
      <c r="A390" s="12">
        <v>389</v>
      </c>
      <c r="B390" s="12" t="s">
        <v>403</v>
      </c>
      <c r="C390" s="12">
        <v>1</v>
      </c>
      <c r="D390" s="12">
        <v>100</v>
      </c>
      <c r="E390" s="12">
        <v>20.622</v>
      </c>
      <c r="F390" s="12">
        <v>103.16395800000001</v>
      </c>
      <c r="G390" s="12">
        <f t="shared" si="12"/>
        <v>3.163958000000008</v>
      </c>
      <c r="H390" s="12">
        <f t="shared" si="13"/>
        <v>3.163958000000008</v>
      </c>
    </row>
    <row r="391" spans="1:8" x14ac:dyDescent="0.3">
      <c r="A391" s="12">
        <v>390</v>
      </c>
      <c r="B391" s="12" t="s">
        <v>404</v>
      </c>
      <c r="C391" s="12">
        <v>5</v>
      </c>
      <c r="D391" s="12">
        <v>102</v>
      </c>
      <c r="E391" s="12">
        <v>20.765999999999998</v>
      </c>
      <c r="F391" s="12">
        <v>103.867974</v>
      </c>
      <c r="G391" s="12">
        <f t="shared" si="12"/>
        <v>1.8679740000000038</v>
      </c>
      <c r="H391" s="12">
        <f t="shared" si="13"/>
        <v>1.8679740000000038</v>
      </c>
    </row>
    <row r="392" spans="1:8" x14ac:dyDescent="0.3">
      <c r="A392" s="12">
        <v>391</v>
      </c>
      <c r="B392" s="12" t="s">
        <v>405</v>
      </c>
      <c r="C392" s="12">
        <v>2</v>
      </c>
      <c r="D392" s="12">
        <v>121</v>
      </c>
      <c r="E392" s="12">
        <v>24.488</v>
      </c>
      <c r="F392" s="12">
        <v>122.06483200000001</v>
      </c>
      <c r="G392" s="12">
        <f t="shared" si="12"/>
        <v>1.0648320000000098</v>
      </c>
      <c r="H392" s="12">
        <f t="shared" si="13"/>
        <v>1.0648320000000098</v>
      </c>
    </row>
    <row r="393" spans="1:8" x14ac:dyDescent="0.3">
      <c r="A393" s="12">
        <v>392</v>
      </c>
      <c r="B393" s="12" t="s">
        <v>406</v>
      </c>
      <c r="C393" s="12">
        <v>1</v>
      </c>
      <c r="D393" s="12">
        <v>110</v>
      </c>
      <c r="E393" s="12">
        <v>21.957000000000001</v>
      </c>
      <c r="F393" s="12">
        <v>109.69077300000001</v>
      </c>
      <c r="G393" s="12">
        <f t="shared" si="12"/>
        <v>-0.30922699999999281</v>
      </c>
      <c r="H393" s="12">
        <f t="shared" si="13"/>
        <v>0.30922699999999281</v>
      </c>
    </row>
    <row r="394" spans="1:8" x14ac:dyDescent="0.3">
      <c r="A394" s="12">
        <v>393</v>
      </c>
      <c r="B394" s="12" t="s">
        <v>407</v>
      </c>
      <c r="C394" s="12">
        <v>3</v>
      </c>
      <c r="D394" s="12">
        <v>96</v>
      </c>
      <c r="E394" s="12">
        <v>19.739000000000001</v>
      </c>
      <c r="F394" s="12">
        <v>98.846971000000011</v>
      </c>
      <c r="G394" s="12">
        <f t="shared" si="12"/>
        <v>2.8469710000000106</v>
      </c>
      <c r="H394" s="12">
        <f t="shared" si="13"/>
        <v>2.8469710000000106</v>
      </c>
    </row>
    <row r="395" spans="1:8" x14ac:dyDescent="0.3">
      <c r="A395" s="12">
        <v>394</v>
      </c>
      <c r="B395" s="12" t="s">
        <v>408</v>
      </c>
      <c r="C395" s="12">
        <v>3</v>
      </c>
      <c r="D395" s="12">
        <v>112</v>
      </c>
      <c r="E395" s="12">
        <v>22.321999999999999</v>
      </c>
      <c r="F395" s="12">
        <v>111.47525800000001</v>
      </c>
      <c r="G395" s="12">
        <f t="shared" si="12"/>
        <v>-0.52474199999998916</v>
      </c>
      <c r="H395" s="12">
        <f t="shared" si="13"/>
        <v>0.52474199999998916</v>
      </c>
    </row>
    <row r="396" spans="1:8" x14ac:dyDescent="0.3">
      <c r="A396" s="12">
        <v>395</v>
      </c>
      <c r="B396" s="12" t="s">
        <v>409</v>
      </c>
      <c r="C396" s="12">
        <v>1</v>
      </c>
      <c r="D396" s="12">
        <v>110</v>
      </c>
      <c r="E396" s="12">
        <v>21.989000000000001</v>
      </c>
      <c r="F396" s="12">
        <v>109.84722100000002</v>
      </c>
      <c r="G396" s="12">
        <f t="shared" si="12"/>
        <v>-0.15277899999998112</v>
      </c>
      <c r="H396" s="12">
        <f t="shared" si="13"/>
        <v>0.15277899999998112</v>
      </c>
    </row>
    <row r="397" spans="1:8" x14ac:dyDescent="0.3">
      <c r="A397" s="12">
        <v>396</v>
      </c>
      <c r="B397" s="12" t="s">
        <v>410</v>
      </c>
      <c r="C397" s="12">
        <v>3</v>
      </c>
      <c r="D397" s="12">
        <v>105</v>
      </c>
      <c r="E397" s="12">
        <v>21.061</v>
      </c>
      <c r="F397" s="12">
        <v>105.31022900000001</v>
      </c>
      <c r="G397" s="12">
        <f t="shared" si="12"/>
        <v>0.31022900000000675</v>
      </c>
      <c r="H397" s="12">
        <f t="shared" si="13"/>
        <v>0.31022900000000675</v>
      </c>
    </row>
    <row r="398" spans="1:8" x14ac:dyDescent="0.3">
      <c r="A398" s="12">
        <v>397</v>
      </c>
      <c r="B398" s="12" t="s">
        <v>411</v>
      </c>
      <c r="C398" s="12">
        <v>3</v>
      </c>
      <c r="D398" s="12">
        <v>95</v>
      </c>
      <c r="E398" s="12">
        <v>19.25</v>
      </c>
      <c r="F398" s="12">
        <v>96.456250000000011</v>
      </c>
      <c r="G398" s="12">
        <f t="shared" si="12"/>
        <v>1.4562500000000114</v>
      </c>
      <c r="H398" s="12">
        <f t="shared" si="13"/>
        <v>1.4562500000000114</v>
      </c>
    </row>
    <row r="399" spans="1:8" x14ac:dyDescent="0.3">
      <c r="A399" s="12">
        <v>398</v>
      </c>
      <c r="B399" s="12" t="s">
        <v>412</v>
      </c>
      <c r="C399" s="12">
        <v>4</v>
      </c>
      <c r="D399" s="12">
        <v>103</v>
      </c>
      <c r="E399" s="12">
        <v>20.827000000000002</v>
      </c>
      <c r="F399" s="12">
        <v>104.16620300000001</v>
      </c>
      <c r="G399" s="12">
        <f t="shared" si="12"/>
        <v>1.1662030000000101</v>
      </c>
      <c r="H399" s="12">
        <f t="shared" si="13"/>
        <v>1.1662030000000101</v>
      </c>
    </row>
    <row r="400" spans="1:8" x14ac:dyDescent="0.3">
      <c r="A400" s="12">
        <v>399</v>
      </c>
      <c r="B400" s="12" t="s">
        <v>413</v>
      </c>
      <c r="C400" s="12">
        <v>4</v>
      </c>
      <c r="D400" s="12">
        <v>85</v>
      </c>
      <c r="E400" s="12">
        <v>16.831</v>
      </c>
      <c r="F400" s="12">
        <v>84.629759000000007</v>
      </c>
      <c r="G400" s="12">
        <f t="shared" si="12"/>
        <v>-0.37024099999999294</v>
      </c>
      <c r="H400" s="12">
        <f t="shared" si="13"/>
        <v>0.37024099999999294</v>
      </c>
    </row>
    <row r="401" spans="1:8" x14ac:dyDescent="0.3">
      <c r="A401" s="12">
        <v>400</v>
      </c>
      <c r="B401" s="12" t="s">
        <v>414</v>
      </c>
      <c r="C401" s="12">
        <v>3</v>
      </c>
      <c r="D401" s="12">
        <v>105</v>
      </c>
      <c r="E401" s="12">
        <v>20.81</v>
      </c>
      <c r="F401" s="12">
        <v>104.08309</v>
      </c>
      <c r="G401" s="12">
        <f t="shared" si="12"/>
        <v>-0.91691000000000145</v>
      </c>
      <c r="H401" s="12">
        <f t="shared" si="13"/>
        <v>0.91691000000000145</v>
      </c>
    </row>
    <row r="402" spans="1:8" x14ac:dyDescent="0.3">
      <c r="A402" s="12">
        <v>401</v>
      </c>
      <c r="B402" s="12" t="s">
        <v>415</v>
      </c>
      <c r="C402" s="12">
        <v>2</v>
      </c>
      <c r="D402" s="12">
        <v>92</v>
      </c>
      <c r="E402" s="12">
        <v>18.628</v>
      </c>
      <c r="F402" s="12">
        <v>93.415292000000008</v>
      </c>
      <c r="G402" s="12">
        <f t="shared" si="12"/>
        <v>1.415292000000008</v>
      </c>
      <c r="H402" s="12">
        <f t="shared" si="13"/>
        <v>1.415292000000008</v>
      </c>
    </row>
    <row r="403" spans="1:8" x14ac:dyDescent="0.3">
      <c r="A403" s="12">
        <v>402</v>
      </c>
      <c r="B403" s="12" t="s">
        <v>416</v>
      </c>
      <c r="C403" s="12">
        <v>5</v>
      </c>
      <c r="D403" s="12">
        <v>109</v>
      </c>
      <c r="E403" s="12">
        <v>22.055</v>
      </c>
      <c r="F403" s="12">
        <v>110.16989500000001</v>
      </c>
      <c r="G403" s="12">
        <f t="shared" si="12"/>
        <v>1.169895000000011</v>
      </c>
      <c r="H403" s="12">
        <f t="shared" si="13"/>
        <v>1.169895000000011</v>
      </c>
    </row>
    <row r="404" spans="1:8" x14ac:dyDescent="0.3">
      <c r="A404" s="12">
        <v>403</v>
      </c>
      <c r="B404" s="12" t="s">
        <v>417</v>
      </c>
      <c r="C404" s="12">
        <v>4</v>
      </c>
      <c r="D404" s="12">
        <v>121</v>
      </c>
      <c r="E404" s="12">
        <v>24.06</v>
      </c>
      <c r="F404" s="12">
        <v>119.97234</v>
      </c>
      <c r="G404" s="12">
        <f t="shared" si="12"/>
        <v>-1.0276599999999974</v>
      </c>
      <c r="H404" s="12">
        <f t="shared" si="13"/>
        <v>1.0276599999999974</v>
      </c>
    </row>
    <row r="405" spans="1:8" x14ac:dyDescent="0.3">
      <c r="A405" s="12">
        <v>404</v>
      </c>
      <c r="B405" s="12" t="s">
        <v>418</v>
      </c>
      <c r="C405" s="12">
        <v>4</v>
      </c>
      <c r="D405" s="12">
        <v>116</v>
      </c>
      <c r="E405" s="12">
        <v>22.635000000000002</v>
      </c>
      <c r="F405" s="12">
        <v>113.00551500000002</v>
      </c>
      <c r="G405" s="12">
        <f t="shared" si="12"/>
        <v>-2.9944849999999832</v>
      </c>
      <c r="H405" s="12">
        <f t="shared" si="13"/>
        <v>2.9944849999999832</v>
      </c>
    </row>
    <row r="406" spans="1:8" x14ac:dyDescent="0.3">
      <c r="A406" s="12">
        <v>405</v>
      </c>
      <c r="B406" s="12" t="s">
        <v>419</v>
      </c>
      <c r="C406" s="12">
        <v>2</v>
      </c>
      <c r="D406" s="12">
        <v>129</v>
      </c>
      <c r="E406" s="12">
        <v>25.725999999999999</v>
      </c>
      <c r="F406" s="12">
        <v>128.117414</v>
      </c>
      <c r="G406" s="12">
        <f t="shared" si="12"/>
        <v>-0.88258600000000342</v>
      </c>
      <c r="H406" s="12">
        <f t="shared" si="13"/>
        <v>0.88258600000000342</v>
      </c>
    </row>
    <row r="407" spans="1:8" x14ac:dyDescent="0.3">
      <c r="A407" s="12">
        <v>406</v>
      </c>
      <c r="B407" s="12" t="s">
        <v>420</v>
      </c>
      <c r="C407" s="12">
        <v>2</v>
      </c>
      <c r="D407" s="12">
        <v>102</v>
      </c>
      <c r="E407" s="12">
        <v>20.622</v>
      </c>
      <c r="F407" s="12">
        <v>103.16395800000001</v>
      </c>
      <c r="G407" s="12">
        <f t="shared" si="12"/>
        <v>1.163958000000008</v>
      </c>
      <c r="H407" s="12">
        <f t="shared" si="13"/>
        <v>1.163958000000008</v>
      </c>
    </row>
    <row r="408" spans="1:8" x14ac:dyDescent="0.3">
      <c r="A408" s="12">
        <v>407</v>
      </c>
      <c r="B408" s="12" t="s">
        <v>421</v>
      </c>
      <c r="C408" s="12">
        <v>1</v>
      </c>
      <c r="D408" s="12">
        <v>113</v>
      </c>
      <c r="E408" s="12">
        <v>23.242999999999999</v>
      </c>
      <c r="F408" s="12">
        <v>115.978027</v>
      </c>
      <c r="G408" s="12">
        <f t="shared" si="12"/>
        <v>2.9780269999999973</v>
      </c>
      <c r="H408" s="12">
        <f t="shared" si="13"/>
        <v>2.9780269999999973</v>
      </c>
    </row>
    <row r="409" spans="1:8" x14ac:dyDescent="0.3">
      <c r="A409" s="12">
        <v>408</v>
      </c>
      <c r="B409" s="12" t="s">
        <v>422</v>
      </c>
      <c r="C409" s="12">
        <v>3</v>
      </c>
      <c r="D409" s="12">
        <v>97</v>
      </c>
      <c r="E409" s="12">
        <v>18.972999999999999</v>
      </c>
      <c r="F409" s="12">
        <v>95.101996999999997</v>
      </c>
      <c r="G409" s="12">
        <f t="shared" si="12"/>
        <v>-1.8980030000000028</v>
      </c>
      <c r="H409" s="12">
        <f t="shared" si="13"/>
        <v>1.8980030000000028</v>
      </c>
    </row>
    <row r="410" spans="1:8" x14ac:dyDescent="0.3">
      <c r="A410" s="12">
        <v>409</v>
      </c>
      <c r="B410" s="12" t="s">
        <v>423</v>
      </c>
      <c r="C410" s="12">
        <v>1</v>
      </c>
      <c r="D410" s="12">
        <v>122</v>
      </c>
      <c r="E410" s="12">
        <v>24.248000000000001</v>
      </c>
      <c r="F410" s="12">
        <v>120.89147200000002</v>
      </c>
      <c r="G410" s="12">
        <f t="shared" si="12"/>
        <v>-1.1085279999999784</v>
      </c>
      <c r="H410" s="12">
        <f t="shared" si="13"/>
        <v>1.1085279999999784</v>
      </c>
    </row>
    <row r="411" spans="1:8" x14ac:dyDescent="0.3">
      <c r="A411" s="12">
        <v>410</v>
      </c>
      <c r="B411" s="12" t="s">
        <v>424</v>
      </c>
      <c r="C411" s="12">
        <v>1</v>
      </c>
      <c r="D411" s="12">
        <v>101</v>
      </c>
      <c r="E411" s="12">
        <v>20.061</v>
      </c>
      <c r="F411" s="12">
        <v>100.42122900000001</v>
      </c>
      <c r="G411" s="12">
        <f t="shared" si="12"/>
        <v>-0.57877099999998904</v>
      </c>
      <c r="H411" s="12">
        <f t="shared" si="13"/>
        <v>0.57877099999998904</v>
      </c>
    </row>
    <row r="412" spans="1:8" x14ac:dyDescent="0.3">
      <c r="A412" s="12">
        <v>411</v>
      </c>
      <c r="B412" s="12" t="s">
        <v>425</v>
      </c>
      <c r="C412" s="12">
        <v>1</v>
      </c>
      <c r="D412" s="12">
        <v>93</v>
      </c>
      <c r="E412" s="12">
        <v>19.082999999999998</v>
      </c>
      <c r="F412" s="12">
        <v>95.639786999999998</v>
      </c>
      <c r="G412" s="12">
        <f t="shared" si="12"/>
        <v>2.6397869999999983</v>
      </c>
      <c r="H412" s="12">
        <f t="shared" si="13"/>
        <v>2.6397869999999983</v>
      </c>
    </row>
    <row r="413" spans="1:8" x14ac:dyDescent="0.3">
      <c r="A413" s="12">
        <v>412</v>
      </c>
      <c r="B413" s="12" t="s">
        <v>426</v>
      </c>
      <c r="C413" s="12">
        <v>4</v>
      </c>
      <c r="D413" s="12">
        <v>98</v>
      </c>
      <c r="E413" s="12">
        <v>19.588000000000001</v>
      </c>
      <c r="F413" s="12">
        <v>98.108732000000018</v>
      </c>
      <c r="G413" s="12">
        <f t="shared" si="12"/>
        <v>0.10873200000001759</v>
      </c>
      <c r="H413" s="12">
        <f t="shared" si="13"/>
        <v>0.10873200000001759</v>
      </c>
    </row>
    <row r="414" spans="1:8" x14ac:dyDescent="0.3">
      <c r="A414" s="12">
        <v>413</v>
      </c>
      <c r="B414" s="12" t="s">
        <v>427</v>
      </c>
      <c r="C414" s="12">
        <v>4</v>
      </c>
      <c r="D414" s="12">
        <v>90</v>
      </c>
      <c r="E414" s="12">
        <v>17.677</v>
      </c>
      <c r="F414" s="12">
        <v>88.765853000000007</v>
      </c>
      <c r="G414" s="12">
        <f t="shared" si="12"/>
        <v>-1.234146999999993</v>
      </c>
      <c r="H414" s="12">
        <f t="shared" si="13"/>
        <v>1.234146999999993</v>
      </c>
    </row>
    <row r="415" spans="1:8" x14ac:dyDescent="0.3">
      <c r="A415" s="12">
        <v>414</v>
      </c>
      <c r="B415" s="12" t="s">
        <v>428</v>
      </c>
      <c r="C415" s="12">
        <v>5</v>
      </c>
      <c r="D415" s="12">
        <v>88</v>
      </c>
      <c r="E415" s="12">
        <v>17.798999999999999</v>
      </c>
      <c r="F415" s="12">
        <v>89.362311000000005</v>
      </c>
      <c r="G415" s="12">
        <f t="shared" si="12"/>
        <v>1.3623110000000054</v>
      </c>
      <c r="H415" s="12">
        <f t="shared" si="13"/>
        <v>1.3623110000000054</v>
      </c>
    </row>
    <row r="416" spans="1:8" x14ac:dyDescent="0.3">
      <c r="A416" s="12">
        <v>415</v>
      </c>
      <c r="B416" s="12" t="s">
        <v>429</v>
      </c>
      <c r="C416" s="12">
        <v>1</v>
      </c>
      <c r="D416" s="12">
        <v>96</v>
      </c>
      <c r="E416" s="12">
        <v>19.056000000000001</v>
      </c>
      <c r="F416" s="12">
        <v>95.507784000000015</v>
      </c>
      <c r="G416" s="12">
        <f t="shared" si="12"/>
        <v>-0.49221599999998489</v>
      </c>
      <c r="H416" s="12">
        <f t="shared" si="13"/>
        <v>0.49221599999998489</v>
      </c>
    </row>
    <row r="417" spans="1:8" x14ac:dyDescent="0.3">
      <c r="A417" s="12">
        <v>416</v>
      </c>
      <c r="B417" s="12" t="s">
        <v>430</v>
      </c>
      <c r="C417" s="12">
        <v>1</v>
      </c>
      <c r="D417" s="12">
        <v>100</v>
      </c>
      <c r="E417" s="12">
        <v>19.564</v>
      </c>
      <c r="F417" s="12">
        <v>97.991396000000009</v>
      </c>
      <c r="G417" s="12">
        <f t="shared" si="12"/>
        <v>-2.0086039999999912</v>
      </c>
      <c r="H417" s="12">
        <f t="shared" si="13"/>
        <v>2.0086039999999912</v>
      </c>
    </row>
    <row r="418" spans="1:8" x14ac:dyDescent="0.3">
      <c r="A418" s="12">
        <v>417</v>
      </c>
      <c r="B418" s="12" t="s">
        <v>431</v>
      </c>
      <c r="C418" s="12">
        <v>3</v>
      </c>
      <c r="D418" s="12">
        <v>74</v>
      </c>
      <c r="E418" s="12">
        <v>14.481999999999999</v>
      </c>
      <c r="F418" s="12">
        <v>73.145498000000003</v>
      </c>
      <c r="G418" s="12">
        <f t="shared" si="12"/>
        <v>-0.85450199999999654</v>
      </c>
      <c r="H418" s="12">
        <f t="shared" si="13"/>
        <v>0.85450199999999654</v>
      </c>
    </row>
    <row r="419" spans="1:8" x14ac:dyDescent="0.3">
      <c r="A419" s="12">
        <v>418</v>
      </c>
      <c r="B419" s="12" t="s">
        <v>432</v>
      </c>
      <c r="C419" s="12">
        <v>2</v>
      </c>
      <c r="D419" s="12">
        <v>125</v>
      </c>
      <c r="E419" s="12">
        <v>25.617999999999999</v>
      </c>
      <c r="F419" s="12">
        <v>127.58940200000001</v>
      </c>
      <c r="G419" s="12">
        <f t="shared" si="12"/>
        <v>2.5894020000000069</v>
      </c>
      <c r="H419" s="12">
        <f t="shared" si="13"/>
        <v>2.5894020000000069</v>
      </c>
    </row>
    <row r="420" spans="1:8" x14ac:dyDescent="0.3">
      <c r="A420" s="12">
        <v>419</v>
      </c>
      <c r="B420" s="12" t="s">
        <v>433</v>
      </c>
      <c r="C420" s="12">
        <v>3</v>
      </c>
      <c r="D420" s="12">
        <v>110</v>
      </c>
      <c r="E420" s="12">
        <v>22.137</v>
      </c>
      <c r="F420" s="12">
        <v>110.57079300000001</v>
      </c>
      <c r="G420" s="12">
        <f t="shared" si="12"/>
        <v>0.57079300000000899</v>
      </c>
      <c r="H420" s="12">
        <f t="shared" si="13"/>
        <v>0.57079300000000899</v>
      </c>
    </row>
    <row r="421" spans="1:8" x14ac:dyDescent="0.3">
      <c r="A421" s="12">
        <v>420</v>
      </c>
      <c r="B421" s="12" t="s">
        <v>434</v>
      </c>
      <c r="C421" s="12">
        <v>5</v>
      </c>
      <c r="D421" s="12">
        <v>118</v>
      </c>
      <c r="E421" s="12">
        <v>23.638000000000002</v>
      </c>
      <c r="F421" s="12">
        <v>117.90918200000002</v>
      </c>
      <c r="G421" s="12">
        <f t="shared" si="12"/>
        <v>-9.0817999999984522E-2</v>
      </c>
      <c r="H421" s="12">
        <f t="shared" si="13"/>
        <v>9.0817999999984522E-2</v>
      </c>
    </row>
    <row r="422" spans="1:8" x14ac:dyDescent="0.3">
      <c r="A422" s="12">
        <v>421</v>
      </c>
      <c r="B422" s="12" t="s">
        <v>435</v>
      </c>
      <c r="C422" s="12">
        <v>3</v>
      </c>
      <c r="D422" s="12">
        <v>107</v>
      </c>
      <c r="E422" s="12">
        <v>21.311</v>
      </c>
      <c r="F422" s="12">
        <v>106.53247900000001</v>
      </c>
      <c r="G422" s="12">
        <f t="shared" si="12"/>
        <v>-0.46752099999999075</v>
      </c>
      <c r="H422" s="12">
        <f t="shared" si="13"/>
        <v>0.46752099999999075</v>
      </c>
    </row>
    <row r="423" spans="1:8" x14ac:dyDescent="0.3">
      <c r="A423" s="12">
        <v>422</v>
      </c>
      <c r="B423" s="12" t="s">
        <v>436</v>
      </c>
      <c r="C423" s="12">
        <v>4</v>
      </c>
      <c r="D423" s="12">
        <v>109</v>
      </c>
      <c r="E423" s="12">
        <v>21.904</v>
      </c>
      <c r="F423" s="12">
        <v>109.431656</v>
      </c>
      <c r="G423" s="12">
        <f t="shared" si="12"/>
        <v>0.43165600000000381</v>
      </c>
      <c r="H423" s="12">
        <f t="shared" si="13"/>
        <v>0.43165600000000381</v>
      </c>
    </row>
    <row r="424" spans="1:8" x14ac:dyDescent="0.3">
      <c r="A424" s="12">
        <v>423</v>
      </c>
      <c r="B424" s="12" t="s">
        <v>437</v>
      </c>
      <c r="C424" s="12">
        <v>4</v>
      </c>
      <c r="D424" s="12">
        <v>101</v>
      </c>
      <c r="E424" s="12">
        <v>20.3</v>
      </c>
      <c r="F424" s="12">
        <v>101.58970000000001</v>
      </c>
      <c r="G424" s="12">
        <f t="shared" si="12"/>
        <v>0.58970000000000766</v>
      </c>
      <c r="H424" s="12">
        <f t="shared" si="13"/>
        <v>0.58970000000000766</v>
      </c>
    </row>
    <row r="425" spans="1:8" x14ac:dyDescent="0.3">
      <c r="A425" s="12">
        <v>424</v>
      </c>
      <c r="B425" s="12" t="s">
        <v>438</v>
      </c>
      <c r="C425" s="12">
        <v>2</v>
      </c>
      <c r="D425" s="12">
        <v>115</v>
      </c>
      <c r="E425" s="12">
        <v>23.103999999999999</v>
      </c>
      <c r="F425" s="12">
        <v>115.298456</v>
      </c>
      <c r="G425" s="12">
        <f t="shared" si="12"/>
        <v>0.29845600000000161</v>
      </c>
      <c r="H425" s="12">
        <f t="shared" si="13"/>
        <v>0.29845600000000161</v>
      </c>
    </row>
    <row r="426" spans="1:8" x14ac:dyDescent="0.3">
      <c r="A426" s="12">
        <v>425</v>
      </c>
      <c r="B426" s="12" t="s">
        <v>439</v>
      </c>
      <c r="C426" s="12">
        <v>4</v>
      </c>
      <c r="D426" s="12">
        <v>131</v>
      </c>
      <c r="E426" s="12">
        <v>26.241</v>
      </c>
      <c r="F426" s="12">
        <v>130.63524899999999</v>
      </c>
      <c r="G426" s="12">
        <f t="shared" si="12"/>
        <v>-0.36475100000001248</v>
      </c>
      <c r="H426" s="12">
        <f t="shared" si="13"/>
        <v>0.36475100000001248</v>
      </c>
    </row>
    <row r="427" spans="1:8" x14ac:dyDescent="0.3">
      <c r="A427" s="12">
        <v>426</v>
      </c>
      <c r="B427" s="12" t="s">
        <v>440</v>
      </c>
      <c r="C427" s="12">
        <v>4</v>
      </c>
      <c r="D427" s="12">
        <v>104</v>
      </c>
      <c r="E427" s="12">
        <v>21.109000000000002</v>
      </c>
      <c r="F427" s="12">
        <v>105.54490100000001</v>
      </c>
      <c r="G427" s="12">
        <f t="shared" si="12"/>
        <v>1.5449010000000101</v>
      </c>
      <c r="H427" s="12">
        <f t="shared" si="13"/>
        <v>1.5449010000000101</v>
      </c>
    </row>
    <row r="428" spans="1:8" x14ac:dyDescent="0.3">
      <c r="A428" s="12">
        <v>427</v>
      </c>
      <c r="B428" s="12" t="s">
        <v>441</v>
      </c>
      <c r="C428" s="12">
        <v>2</v>
      </c>
      <c r="D428" s="12">
        <v>135</v>
      </c>
      <c r="E428" s="12">
        <v>27.007999999999999</v>
      </c>
      <c r="F428" s="12">
        <v>134.38511199999999</v>
      </c>
      <c r="G428" s="12">
        <f t="shared" si="12"/>
        <v>-0.61488800000000765</v>
      </c>
      <c r="H428" s="12">
        <f t="shared" si="13"/>
        <v>0.61488800000000765</v>
      </c>
    </row>
    <row r="429" spans="1:8" x14ac:dyDescent="0.3">
      <c r="A429" s="12">
        <v>428</v>
      </c>
      <c r="B429" s="12" t="s">
        <v>442</v>
      </c>
      <c r="C429" s="12">
        <v>5</v>
      </c>
      <c r="D429" s="12">
        <v>76</v>
      </c>
      <c r="E429" s="12">
        <v>14.852</v>
      </c>
      <c r="F429" s="12">
        <v>74.954428000000007</v>
      </c>
      <c r="G429" s="12">
        <f t="shared" si="12"/>
        <v>-1.0455719999999928</v>
      </c>
      <c r="H429" s="12">
        <f t="shared" si="13"/>
        <v>1.0455719999999928</v>
      </c>
    </row>
    <row r="430" spans="1:8" x14ac:dyDescent="0.3">
      <c r="A430" s="12">
        <v>429</v>
      </c>
      <c r="B430" s="12" t="s">
        <v>443</v>
      </c>
      <c r="C430" s="12">
        <v>2</v>
      </c>
      <c r="D430" s="12">
        <v>108</v>
      </c>
      <c r="E430" s="12">
        <v>21.382000000000001</v>
      </c>
      <c r="F430" s="12">
        <v>106.87959800000002</v>
      </c>
      <c r="G430" s="12">
        <f t="shared" si="12"/>
        <v>-1.1204019999999844</v>
      </c>
      <c r="H430" s="12">
        <f t="shared" si="13"/>
        <v>1.1204019999999844</v>
      </c>
    </row>
    <row r="431" spans="1:8" x14ac:dyDescent="0.3">
      <c r="A431" s="12">
        <v>430</v>
      </c>
      <c r="B431" s="12" t="s">
        <v>444</v>
      </c>
      <c r="C431" s="12">
        <v>4</v>
      </c>
      <c r="D431" s="12">
        <v>86</v>
      </c>
      <c r="E431" s="12">
        <v>16.495000000000001</v>
      </c>
      <c r="F431" s="12">
        <v>82.987055000000012</v>
      </c>
      <c r="G431" s="12">
        <f t="shared" si="12"/>
        <v>-3.0129449999999878</v>
      </c>
      <c r="H431" s="12">
        <f t="shared" si="13"/>
        <v>3.0129449999999878</v>
      </c>
    </row>
    <row r="432" spans="1:8" x14ac:dyDescent="0.3">
      <c r="A432" s="12">
        <v>431</v>
      </c>
      <c r="B432" s="12" t="s">
        <v>445</v>
      </c>
      <c r="C432" s="12">
        <v>4</v>
      </c>
      <c r="D432" s="12">
        <v>109</v>
      </c>
      <c r="E432" s="12">
        <v>22.521999999999998</v>
      </c>
      <c r="F432" s="12">
        <v>112.453058</v>
      </c>
      <c r="G432" s="12">
        <f t="shared" si="12"/>
        <v>3.4530579999999986</v>
      </c>
      <c r="H432" s="12">
        <f t="shared" si="13"/>
        <v>3.4530579999999986</v>
      </c>
    </row>
    <row r="433" spans="1:8" x14ac:dyDescent="0.3">
      <c r="A433" s="12">
        <v>432</v>
      </c>
      <c r="B433" s="12" t="s">
        <v>446</v>
      </c>
      <c r="C433" s="12">
        <v>1</v>
      </c>
      <c r="D433" s="12">
        <v>79</v>
      </c>
      <c r="E433" s="12">
        <v>16.106999999999999</v>
      </c>
      <c r="F433" s="12">
        <v>81.090123000000006</v>
      </c>
      <c r="G433" s="12">
        <f t="shared" si="12"/>
        <v>2.0901230000000055</v>
      </c>
      <c r="H433" s="12">
        <f t="shared" si="13"/>
        <v>2.0901230000000055</v>
      </c>
    </row>
    <row r="434" spans="1:8" x14ac:dyDescent="0.3">
      <c r="A434" s="12">
        <v>433</v>
      </c>
      <c r="B434" s="12" t="s">
        <v>447</v>
      </c>
      <c r="C434" s="12">
        <v>3</v>
      </c>
      <c r="D434" s="12">
        <v>97</v>
      </c>
      <c r="E434" s="12">
        <v>19.103999999999999</v>
      </c>
      <c r="F434" s="12">
        <v>95.742456000000004</v>
      </c>
      <c r="G434" s="12">
        <f t="shared" si="12"/>
        <v>-1.2575439999999958</v>
      </c>
      <c r="H434" s="12">
        <f t="shared" si="13"/>
        <v>1.2575439999999958</v>
      </c>
    </row>
    <row r="435" spans="1:8" x14ac:dyDescent="0.3">
      <c r="A435" s="12">
        <v>434</v>
      </c>
      <c r="B435" s="12" t="s">
        <v>448</v>
      </c>
      <c r="C435" s="12">
        <v>2</v>
      </c>
      <c r="D435" s="12">
        <v>83</v>
      </c>
      <c r="E435" s="12">
        <v>16.5</v>
      </c>
      <c r="F435" s="12">
        <v>83.011500000000012</v>
      </c>
      <c r="G435" s="12">
        <f t="shared" si="12"/>
        <v>1.1500000000012278E-2</v>
      </c>
      <c r="H435" s="12">
        <f t="shared" si="13"/>
        <v>1.1500000000012278E-2</v>
      </c>
    </row>
    <row r="436" spans="1:8" x14ac:dyDescent="0.3">
      <c r="A436" s="12">
        <v>435</v>
      </c>
      <c r="B436" s="12" t="s">
        <v>449</v>
      </c>
      <c r="C436" s="12">
        <v>4</v>
      </c>
      <c r="D436" s="12">
        <v>119</v>
      </c>
      <c r="E436" s="12">
        <v>23.573</v>
      </c>
      <c r="F436" s="12">
        <v>117.59139700000001</v>
      </c>
      <c r="G436" s="12">
        <f t="shared" si="12"/>
        <v>-1.4086029999999852</v>
      </c>
      <c r="H436" s="12">
        <f t="shared" si="13"/>
        <v>1.4086029999999852</v>
      </c>
    </row>
    <row r="437" spans="1:8" x14ac:dyDescent="0.3">
      <c r="A437" s="12">
        <v>436</v>
      </c>
      <c r="B437" s="12" t="s">
        <v>450</v>
      </c>
      <c r="C437" s="12">
        <v>5</v>
      </c>
      <c r="D437" s="12">
        <v>122</v>
      </c>
      <c r="E437" s="12">
        <v>24.949000000000002</v>
      </c>
      <c r="F437" s="12">
        <v>124.31866100000002</v>
      </c>
      <c r="G437" s="12">
        <f t="shared" si="12"/>
        <v>2.3186610000000201</v>
      </c>
      <c r="H437" s="12">
        <f t="shared" si="13"/>
        <v>2.3186610000000201</v>
      </c>
    </row>
    <row r="438" spans="1:8" x14ac:dyDescent="0.3">
      <c r="A438" s="12">
        <v>437</v>
      </c>
      <c r="B438" s="12" t="s">
        <v>451</v>
      </c>
      <c r="C438" s="12">
        <v>3</v>
      </c>
      <c r="D438" s="12">
        <v>130</v>
      </c>
      <c r="E438" s="12">
        <v>25.494</v>
      </c>
      <c r="F438" s="12">
        <v>126.98316600000001</v>
      </c>
      <c r="G438" s="12">
        <f t="shared" si="12"/>
        <v>-3.0168339999999887</v>
      </c>
      <c r="H438" s="12">
        <f t="shared" si="13"/>
        <v>3.0168339999999887</v>
      </c>
    </row>
    <row r="439" spans="1:8" x14ac:dyDescent="0.3">
      <c r="A439" s="12">
        <v>438</v>
      </c>
      <c r="B439" s="12" t="s">
        <v>452</v>
      </c>
      <c r="C439" s="12">
        <v>2</v>
      </c>
      <c r="D439" s="12">
        <v>99</v>
      </c>
      <c r="E439" s="12">
        <v>19.841000000000001</v>
      </c>
      <c r="F439" s="12">
        <v>99.345649000000009</v>
      </c>
      <c r="G439" s="12">
        <f t="shared" si="12"/>
        <v>0.34564900000000875</v>
      </c>
      <c r="H439" s="12">
        <f t="shared" si="13"/>
        <v>0.34564900000000875</v>
      </c>
    </row>
    <row r="440" spans="1:8" x14ac:dyDescent="0.3">
      <c r="A440" s="12">
        <v>439</v>
      </c>
      <c r="B440" s="12" t="s">
        <v>453</v>
      </c>
      <c r="C440" s="12">
        <v>1</v>
      </c>
      <c r="D440" s="12">
        <v>94</v>
      </c>
      <c r="E440" s="12">
        <v>18.760999999999999</v>
      </c>
      <c r="F440" s="12">
        <v>94.065528999999998</v>
      </c>
      <c r="G440" s="12">
        <f t="shared" si="12"/>
        <v>6.552899999999795E-2</v>
      </c>
      <c r="H440" s="12">
        <f t="shared" si="13"/>
        <v>6.552899999999795E-2</v>
      </c>
    </row>
    <row r="441" spans="1:8" x14ac:dyDescent="0.3">
      <c r="A441" s="12">
        <v>440</v>
      </c>
      <c r="B441" s="12" t="s">
        <v>454</v>
      </c>
      <c r="C441" s="12">
        <v>3</v>
      </c>
      <c r="D441" s="12">
        <v>88</v>
      </c>
      <c r="E441" s="12">
        <v>17.895</v>
      </c>
      <c r="F441" s="12">
        <v>89.831655000000012</v>
      </c>
      <c r="G441" s="12">
        <f t="shared" si="12"/>
        <v>1.831655000000012</v>
      </c>
      <c r="H441" s="12">
        <f t="shared" si="13"/>
        <v>1.831655000000012</v>
      </c>
    </row>
    <row r="442" spans="1:8" x14ac:dyDescent="0.3">
      <c r="A442" s="12">
        <v>441</v>
      </c>
      <c r="B442" s="12" t="s">
        <v>455</v>
      </c>
      <c r="C442" s="12">
        <v>1</v>
      </c>
      <c r="D442" s="12">
        <v>109</v>
      </c>
      <c r="E442" s="12">
        <v>21.763000000000002</v>
      </c>
      <c r="F442" s="12">
        <v>108.74230700000001</v>
      </c>
      <c r="G442" s="12">
        <f t="shared" si="12"/>
        <v>-0.25769299999998907</v>
      </c>
      <c r="H442" s="12">
        <f t="shared" si="13"/>
        <v>0.25769299999998907</v>
      </c>
    </row>
    <row r="443" spans="1:8" x14ac:dyDescent="0.3">
      <c r="A443" s="12">
        <v>442</v>
      </c>
      <c r="B443" s="12" t="s">
        <v>456</v>
      </c>
      <c r="C443" s="12">
        <v>5</v>
      </c>
      <c r="D443" s="12">
        <v>114</v>
      </c>
      <c r="E443" s="12">
        <v>22.173999999999999</v>
      </c>
      <c r="F443" s="12">
        <v>110.75168600000001</v>
      </c>
      <c r="G443" s="12">
        <f t="shared" si="12"/>
        <v>-3.2483139999999935</v>
      </c>
      <c r="H443" s="12">
        <f t="shared" si="13"/>
        <v>3.2483139999999935</v>
      </c>
    </row>
    <row r="444" spans="1:8" x14ac:dyDescent="0.3">
      <c r="A444" s="12">
        <v>443</v>
      </c>
      <c r="B444" s="12" t="s">
        <v>457</v>
      </c>
      <c r="C444" s="12">
        <v>3</v>
      </c>
      <c r="D444" s="12">
        <v>117</v>
      </c>
      <c r="E444" s="12">
        <v>23.311</v>
      </c>
      <c r="F444" s="12">
        <v>116.31047900000002</v>
      </c>
      <c r="G444" s="12">
        <f t="shared" si="12"/>
        <v>-0.68952099999998495</v>
      </c>
      <c r="H444" s="12">
        <f t="shared" si="13"/>
        <v>0.68952099999998495</v>
      </c>
    </row>
    <row r="445" spans="1:8" x14ac:dyDescent="0.3">
      <c r="A445" s="12">
        <v>444</v>
      </c>
      <c r="B445" s="12" t="s">
        <v>458</v>
      </c>
      <c r="C445" s="12">
        <v>5</v>
      </c>
      <c r="D445" s="12">
        <v>114</v>
      </c>
      <c r="E445" s="12">
        <v>22.454000000000001</v>
      </c>
      <c r="F445" s="12">
        <v>112.12060600000001</v>
      </c>
      <c r="G445" s="12">
        <f t="shared" si="12"/>
        <v>-1.8793939999999907</v>
      </c>
      <c r="H445" s="12">
        <f t="shared" si="13"/>
        <v>1.8793939999999907</v>
      </c>
    </row>
    <row r="446" spans="1:8" x14ac:dyDescent="0.3">
      <c r="A446" s="12">
        <v>445</v>
      </c>
      <c r="B446" s="12" t="s">
        <v>459</v>
      </c>
      <c r="C446" s="12">
        <v>3</v>
      </c>
      <c r="D446" s="12">
        <v>104</v>
      </c>
      <c r="E446" s="12">
        <v>20.827999999999999</v>
      </c>
      <c r="F446" s="12">
        <v>104.171092</v>
      </c>
      <c r="G446" s="12">
        <f t="shared" si="12"/>
        <v>0.17109200000000158</v>
      </c>
      <c r="H446" s="12">
        <f t="shared" si="13"/>
        <v>0.17109200000000158</v>
      </c>
    </row>
    <row r="447" spans="1:8" x14ac:dyDescent="0.3">
      <c r="A447" s="12">
        <v>446</v>
      </c>
      <c r="B447" s="12" t="s">
        <v>460</v>
      </c>
      <c r="C447" s="12">
        <v>5</v>
      </c>
      <c r="D447" s="12">
        <v>136</v>
      </c>
      <c r="E447" s="12">
        <v>27.710999999999999</v>
      </c>
      <c r="F447" s="12">
        <v>137.822079</v>
      </c>
      <c r="G447" s="12">
        <f t="shared" si="12"/>
        <v>1.8220790000000022</v>
      </c>
      <c r="H447" s="12">
        <f t="shared" si="13"/>
        <v>1.8220790000000022</v>
      </c>
    </row>
    <row r="448" spans="1:8" x14ac:dyDescent="0.3">
      <c r="A448" s="12">
        <v>447</v>
      </c>
      <c r="B448" s="12" t="s">
        <v>461</v>
      </c>
      <c r="C448" s="12">
        <v>4</v>
      </c>
      <c r="D448" s="12">
        <v>103</v>
      </c>
      <c r="E448" s="12">
        <v>19.98</v>
      </c>
      <c r="F448" s="12">
        <v>100.02522</v>
      </c>
      <c r="G448" s="12">
        <f t="shared" si="12"/>
        <v>-2.9747799999999955</v>
      </c>
      <c r="H448" s="12">
        <f t="shared" si="13"/>
        <v>2.9747799999999955</v>
      </c>
    </row>
    <row r="449" spans="1:8" x14ac:dyDescent="0.3">
      <c r="A449" s="12">
        <v>448</v>
      </c>
      <c r="B449" s="12" t="s">
        <v>462</v>
      </c>
      <c r="C449" s="12">
        <v>3</v>
      </c>
      <c r="D449" s="12">
        <v>103</v>
      </c>
      <c r="E449" s="12">
        <v>20.315000000000001</v>
      </c>
      <c r="F449" s="12">
        <v>101.66303500000001</v>
      </c>
      <c r="G449" s="12">
        <f t="shared" si="12"/>
        <v>-1.3369649999999922</v>
      </c>
      <c r="H449" s="12">
        <f t="shared" si="13"/>
        <v>1.3369649999999922</v>
      </c>
    </row>
    <row r="450" spans="1:8" x14ac:dyDescent="0.3">
      <c r="A450" s="12">
        <v>449</v>
      </c>
      <c r="B450" s="12" t="s">
        <v>463</v>
      </c>
      <c r="C450" s="12">
        <v>4</v>
      </c>
      <c r="D450" s="12">
        <v>100</v>
      </c>
      <c r="E450" s="12">
        <v>19.803000000000001</v>
      </c>
      <c r="F450" s="12">
        <v>99.159867000000006</v>
      </c>
      <c r="G450" s="12">
        <f t="shared" si="12"/>
        <v>-0.84013299999999447</v>
      </c>
      <c r="H450" s="12">
        <f t="shared" si="13"/>
        <v>0.84013299999999447</v>
      </c>
    </row>
    <row r="451" spans="1:8" x14ac:dyDescent="0.3">
      <c r="A451" s="12">
        <v>450</v>
      </c>
      <c r="B451" s="12" t="s">
        <v>464</v>
      </c>
      <c r="C451" s="12">
        <v>3</v>
      </c>
      <c r="D451" s="12">
        <v>84</v>
      </c>
      <c r="E451" s="12">
        <v>16.664000000000001</v>
      </c>
      <c r="F451" s="12">
        <v>83.813296000000008</v>
      </c>
      <c r="G451" s="12">
        <f t="shared" ref="G451:G501" si="14">F451-D451</f>
        <v>-0.18670399999999177</v>
      </c>
      <c r="H451" s="12">
        <f t="shared" ref="H451:H501" si="15">ABS(F451-D451)</f>
        <v>0.18670399999999177</v>
      </c>
    </row>
    <row r="452" spans="1:8" x14ac:dyDescent="0.3">
      <c r="A452" s="12">
        <v>451</v>
      </c>
      <c r="B452" s="12" t="s">
        <v>465</v>
      </c>
      <c r="C452" s="12">
        <v>1</v>
      </c>
      <c r="D452" s="12">
        <v>123</v>
      </c>
      <c r="E452" s="12">
        <v>24.864000000000001</v>
      </c>
      <c r="F452" s="12">
        <v>123.90309600000002</v>
      </c>
      <c r="G452" s="12">
        <f t="shared" si="14"/>
        <v>0.90309600000001922</v>
      </c>
      <c r="H452" s="12">
        <f t="shared" si="15"/>
        <v>0.90309600000001922</v>
      </c>
    </row>
    <row r="453" spans="1:8" x14ac:dyDescent="0.3">
      <c r="A453" s="12">
        <v>452</v>
      </c>
      <c r="B453" s="12" t="s">
        <v>466</v>
      </c>
      <c r="C453" s="12">
        <v>1</v>
      </c>
      <c r="D453" s="12">
        <v>101</v>
      </c>
      <c r="E453" s="12">
        <v>20.138000000000002</v>
      </c>
      <c r="F453" s="12">
        <v>100.79768200000002</v>
      </c>
      <c r="G453" s="12">
        <f t="shared" si="14"/>
        <v>-0.20231799999997691</v>
      </c>
      <c r="H453" s="12">
        <f t="shared" si="15"/>
        <v>0.20231799999997691</v>
      </c>
    </row>
    <row r="454" spans="1:8" x14ac:dyDescent="0.3">
      <c r="A454" s="12">
        <v>453</v>
      </c>
      <c r="B454" s="12" t="s">
        <v>467</v>
      </c>
      <c r="C454" s="12">
        <v>4</v>
      </c>
      <c r="D454" s="12">
        <v>100</v>
      </c>
      <c r="E454" s="12">
        <v>20.148</v>
      </c>
      <c r="F454" s="12">
        <v>100.84657200000001</v>
      </c>
      <c r="G454" s="12">
        <f t="shared" si="14"/>
        <v>0.84657200000000898</v>
      </c>
      <c r="H454" s="12">
        <f t="shared" si="15"/>
        <v>0.84657200000000898</v>
      </c>
    </row>
    <row r="455" spans="1:8" x14ac:dyDescent="0.3">
      <c r="A455" s="12">
        <v>454</v>
      </c>
      <c r="B455" s="12" t="s">
        <v>468</v>
      </c>
      <c r="C455" s="12">
        <v>2</v>
      </c>
      <c r="D455" s="12">
        <v>110</v>
      </c>
      <c r="E455" s="12">
        <v>21.777000000000001</v>
      </c>
      <c r="F455" s="12">
        <v>108.81075300000002</v>
      </c>
      <c r="G455" s="12">
        <f t="shared" si="14"/>
        <v>-1.1892469999999804</v>
      </c>
      <c r="H455" s="12">
        <f t="shared" si="15"/>
        <v>1.1892469999999804</v>
      </c>
    </row>
    <row r="456" spans="1:8" x14ac:dyDescent="0.3">
      <c r="A456" s="12">
        <v>455</v>
      </c>
      <c r="B456" s="12" t="s">
        <v>469</v>
      </c>
      <c r="C456" s="12">
        <v>2</v>
      </c>
      <c r="D456" s="12">
        <v>108</v>
      </c>
      <c r="E456" s="12">
        <v>21.681999999999999</v>
      </c>
      <c r="F456" s="12">
        <v>108.346298</v>
      </c>
      <c r="G456" s="12">
        <f t="shared" si="14"/>
        <v>0.34629800000000444</v>
      </c>
      <c r="H456" s="12">
        <f t="shared" si="15"/>
        <v>0.34629800000000444</v>
      </c>
    </row>
    <row r="457" spans="1:8" x14ac:dyDescent="0.3">
      <c r="A457" s="12">
        <v>456</v>
      </c>
      <c r="B457" s="12" t="s">
        <v>470</v>
      </c>
      <c r="C457" s="12">
        <v>1</v>
      </c>
      <c r="D457" s="12">
        <v>109</v>
      </c>
      <c r="E457" s="12">
        <v>21.539000000000001</v>
      </c>
      <c r="F457" s="12">
        <v>107.64717100000001</v>
      </c>
      <c r="G457" s="12">
        <f t="shared" si="14"/>
        <v>-1.3528289999999856</v>
      </c>
      <c r="H457" s="12">
        <f t="shared" si="15"/>
        <v>1.3528289999999856</v>
      </c>
    </row>
    <row r="458" spans="1:8" x14ac:dyDescent="0.3">
      <c r="A458" s="12">
        <v>457</v>
      </c>
      <c r="B458" s="12" t="s">
        <v>471</v>
      </c>
      <c r="C458" s="12">
        <v>5</v>
      </c>
      <c r="D458" s="12">
        <v>97</v>
      </c>
      <c r="E458" s="12">
        <v>19.678000000000001</v>
      </c>
      <c r="F458" s="12">
        <v>98.548742000000018</v>
      </c>
      <c r="G458" s="12">
        <f t="shared" si="14"/>
        <v>1.5487420000000185</v>
      </c>
      <c r="H458" s="12">
        <f t="shared" si="15"/>
        <v>1.5487420000000185</v>
      </c>
    </row>
    <row r="459" spans="1:8" x14ac:dyDescent="0.3">
      <c r="A459" s="12">
        <v>458</v>
      </c>
      <c r="B459" s="12" t="s">
        <v>472</v>
      </c>
      <c r="C459" s="12">
        <v>5</v>
      </c>
      <c r="D459" s="12">
        <v>118</v>
      </c>
      <c r="E459" s="12">
        <v>23.619</v>
      </c>
      <c r="F459" s="12">
        <v>117.81629100000001</v>
      </c>
      <c r="G459" s="12">
        <f t="shared" si="14"/>
        <v>-0.18370899999999324</v>
      </c>
      <c r="H459" s="12">
        <f t="shared" si="15"/>
        <v>0.18370899999999324</v>
      </c>
    </row>
    <row r="460" spans="1:8" x14ac:dyDescent="0.3">
      <c r="A460" s="12">
        <v>459</v>
      </c>
      <c r="B460" s="12" t="s">
        <v>473</v>
      </c>
      <c r="C460" s="12">
        <v>5</v>
      </c>
      <c r="D460" s="12">
        <v>95</v>
      </c>
      <c r="E460" s="12">
        <v>19.372</v>
      </c>
      <c r="F460" s="12">
        <v>97.05270800000001</v>
      </c>
      <c r="G460" s="12">
        <f t="shared" si="14"/>
        <v>2.0527080000000097</v>
      </c>
      <c r="H460" s="12">
        <f t="shared" si="15"/>
        <v>2.0527080000000097</v>
      </c>
    </row>
    <row r="461" spans="1:8" x14ac:dyDescent="0.3">
      <c r="A461" s="12">
        <v>460</v>
      </c>
      <c r="B461" s="12" t="s">
        <v>474</v>
      </c>
      <c r="C461" s="12">
        <v>5</v>
      </c>
      <c r="D461" s="12">
        <v>95</v>
      </c>
      <c r="E461" s="12">
        <v>18.928000000000001</v>
      </c>
      <c r="F461" s="12">
        <v>94.881992000000011</v>
      </c>
      <c r="G461" s="12">
        <f t="shared" si="14"/>
        <v>-0.11800799999998901</v>
      </c>
      <c r="H461" s="12">
        <f t="shared" si="15"/>
        <v>0.11800799999998901</v>
      </c>
    </row>
    <row r="462" spans="1:8" x14ac:dyDescent="0.3">
      <c r="A462" s="12">
        <v>461</v>
      </c>
      <c r="B462" s="12" t="s">
        <v>475</v>
      </c>
      <c r="C462" s="12">
        <v>4</v>
      </c>
      <c r="D462" s="12">
        <v>98</v>
      </c>
      <c r="E462" s="12">
        <v>19.736000000000001</v>
      </c>
      <c r="F462" s="12">
        <v>98.832304000000008</v>
      </c>
      <c r="G462" s="12">
        <f t="shared" si="14"/>
        <v>0.8323040000000077</v>
      </c>
      <c r="H462" s="12">
        <f t="shared" si="15"/>
        <v>0.8323040000000077</v>
      </c>
    </row>
    <row r="463" spans="1:8" x14ac:dyDescent="0.3">
      <c r="A463" s="12">
        <v>462</v>
      </c>
      <c r="B463" s="12" t="s">
        <v>476</v>
      </c>
      <c r="C463" s="12">
        <v>1</v>
      </c>
      <c r="D463" s="12">
        <v>130</v>
      </c>
      <c r="E463" s="12">
        <v>25.986000000000001</v>
      </c>
      <c r="F463" s="12">
        <v>129.388554</v>
      </c>
      <c r="G463" s="12">
        <f t="shared" si="14"/>
        <v>-0.61144600000000082</v>
      </c>
      <c r="H463" s="12">
        <f t="shared" si="15"/>
        <v>0.61144600000000082</v>
      </c>
    </row>
    <row r="464" spans="1:8" x14ac:dyDescent="0.3">
      <c r="A464" s="12">
        <v>463</v>
      </c>
      <c r="B464" s="12" t="s">
        <v>477</v>
      </c>
      <c r="C464" s="12">
        <v>2</v>
      </c>
      <c r="D464" s="12">
        <v>97</v>
      </c>
      <c r="E464" s="12">
        <v>19.366</v>
      </c>
      <c r="F464" s="12">
        <v>97.023374000000004</v>
      </c>
      <c r="G464" s="12">
        <f t="shared" si="14"/>
        <v>2.3374000000004003E-2</v>
      </c>
      <c r="H464" s="12">
        <f t="shared" si="15"/>
        <v>2.3374000000004003E-2</v>
      </c>
    </row>
    <row r="465" spans="1:8" x14ac:dyDescent="0.3">
      <c r="A465" s="12">
        <v>464</v>
      </c>
      <c r="B465" s="12" t="s">
        <v>478</v>
      </c>
      <c r="C465" s="12">
        <v>4</v>
      </c>
      <c r="D465" s="12">
        <v>114</v>
      </c>
      <c r="E465" s="12">
        <v>22.891999999999999</v>
      </c>
      <c r="F465" s="12">
        <v>114.261988</v>
      </c>
      <c r="G465" s="12">
        <f t="shared" si="14"/>
        <v>0.26198800000000233</v>
      </c>
      <c r="H465" s="12">
        <f t="shared" si="15"/>
        <v>0.26198800000000233</v>
      </c>
    </row>
    <row r="466" spans="1:8" x14ac:dyDescent="0.3">
      <c r="A466" s="12">
        <v>465</v>
      </c>
      <c r="B466" s="12" t="s">
        <v>479</v>
      </c>
      <c r="C466" s="12">
        <v>2</v>
      </c>
      <c r="D466" s="12">
        <v>119</v>
      </c>
      <c r="E466" s="12">
        <v>23.991</v>
      </c>
      <c r="F466" s="12">
        <v>119.63499900000001</v>
      </c>
      <c r="G466" s="12">
        <f t="shared" si="14"/>
        <v>0.63499900000000764</v>
      </c>
      <c r="H466" s="12">
        <f t="shared" si="15"/>
        <v>0.63499900000000764</v>
      </c>
    </row>
    <row r="467" spans="1:8" x14ac:dyDescent="0.3">
      <c r="A467" s="12">
        <v>466</v>
      </c>
      <c r="B467" s="12" t="s">
        <v>480</v>
      </c>
      <c r="C467" s="12">
        <v>1</v>
      </c>
      <c r="D467" s="12">
        <v>91</v>
      </c>
      <c r="E467" s="12">
        <v>17.754999999999999</v>
      </c>
      <c r="F467" s="12">
        <v>89.147194999999996</v>
      </c>
      <c r="G467" s="12">
        <f t="shared" si="14"/>
        <v>-1.8528050000000036</v>
      </c>
      <c r="H467" s="12">
        <f t="shared" si="15"/>
        <v>1.8528050000000036</v>
      </c>
    </row>
    <row r="468" spans="1:8" x14ac:dyDescent="0.3">
      <c r="A468" s="12">
        <v>467</v>
      </c>
      <c r="B468" s="12" t="s">
        <v>481</v>
      </c>
      <c r="C468" s="12">
        <v>5</v>
      </c>
      <c r="D468" s="12">
        <v>105</v>
      </c>
      <c r="E468" s="12">
        <v>21.510999999999999</v>
      </c>
      <c r="F468" s="12">
        <v>107.51027900000001</v>
      </c>
      <c r="G468" s="12">
        <f t="shared" si="14"/>
        <v>2.5102790000000113</v>
      </c>
      <c r="H468" s="12">
        <f t="shared" si="15"/>
        <v>2.5102790000000113</v>
      </c>
    </row>
    <row r="469" spans="1:8" x14ac:dyDescent="0.3">
      <c r="A469" s="12">
        <v>468</v>
      </c>
      <c r="B469" s="12" t="s">
        <v>482</v>
      </c>
      <c r="C469" s="12">
        <v>3</v>
      </c>
      <c r="D469" s="12">
        <v>91</v>
      </c>
      <c r="E469" s="12">
        <v>17.538</v>
      </c>
      <c r="F469" s="12">
        <v>88.086282000000011</v>
      </c>
      <c r="G469" s="12">
        <f t="shared" si="14"/>
        <v>-2.9137179999999887</v>
      </c>
      <c r="H469" s="12">
        <f t="shared" si="15"/>
        <v>2.9137179999999887</v>
      </c>
    </row>
    <row r="470" spans="1:8" x14ac:dyDescent="0.3">
      <c r="A470" s="12">
        <v>469</v>
      </c>
      <c r="B470" s="12" t="s">
        <v>483</v>
      </c>
      <c r="C470" s="12">
        <v>4</v>
      </c>
      <c r="D470" s="12">
        <v>126</v>
      </c>
      <c r="E470" s="12">
        <v>24.956</v>
      </c>
      <c r="F470" s="12">
        <v>124.352884</v>
      </c>
      <c r="G470" s="12">
        <f t="shared" si="14"/>
        <v>-1.6471159999999969</v>
      </c>
      <c r="H470" s="12">
        <f t="shared" si="15"/>
        <v>1.6471159999999969</v>
      </c>
    </row>
    <row r="471" spans="1:8" x14ac:dyDescent="0.3">
      <c r="A471" s="12">
        <v>470</v>
      </c>
      <c r="B471" s="12" t="s">
        <v>484</v>
      </c>
      <c r="C471" s="12">
        <v>3</v>
      </c>
      <c r="D471" s="12">
        <v>96</v>
      </c>
      <c r="E471" s="12">
        <v>19.166</v>
      </c>
      <c r="F471" s="12">
        <v>96.045574000000016</v>
      </c>
      <c r="G471" s="12">
        <f t="shared" si="14"/>
        <v>4.5574000000016213E-2</v>
      </c>
      <c r="H471" s="12">
        <f t="shared" si="15"/>
        <v>4.5574000000016213E-2</v>
      </c>
    </row>
    <row r="472" spans="1:8" x14ac:dyDescent="0.3">
      <c r="A472" s="12">
        <v>471</v>
      </c>
      <c r="B472" s="12" t="s">
        <v>485</v>
      </c>
      <c r="C472" s="12">
        <v>2</v>
      </c>
      <c r="D472" s="12">
        <v>112</v>
      </c>
      <c r="E472" s="12">
        <v>22.547000000000001</v>
      </c>
      <c r="F472" s="12">
        <v>112.57528300000001</v>
      </c>
      <c r="G472" s="12">
        <f t="shared" si="14"/>
        <v>0.57528300000001309</v>
      </c>
      <c r="H472" s="12">
        <f t="shared" si="15"/>
        <v>0.57528300000001309</v>
      </c>
    </row>
    <row r="473" spans="1:8" x14ac:dyDescent="0.3">
      <c r="A473" s="12">
        <v>472</v>
      </c>
      <c r="B473" s="12" t="s">
        <v>486</v>
      </c>
      <c r="C473" s="12">
        <v>2</v>
      </c>
      <c r="D473" s="12">
        <v>104</v>
      </c>
      <c r="E473" s="12">
        <v>21.361000000000001</v>
      </c>
      <c r="F473" s="12">
        <v>106.77692900000001</v>
      </c>
      <c r="G473" s="12">
        <f t="shared" si="14"/>
        <v>2.7769290000000098</v>
      </c>
      <c r="H473" s="12">
        <f t="shared" si="15"/>
        <v>2.7769290000000098</v>
      </c>
    </row>
    <row r="474" spans="1:8" x14ac:dyDescent="0.3">
      <c r="A474" s="12">
        <v>473</v>
      </c>
      <c r="B474" s="12" t="s">
        <v>487</v>
      </c>
      <c r="C474" s="12">
        <v>1</v>
      </c>
      <c r="D474" s="12">
        <v>107</v>
      </c>
      <c r="E474" s="12">
        <v>20.738</v>
      </c>
      <c r="F474" s="12">
        <v>103.731082</v>
      </c>
      <c r="G474" s="12">
        <f t="shared" si="14"/>
        <v>-3.2689179999999993</v>
      </c>
      <c r="H474" s="12">
        <f t="shared" si="15"/>
        <v>3.2689179999999993</v>
      </c>
    </row>
    <row r="475" spans="1:8" x14ac:dyDescent="0.3">
      <c r="A475" s="12">
        <v>474</v>
      </c>
      <c r="B475" s="12" t="s">
        <v>488</v>
      </c>
      <c r="C475" s="12">
        <v>5</v>
      </c>
      <c r="D475" s="12">
        <v>98</v>
      </c>
      <c r="E475" s="12">
        <v>19.419</v>
      </c>
      <c r="F475" s="12">
        <v>97.282491000000007</v>
      </c>
      <c r="G475" s="12">
        <f t="shared" si="14"/>
        <v>-0.71750899999999262</v>
      </c>
      <c r="H475" s="12">
        <f t="shared" si="15"/>
        <v>0.71750899999999262</v>
      </c>
    </row>
    <row r="476" spans="1:8" x14ac:dyDescent="0.3">
      <c r="A476" s="12">
        <v>475</v>
      </c>
      <c r="B476" s="12" t="s">
        <v>489</v>
      </c>
      <c r="C476" s="12">
        <v>3</v>
      </c>
      <c r="D476" s="12">
        <v>83</v>
      </c>
      <c r="E476" s="12">
        <v>15.842000000000001</v>
      </c>
      <c r="F476" s="12">
        <v>79.794538000000003</v>
      </c>
      <c r="G476" s="12">
        <f t="shared" si="14"/>
        <v>-3.2054619999999971</v>
      </c>
      <c r="H476" s="12">
        <f t="shared" si="15"/>
        <v>3.2054619999999971</v>
      </c>
    </row>
    <row r="477" spans="1:8" x14ac:dyDescent="0.3">
      <c r="A477" s="12">
        <v>476</v>
      </c>
      <c r="B477" s="12" t="s">
        <v>490</v>
      </c>
      <c r="C477" s="12">
        <v>1</v>
      </c>
      <c r="D477" s="12">
        <v>114</v>
      </c>
      <c r="E477" s="12">
        <v>22.811</v>
      </c>
      <c r="F477" s="12">
        <v>113.86597900000001</v>
      </c>
      <c r="G477" s="12">
        <f t="shared" si="14"/>
        <v>-0.13402099999998995</v>
      </c>
      <c r="H477" s="12">
        <f t="shared" si="15"/>
        <v>0.13402099999998995</v>
      </c>
    </row>
    <row r="478" spans="1:8" x14ac:dyDescent="0.3">
      <c r="A478" s="12">
        <v>477</v>
      </c>
      <c r="B478" s="12" t="s">
        <v>491</v>
      </c>
      <c r="C478" s="12">
        <v>4</v>
      </c>
      <c r="D478" s="12">
        <v>105</v>
      </c>
      <c r="E478" s="12">
        <v>21.097000000000001</v>
      </c>
      <c r="F478" s="12">
        <v>105.48623300000001</v>
      </c>
      <c r="G478" s="12">
        <f t="shared" si="14"/>
        <v>0.48623300000001279</v>
      </c>
      <c r="H478" s="12">
        <f t="shared" si="15"/>
        <v>0.48623300000001279</v>
      </c>
    </row>
    <row r="479" spans="1:8" x14ac:dyDescent="0.3">
      <c r="A479" s="12">
        <v>478</v>
      </c>
      <c r="B479" s="12" t="s">
        <v>492</v>
      </c>
      <c r="C479" s="12">
        <v>1</v>
      </c>
      <c r="D479" s="12">
        <v>106</v>
      </c>
      <c r="E479" s="12">
        <v>21.766999999999999</v>
      </c>
      <c r="F479" s="12">
        <v>108.76186300000001</v>
      </c>
      <c r="G479" s="12">
        <f t="shared" si="14"/>
        <v>2.7618630000000053</v>
      </c>
      <c r="H479" s="12">
        <f t="shared" si="15"/>
        <v>2.7618630000000053</v>
      </c>
    </row>
    <row r="480" spans="1:8" x14ac:dyDescent="0.3">
      <c r="A480" s="12">
        <v>479</v>
      </c>
      <c r="B480" s="12" t="s">
        <v>493</v>
      </c>
      <c r="C480" s="12">
        <v>3</v>
      </c>
      <c r="D480" s="12">
        <v>126</v>
      </c>
      <c r="E480" s="12">
        <v>25.242999999999999</v>
      </c>
      <c r="F480" s="12">
        <v>125.756027</v>
      </c>
      <c r="G480" s="12">
        <f t="shared" si="14"/>
        <v>-0.24397299999999689</v>
      </c>
      <c r="H480" s="12">
        <f t="shared" si="15"/>
        <v>0.24397299999999689</v>
      </c>
    </row>
    <row r="481" spans="1:8" x14ac:dyDescent="0.3">
      <c r="A481" s="12">
        <v>480</v>
      </c>
      <c r="B481" s="12" t="s">
        <v>494</v>
      </c>
      <c r="C481" s="12">
        <v>2</v>
      </c>
      <c r="D481" s="12">
        <v>101</v>
      </c>
      <c r="E481" s="12">
        <v>20.571999999999999</v>
      </c>
      <c r="F481" s="12">
        <v>102.91950800000001</v>
      </c>
      <c r="G481" s="12">
        <f t="shared" si="14"/>
        <v>1.9195080000000075</v>
      </c>
      <c r="H481" s="12">
        <f t="shared" si="15"/>
        <v>1.9195080000000075</v>
      </c>
    </row>
    <row r="482" spans="1:8" x14ac:dyDescent="0.3">
      <c r="A482" s="12">
        <v>481</v>
      </c>
      <c r="B482" s="12" t="s">
        <v>495</v>
      </c>
      <c r="C482" s="12">
        <v>5</v>
      </c>
      <c r="D482" s="12">
        <v>86</v>
      </c>
      <c r="E482" s="12">
        <v>17.408000000000001</v>
      </c>
      <c r="F482" s="12">
        <v>87.45071200000001</v>
      </c>
      <c r="G482" s="12">
        <f t="shared" si="14"/>
        <v>1.45071200000001</v>
      </c>
      <c r="H482" s="12">
        <f t="shared" si="15"/>
        <v>1.45071200000001</v>
      </c>
    </row>
    <row r="483" spans="1:8" x14ac:dyDescent="0.3">
      <c r="A483" s="12">
        <v>482</v>
      </c>
      <c r="B483" s="12" t="s">
        <v>496</v>
      </c>
      <c r="C483" s="12">
        <v>3</v>
      </c>
      <c r="D483" s="12">
        <v>101</v>
      </c>
      <c r="E483" s="12">
        <v>20.045000000000002</v>
      </c>
      <c r="F483" s="12">
        <v>100.34300500000002</v>
      </c>
      <c r="G483" s="12">
        <f t="shared" si="14"/>
        <v>-0.65699499999998068</v>
      </c>
      <c r="H483" s="12">
        <f t="shared" si="15"/>
        <v>0.65699499999998068</v>
      </c>
    </row>
    <row r="484" spans="1:8" x14ac:dyDescent="0.3">
      <c r="A484" s="12">
        <v>483</v>
      </c>
      <c r="B484" s="12" t="s">
        <v>497</v>
      </c>
      <c r="C484" s="12">
        <v>5</v>
      </c>
      <c r="D484" s="12">
        <v>124</v>
      </c>
      <c r="E484" s="12">
        <v>24.297999999999998</v>
      </c>
      <c r="F484" s="12">
        <v>121.13592199999999</v>
      </c>
      <c r="G484" s="12">
        <f t="shared" si="14"/>
        <v>-2.8640780000000063</v>
      </c>
      <c r="H484" s="12">
        <f t="shared" si="15"/>
        <v>2.8640780000000063</v>
      </c>
    </row>
    <row r="485" spans="1:8" x14ac:dyDescent="0.3">
      <c r="A485" s="12">
        <v>484</v>
      </c>
      <c r="B485" s="12" t="s">
        <v>498</v>
      </c>
      <c r="C485" s="12">
        <v>1</v>
      </c>
      <c r="D485" s="12">
        <v>120</v>
      </c>
      <c r="E485" s="12">
        <v>24.097999999999999</v>
      </c>
      <c r="F485" s="12">
        <v>120.15812200000001</v>
      </c>
      <c r="G485" s="12">
        <f t="shared" si="14"/>
        <v>0.15812200000000587</v>
      </c>
      <c r="H485" s="12">
        <f t="shared" si="15"/>
        <v>0.15812200000000587</v>
      </c>
    </row>
    <row r="486" spans="1:8" x14ac:dyDescent="0.3">
      <c r="A486" s="12">
        <v>485</v>
      </c>
      <c r="B486" s="12" t="s">
        <v>499</v>
      </c>
      <c r="C486" s="12">
        <v>4</v>
      </c>
      <c r="D486" s="12">
        <v>117</v>
      </c>
      <c r="E486" s="12">
        <v>22.867999999999999</v>
      </c>
      <c r="F486" s="12">
        <v>114.14465200000001</v>
      </c>
      <c r="G486" s="12">
        <f t="shared" si="14"/>
        <v>-2.8553479999999922</v>
      </c>
      <c r="H486" s="12">
        <f t="shared" si="15"/>
        <v>2.8553479999999922</v>
      </c>
    </row>
    <row r="487" spans="1:8" x14ac:dyDescent="0.3">
      <c r="A487" s="12">
        <v>486</v>
      </c>
      <c r="B487" s="12" t="s">
        <v>500</v>
      </c>
      <c r="C487" s="12">
        <v>1</v>
      </c>
      <c r="D487" s="12">
        <v>121</v>
      </c>
      <c r="E487" s="12">
        <v>24.661000000000001</v>
      </c>
      <c r="F487" s="12">
        <v>122.91062900000001</v>
      </c>
      <c r="G487" s="12">
        <f t="shared" si="14"/>
        <v>1.9106290000000143</v>
      </c>
      <c r="H487" s="12">
        <f t="shared" si="15"/>
        <v>1.9106290000000143</v>
      </c>
    </row>
    <row r="488" spans="1:8" x14ac:dyDescent="0.3">
      <c r="A488" s="12">
        <v>487</v>
      </c>
      <c r="B488" s="12" t="s">
        <v>501</v>
      </c>
      <c r="C488" s="12">
        <v>5</v>
      </c>
      <c r="D488" s="12">
        <v>106</v>
      </c>
      <c r="E488" s="12">
        <v>21.141999999999999</v>
      </c>
      <c r="F488" s="12">
        <v>105.706238</v>
      </c>
      <c r="G488" s="12">
        <f t="shared" si="14"/>
        <v>-0.29376200000000097</v>
      </c>
      <c r="H488" s="12">
        <f t="shared" si="15"/>
        <v>0.29376200000000097</v>
      </c>
    </row>
    <row r="489" spans="1:8" x14ac:dyDescent="0.3">
      <c r="A489" s="12">
        <v>488</v>
      </c>
      <c r="B489" s="12" t="s">
        <v>502</v>
      </c>
      <c r="C489" s="12">
        <v>3</v>
      </c>
      <c r="D489" s="12">
        <v>97</v>
      </c>
      <c r="E489" s="12">
        <v>19.826000000000001</v>
      </c>
      <c r="F489" s="12">
        <v>99.272314000000009</v>
      </c>
      <c r="G489" s="12">
        <f t="shared" si="14"/>
        <v>2.2723140000000086</v>
      </c>
      <c r="H489" s="12">
        <f t="shared" si="15"/>
        <v>2.2723140000000086</v>
      </c>
    </row>
    <row r="490" spans="1:8" x14ac:dyDescent="0.3">
      <c r="A490" s="12">
        <v>489</v>
      </c>
      <c r="B490" s="12" t="s">
        <v>503</v>
      </c>
      <c r="C490" s="12">
        <v>5</v>
      </c>
      <c r="D490" s="12">
        <v>112</v>
      </c>
      <c r="E490" s="12">
        <v>22.228999999999999</v>
      </c>
      <c r="F490" s="12">
        <v>111.02058100000001</v>
      </c>
      <c r="G490" s="12">
        <f t="shared" si="14"/>
        <v>-0.97941899999999293</v>
      </c>
      <c r="H490" s="12">
        <f t="shared" si="15"/>
        <v>0.97941899999999293</v>
      </c>
    </row>
    <row r="491" spans="1:8" x14ac:dyDescent="0.3">
      <c r="A491" s="12">
        <v>490</v>
      </c>
      <c r="B491" s="12" t="s">
        <v>504</v>
      </c>
      <c r="C491" s="12">
        <v>2</v>
      </c>
      <c r="D491" s="12">
        <v>96</v>
      </c>
      <c r="E491" s="12">
        <v>19.295999999999999</v>
      </c>
      <c r="F491" s="12">
        <v>96.681144000000003</v>
      </c>
      <c r="G491" s="12">
        <f t="shared" si="14"/>
        <v>0.6811440000000033</v>
      </c>
      <c r="H491" s="12">
        <f t="shared" si="15"/>
        <v>0.6811440000000033</v>
      </c>
    </row>
    <row r="492" spans="1:8" x14ac:dyDescent="0.3">
      <c r="A492" s="12">
        <v>491</v>
      </c>
      <c r="B492" s="12" t="s">
        <v>505</v>
      </c>
      <c r="C492" s="12">
        <v>1</v>
      </c>
      <c r="D492" s="12">
        <v>88</v>
      </c>
      <c r="E492" s="12">
        <v>17.675000000000001</v>
      </c>
      <c r="F492" s="12">
        <v>88.75607500000001</v>
      </c>
      <c r="G492" s="12">
        <f t="shared" si="14"/>
        <v>0.75607500000000982</v>
      </c>
      <c r="H492" s="12">
        <f t="shared" si="15"/>
        <v>0.75607500000000982</v>
      </c>
    </row>
    <row r="493" spans="1:8" x14ac:dyDescent="0.3">
      <c r="A493" s="12">
        <v>492</v>
      </c>
      <c r="B493" s="12" t="s">
        <v>506</v>
      </c>
      <c r="C493" s="12">
        <v>1</v>
      </c>
      <c r="D493" s="12">
        <v>106</v>
      </c>
      <c r="E493" s="12">
        <v>21.184000000000001</v>
      </c>
      <c r="F493" s="12">
        <v>105.91157600000001</v>
      </c>
      <c r="G493" s="12">
        <f t="shared" si="14"/>
        <v>-8.8423999999989178E-2</v>
      </c>
      <c r="H493" s="12">
        <f t="shared" si="15"/>
        <v>8.8423999999989178E-2</v>
      </c>
    </row>
    <row r="494" spans="1:8" x14ac:dyDescent="0.3">
      <c r="A494" s="12">
        <v>493</v>
      </c>
      <c r="B494" s="12" t="s">
        <v>507</v>
      </c>
      <c r="C494" s="12">
        <v>5</v>
      </c>
      <c r="D494" s="12">
        <v>99</v>
      </c>
      <c r="E494" s="12">
        <v>19.646000000000001</v>
      </c>
      <c r="F494" s="12">
        <v>98.392294000000007</v>
      </c>
      <c r="G494" s="12">
        <f t="shared" si="14"/>
        <v>-0.6077059999999932</v>
      </c>
      <c r="H494" s="12">
        <f t="shared" si="15"/>
        <v>0.6077059999999932</v>
      </c>
    </row>
    <row r="495" spans="1:8" x14ac:dyDescent="0.3">
      <c r="A495" s="12">
        <v>494</v>
      </c>
      <c r="B495" s="12" t="s">
        <v>508</v>
      </c>
      <c r="C495" s="12">
        <v>2</v>
      </c>
      <c r="D495" s="12">
        <v>102</v>
      </c>
      <c r="E495" s="12">
        <v>20.54</v>
      </c>
      <c r="F495" s="12">
        <v>102.76306000000001</v>
      </c>
      <c r="G495" s="12">
        <f t="shared" si="14"/>
        <v>0.76306000000001006</v>
      </c>
      <c r="H495" s="12">
        <f t="shared" si="15"/>
        <v>0.76306000000001006</v>
      </c>
    </row>
    <row r="496" spans="1:8" x14ac:dyDescent="0.3">
      <c r="A496" s="12">
        <v>495</v>
      </c>
      <c r="B496" s="12" t="s">
        <v>509</v>
      </c>
      <c r="C496" s="12">
        <v>1</v>
      </c>
      <c r="D496" s="12">
        <v>100</v>
      </c>
      <c r="E496" s="12">
        <v>19.670000000000002</v>
      </c>
      <c r="F496" s="12">
        <v>98.509630000000016</v>
      </c>
      <c r="G496" s="12">
        <f t="shared" si="14"/>
        <v>-1.4903699999999844</v>
      </c>
      <c r="H496" s="12">
        <f t="shared" si="15"/>
        <v>1.4903699999999844</v>
      </c>
    </row>
    <row r="497" spans="1:8" x14ac:dyDescent="0.3">
      <c r="A497" s="12">
        <v>496</v>
      </c>
      <c r="B497" s="12" t="s">
        <v>510</v>
      </c>
      <c r="C497" s="12">
        <v>1</v>
      </c>
      <c r="D497" s="12">
        <v>112</v>
      </c>
      <c r="E497" s="12">
        <v>21.969000000000001</v>
      </c>
      <c r="F497" s="12">
        <v>109.74944100000002</v>
      </c>
      <c r="G497" s="12">
        <f t="shared" si="14"/>
        <v>-2.2505589999999813</v>
      </c>
      <c r="H497" s="12">
        <f t="shared" si="15"/>
        <v>2.2505589999999813</v>
      </c>
    </row>
    <row r="498" spans="1:8" x14ac:dyDescent="0.3">
      <c r="A498" s="12">
        <v>497</v>
      </c>
      <c r="B498" s="12" t="s">
        <v>511</v>
      </c>
      <c r="C498" s="12">
        <v>5</v>
      </c>
      <c r="D498" s="12">
        <v>94</v>
      </c>
      <c r="E498" s="12">
        <v>19.242999999999999</v>
      </c>
      <c r="F498" s="12">
        <v>96.422027</v>
      </c>
      <c r="G498" s="12">
        <f t="shared" si="14"/>
        <v>2.4220269999999999</v>
      </c>
      <c r="H498" s="12">
        <f t="shared" si="15"/>
        <v>2.4220269999999999</v>
      </c>
    </row>
    <row r="499" spans="1:8" x14ac:dyDescent="0.3">
      <c r="A499" s="12">
        <v>498</v>
      </c>
      <c r="B499" s="12" t="s">
        <v>512</v>
      </c>
      <c r="C499" s="12">
        <v>1</v>
      </c>
      <c r="D499" s="12">
        <v>105</v>
      </c>
      <c r="E499" s="12">
        <v>21.259</v>
      </c>
      <c r="F499" s="12">
        <v>106.27825100000001</v>
      </c>
      <c r="G499" s="12">
        <f t="shared" si="14"/>
        <v>1.2782510000000116</v>
      </c>
      <c r="H499" s="12">
        <f t="shared" si="15"/>
        <v>1.2782510000000116</v>
      </c>
    </row>
    <row r="500" spans="1:8" x14ac:dyDescent="0.3">
      <c r="A500" s="12">
        <v>499</v>
      </c>
      <c r="B500" s="12" t="s">
        <v>513</v>
      </c>
      <c r="C500" s="12">
        <v>4</v>
      </c>
      <c r="D500" s="12">
        <v>98</v>
      </c>
      <c r="E500" s="12">
        <v>19.623000000000001</v>
      </c>
      <c r="F500" s="12">
        <v>98.279847000000018</v>
      </c>
      <c r="G500" s="12">
        <f t="shared" si="14"/>
        <v>0.27984700000001794</v>
      </c>
      <c r="H500" s="12">
        <f t="shared" si="15"/>
        <v>0.27984700000001794</v>
      </c>
    </row>
    <row r="501" spans="1:8" x14ac:dyDescent="0.3">
      <c r="A501" s="12">
        <v>500</v>
      </c>
      <c r="B501" s="12" t="s">
        <v>514</v>
      </c>
      <c r="C501" s="12">
        <v>5</v>
      </c>
      <c r="D501" s="12">
        <v>92</v>
      </c>
      <c r="E501" s="12">
        <v>18.992999999999999</v>
      </c>
      <c r="F501" s="12">
        <v>95.199776999999997</v>
      </c>
      <c r="G501" s="12">
        <f t="shared" si="14"/>
        <v>3.1997769999999974</v>
      </c>
      <c r="H501" s="12">
        <f t="shared" si="15"/>
        <v>3.1997769999999974</v>
      </c>
    </row>
  </sheetData>
  <sheetProtection algorithmName="SHA-512" hashValue="m8/cVN1QQwXyS8vKHbpiYczwD9O1Jmpx3AfTYj+VsQ2ZrU3PNDjEiDTOT4yagRKble2ya1dzUhuK0hdq4DzumQ==" saltValue="DoYHNynVfRsk+sqBaPseAg==" spinCount="100000"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6E8A4-40C5-46E3-A0B1-32ED6AF2146B}">
  <dimension ref="A1:H501"/>
  <sheetViews>
    <sheetView workbookViewId="0">
      <selection activeCell="G1" sqref="G1"/>
    </sheetView>
  </sheetViews>
  <sheetFormatPr defaultRowHeight="14.4" x14ac:dyDescent="0.3"/>
  <cols>
    <col min="1" max="1" width="11.77734375" customWidth="1"/>
    <col min="4" max="4" width="10.5546875" customWidth="1"/>
    <col min="5" max="5" width="13.5546875" customWidth="1"/>
    <col min="6" max="6" width="35.6640625" bestFit="1" customWidth="1"/>
    <col min="7" max="7" width="50.88671875" bestFit="1" customWidth="1"/>
    <col min="8" max="8" width="16.77734375" customWidth="1"/>
  </cols>
  <sheetData>
    <row r="1" spans="1:8" ht="55.2" x14ac:dyDescent="0.3">
      <c r="A1" s="34" t="s">
        <v>1250</v>
      </c>
      <c r="B1" s="34" t="s">
        <v>515</v>
      </c>
      <c r="C1" s="34" t="s">
        <v>1251</v>
      </c>
      <c r="D1" s="34" t="s">
        <v>1252</v>
      </c>
      <c r="E1" s="34" t="s">
        <v>4</v>
      </c>
      <c r="F1" s="34" t="s">
        <v>1254</v>
      </c>
      <c r="G1" s="34" t="s">
        <v>1253</v>
      </c>
      <c r="H1" s="34" t="s">
        <v>1225</v>
      </c>
    </row>
    <row r="2" spans="1:8" x14ac:dyDescent="0.3">
      <c r="A2">
        <v>1</v>
      </c>
      <c r="B2" t="s">
        <v>15</v>
      </c>
      <c r="C2">
        <v>1</v>
      </c>
      <c r="D2">
        <v>248</v>
      </c>
      <c r="E2">
        <v>31.545999999999999</v>
      </c>
      <c r="F2">
        <v>245.04061999999999</v>
      </c>
      <c r="G2">
        <f>F2-D2</f>
        <v>-2.9593800000000101</v>
      </c>
      <c r="H2">
        <f>ABS(F2-D2)</f>
        <v>2.9593800000000101</v>
      </c>
    </row>
    <row r="3" spans="1:8" x14ac:dyDescent="0.3">
      <c r="A3">
        <v>2</v>
      </c>
      <c r="B3" t="s">
        <v>16</v>
      </c>
      <c r="C3">
        <v>5</v>
      </c>
      <c r="D3">
        <v>342</v>
      </c>
      <c r="E3">
        <v>33.225000000000001</v>
      </c>
      <c r="F3">
        <v>342.89075000000003</v>
      </c>
      <c r="G3">
        <f t="shared" ref="G3:G66" si="0">F3-D3</f>
        <v>0.89075000000002547</v>
      </c>
      <c r="H3">
        <f t="shared" ref="H3:H66" si="1">ABS(F3-D3)</f>
        <v>0.89075000000002547</v>
      </c>
    </row>
    <row r="4" spans="1:8" x14ac:dyDescent="0.3">
      <c r="A4">
        <v>3</v>
      </c>
      <c r="B4" t="s">
        <v>17</v>
      </c>
      <c r="C4">
        <v>1</v>
      </c>
      <c r="D4">
        <v>243</v>
      </c>
      <c r="E4">
        <v>31.437000000000001</v>
      </c>
      <c r="F4">
        <v>246.55839</v>
      </c>
      <c r="G4">
        <f t="shared" si="0"/>
        <v>3.5583900000000028</v>
      </c>
      <c r="H4">
        <f t="shared" si="1"/>
        <v>3.5583900000000028</v>
      </c>
    </row>
    <row r="5" spans="1:8" x14ac:dyDescent="0.3">
      <c r="A5">
        <v>4</v>
      </c>
      <c r="B5" t="s">
        <v>18</v>
      </c>
      <c r="C5">
        <v>2</v>
      </c>
      <c r="D5">
        <v>230</v>
      </c>
      <c r="E5">
        <v>31.085000000000001</v>
      </c>
      <c r="F5">
        <v>229.56</v>
      </c>
      <c r="G5">
        <f t="shared" si="0"/>
        <v>-0.43999999999999773</v>
      </c>
      <c r="H5">
        <f t="shared" si="1"/>
        <v>0.43999999999999773</v>
      </c>
    </row>
    <row r="6" spans="1:8" x14ac:dyDescent="0.3">
      <c r="A6">
        <v>5</v>
      </c>
      <c r="B6" t="s">
        <v>19</v>
      </c>
      <c r="C6">
        <v>4</v>
      </c>
      <c r="D6">
        <v>229</v>
      </c>
      <c r="E6">
        <v>31.349</v>
      </c>
      <c r="F6">
        <v>231.3250300000002</v>
      </c>
      <c r="G6">
        <f t="shared" si="0"/>
        <v>2.3250300000001971</v>
      </c>
      <c r="H6">
        <f t="shared" si="1"/>
        <v>2.3250300000001971</v>
      </c>
    </row>
    <row r="7" spans="1:8" x14ac:dyDescent="0.3">
      <c r="A7">
        <v>6</v>
      </c>
      <c r="B7" t="s">
        <v>20</v>
      </c>
      <c r="C7">
        <v>2</v>
      </c>
      <c r="D7">
        <v>246</v>
      </c>
      <c r="E7">
        <v>31.622</v>
      </c>
      <c r="F7">
        <v>247.56034000000022</v>
      </c>
      <c r="G7">
        <f t="shared" si="0"/>
        <v>1.5603400000002239</v>
      </c>
      <c r="H7">
        <f t="shared" si="1"/>
        <v>1.5603400000002239</v>
      </c>
    </row>
    <row r="8" spans="1:8" x14ac:dyDescent="0.3">
      <c r="A8">
        <v>7</v>
      </c>
      <c r="B8" t="s">
        <v>21</v>
      </c>
      <c r="C8">
        <v>3</v>
      </c>
      <c r="D8">
        <v>263</v>
      </c>
      <c r="E8">
        <v>31.635999999999999</v>
      </c>
      <c r="F8">
        <v>262.51</v>
      </c>
      <c r="G8">
        <f t="shared" si="0"/>
        <v>-0.49000000000000909</v>
      </c>
      <c r="H8">
        <f t="shared" si="1"/>
        <v>0.49000000000000909</v>
      </c>
    </row>
    <row r="9" spans="1:8" x14ac:dyDescent="0.3">
      <c r="A9">
        <v>8</v>
      </c>
      <c r="B9" t="s">
        <v>22</v>
      </c>
      <c r="C9">
        <v>2</v>
      </c>
      <c r="D9">
        <v>300</v>
      </c>
      <c r="E9">
        <v>32.372999999999998</v>
      </c>
      <c r="F9">
        <v>299.22230999999999</v>
      </c>
      <c r="G9">
        <f t="shared" si="0"/>
        <v>-0.77769000000000688</v>
      </c>
      <c r="H9">
        <f t="shared" si="1"/>
        <v>0.77769000000000688</v>
      </c>
    </row>
    <row r="10" spans="1:8" x14ac:dyDescent="0.3">
      <c r="A10">
        <v>9</v>
      </c>
      <c r="B10" t="s">
        <v>23</v>
      </c>
      <c r="C10">
        <v>4</v>
      </c>
      <c r="D10">
        <v>218</v>
      </c>
      <c r="E10">
        <v>31.196999999999999</v>
      </c>
      <c r="F10">
        <v>221.28559000000001</v>
      </c>
      <c r="G10">
        <f t="shared" si="0"/>
        <v>3.2855900000000133</v>
      </c>
      <c r="H10">
        <f t="shared" si="1"/>
        <v>3.2855900000000133</v>
      </c>
    </row>
    <row r="11" spans="1:8" x14ac:dyDescent="0.3">
      <c r="A11">
        <v>10</v>
      </c>
      <c r="B11" t="s">
        <v>24</v>
      </c>
      <c r="C11">
        <v>1</v>
      </c>
      <c r="D11">
        <v>322</v>
      </c>
      <c r="E11">
        <v>32.781000000000013</v>
      </c>
      <c r="F11">
        <v>321.48606999999998</v>
      </c>
      <c r="G11">
        <f t="shared" si="0"/>
        <v>-0.51393000000001621</v>
      </c>
      <c r="H11">
        <f t="shared" si="1"/>
        <v>0.51393000000001621</v>
      </c>
    </row>
    <row r="12" spans="1:8" x14ac:dyDescent="0.3">
      <c r="A12">
        <v>11</v>
      </c>
      <c r="B12" t="s">
        <v>25</v>
      </c>
      <c r="C12">
        <v>3</v>
      </c>
      <c r="D12">
        <v>227</v>
      </c>
      <c r="E12">
        <v>31.343</v>
      </c>
      <c r="F12">
        <v>230.96821000000023</v>
      </c>
      <c r="G12">
        <f t="shared" si="0"/>
        <v>3.9682100000002265</v>
      </c>
      <c r="H12">
        <f t="shared" si="1"/>
        <v>3.9682100000002265</v>
      </c>
    </row>
    <row r="13" spans="1:8" x14ac:dyDescent="0.3">
      <c r="A13">
        <v>12</v>
      </c>
      <c r="B13" t="s">
        <v>26</v>
      </c>
      <c r="C13">
        <v>1</v>
      </c>
      <c r="D13">
        <v>325</v>
      </c>
      <c r="E13">
        <v>32.994999999999997</v>
      </c>
      <c r="F13">
        <v>327.21265</v>
      </c>
      <c r="G13">
        <f t="shared" si="0"/>
        <v>2.2126499999999965</v>
      </c>
      <c r="H13">
        <f t="shared" si="1"/>
        <v>2.2126499999999965</v>
      </c>
    </row>
    <row r="14" spans="1:8" x14ac:dyDescent="0.3">
      <c r="A14">
        <v>13</v>
      </c>
      <c r="B14" t="s">
        <v>27</v>
      </c>
      <c r="C14">
        <v>4</v>
      </c>
      <c r="D14">
        <v>171</v>
      </c>
      <c r="E14">
        <v>30.294</v>
      </c>
      <c r="F14">
        <v>168.58418000000029</v>
      </c>
      <c r="G14">
        <f t="shared" si="0"/>
        <v>-2.4158199999997123</v>
      </c>
      <c r="H14">
        <f t="shared" si="1"/>
        <v>2.4158199999997123</v>
      </c>
    </row>
    <row r="15" spans="1:8" x14ac:dyDescent="0.3">
      <c r="A15">
        <v>14</v>
      </c>
      <c r="B15" t="s">
        <v>28</v>
      </c>
      <c r="C15">
        <v>5</v>
      </c>
      <c r="D15">
        <v>316</v>
      </c>
      <c r="E15">
        <v>33.070999999999998</v>
      </c>
      <c r="F15">
        <v>315.52</v>
      </c>
      <c r="G15">
        <f t="shared" si="0"/>
        <v>-0.48000000000001819</v>
      </c>
      <c r="H15">
        <f t="shared" si="1"/>
        <v>0.48000000000001819</v>
      </c>
    </row>
    <row r="16" spans="1:8" x14ac:dyDescent="0.3">
      <c r="A16">
        <v>15</v>
      </c>
      <c r="B16" t="s">
        <v>29</v>
      </c>
      <c r="C16">
        <v>4</v>
      </c>
      <c r="D16">
        <v>251</v>
      </c>
      <c r="E16">
        <v>31.952000000000002</v>
      </c>
      <c r="F16">
        <v>251.69</v>
      </c>
      <c r="G16">
        <f t="shared" si="0"/>
        <v>0.68999999999999773</v>
      </c>
      <c r="H16">
        <f t="shared" si="1"/>
        <v>0.68999999999999773</v>
      </c>
    </row>
    <row r="17" spans="1:8" x14ac:dyDescent="0.3">
      <c r="A17">
        <v>16</v>
      </c>
      <c r="B17" t="s">
        <v>30</v>
      </c>
      <c r="C17">
        <v>1</v>
      </c>
      <c r="D17">
        <v>287</v>
      </c>
      <c r="E17">
        <v>32.362000000000002</v>
      </c>
      <c r="F17">
        <v>290.56814000000003</v>
      </c>
      <c r="G17">
        <f t="shared" si="0"/>
        <v>3.5681400000000281</v>
      </c>
      <c r="H17">
        <f t="shared" si="1"/>
        <v>3.5681400000000281</v>
      </c>
    </row>
    <row r="18" spans="1:8" x14ac:dyDescent="0.3">
      <c r="A18">
        <v>17</v>
      </c>
      <c r="B18" t="s">
        <v>31</v>
      </c>
      <c r="C18">
        <v>2</v>
      </c>
      <c r="D18">
        <v>155</v>
      </c>
      <c r="E18">
        <v>30.23</v>
      </c>
      <c r="F18">
        <v>154.77809999999999</v>
      </c>
      <c r="G18">
        <f t="shared" si="0"/>
        <v>-0.22190000000000509</v>
      </c>
      <c r="H18">
        <f t="shared" si="1"/>
        <v>0.22190000000000509</v>
      </c>
    </row>
    <row r="19" spans="1:8" x14ac:dyDescent="0.3">
      <c r="A19">
        <v>18</v>
      </c>
      <c r="B19" t="s">
        <v>32</v>
      </c>
      <c r="C19">
        <v>2</v>
      </c>
      <c r="D19">
        <v>209</v>
      </c>
      <c r="E19">
        <v>30.925000000000001</v>
      </c>
      <c r="F19">
        <v>206.1097500000003</v>
      </c>
      <c r="G19">
        <f t="shared" si="0"/>
        <v>-2.8902499999996962</v>
      </c>
      <c r="H19">
        <f t="shared" si="1"/>
        <v>2.8902499999996962</v>
      </c>
    </row>
    <row r="20" spans="1:8" x14ac:dyDescent="0.3">
      <c r="A20">
        <v>19</v>
      </c>
      <c r="B20" t="s">
        <v>33</v>
      </c>
      <c r="C20">
        <v>1</v>
      </c>
      <c r="D20">
        <v>343</v>
      </c>
      <c r="E20">
        <v>33.369999999999997</v>
      </c>
      <c r="F20">
        <v>344.51389999999998</v>
      </c>
      <c r="G20">
        <f t="shared" si="0"/>
        <v>1.5138999999999783</v>
      </c>
      <c r="H20">
        <f t="shared" si="1"/>
        <v>1.5138999999999783</v>
      </c>
    </row>
    <row r="21" spans="1:8" x14ac:dyDescent="0.3">
      <c r="A21">
        <v>20</v>
      </c>
      <c r="B21" t="s">
        <v>34</v>
      </c>
      <c r="C21">
        <v>2</v>
      </c>
      <c r="D21">
        <v>389</v>
      </c>
      <c r="E21">
        <v>34.223999999999997</v>
      </c>
      <c r="F21">
        <v>389.30128000000002</v>
      </c>
      <c r="G21">
        <f t="shared" si="0"/>
        <v>0.30128000000001975</v>
      </c>
      <c r="H21">
        <f t="shared" si="1"/>
        <v>0.30128000000001975</v>
      </c>
    </row>
    <row r="22" spans="1:8" x14ac:dyDescent="0.3">
      <c r="A22">
        <v>21</v>
      </c>
      <c r="B22" t="s">
        <v>35</v>
      </c>
      <c r="C22">
        <v>5</v>
      </c>
      <c r="D22">
        <v>279</v>
      </c>
      <c r="E22">
        <v>31.92</v>
      </c>
      <c r="F22">
        <v>278.52</v>
      </c>
      <c r="G22">
        <f t="shared" si="0"/>
        <v>-0.48000000000001819</v>
      </c>
      <c r="H22">
        <f t="shared" si="1"/>
        <v>0.48000000000001819</v>
      </c>
    </row>
    <row r="23" spans="1:8" x14ac:dyDescent="0.3">
      <c r="A23">
        <v>22</v>
      </c>
      <c r="B23" t="s">
        <v>36</v>
      </c>
      <c r="C23">
        <v>5</v>
      </c>
      <c r="D23">
        <v>316</v>
      </c>
      <c r="E23">
        <v>32.799000000000007</v>
      </c>
      <c r="F23">
        <v>317.55653000000029</v>
      </c>
      <c r="G23">
        <f t="shared" si="0"/>
        <v>1.5565300000002935</v>
      </c>
      <c r="H23">
        <f t="shared" si="1"/>
        <v>1.5565300000002935</v>
      </c>
    </row>
    <row r="24" spans="1:8" x14ac:dyDescent="0.3">
      <c r="A24">
        <v>23</v>
      </c>
      <c r="B24" t="s">
        <v>37</v>
      </c>
      <c r="C24">
        <v>1</v>
      </c>
      <c r="D24">
        <v>388</v>
      </c>
      <c r="E24">
        <v>33.975999999999999</v>
      </c>
      <c r="F24">
        <v>387.55271999999991</v>
      </c>
      <c r="G24">
        <f t="shared" si="0"/>
        <v>-0.4472800000000916</v>
      </c>
      <c r="H24">
        <f t="shared" si="1"/>
        <v>0.4472800000000916</v>
      </c>
    </row>
    <row r="25" spans="1:8" x14ac:dyDescent="0.3">
      <c r="A25">
        <v>24</v>
      </c>
      <c r="B25" t="s">
        <v>38</v>
      </c>
      <c r="C25">
        <v>2</v>
      </c>
      <c r="D25">
        <v>374</v>
      </c>
      <c r="E25">
        <v>33.969000000000001</v>
      </c>
      <c r="F25">
        <v>377.13643000000002</v>
      </c>
      <c r="G25">
        <f t="shared" si="0"/>
        <v>3.1364300000000185</v>
      </c>
      <c r="H25">
        <f t="shared" si="1"/>
        <v>3.1364300000000185</v>
      </c>
    </row>
    <row r="26" spans="1:8" x14ac:dyDescent="0.3">
      <c r="A26">
        <v>25</v>
      </c>
      <c r="B26" t="s">
        <v>39</v>
      </c>
      <c r="C26">
        <v>2</v>
      </c>
      <c r="D26">
        <v>166</v>
      </c>
      <c r="E26">
        <v>30.33</v>
      </c>
      <c r="F26">
        <v>168.7251</v>
      </c>
      <c r="G26">
        <f t="shared" si="0"/>
        <v>2.7250999999999976</v>
      </c>
      <c r="H26">
        <f t="shared" si="1"/>
        <v>2.7250999999999976</v>
      </c>
    </row>
    <row r="27" spans="1:8" x14ac:dyDescent="0.3">
      <c r="A27">
        <v>26</v>
      </c>
      <c r="B27" t="s">
        <v>40</v>
      </c>
      <c r="C27">
        <v>2</v>
      </c>
      <c r="D27">
        <v>220</v>
      </c>
      <c r="E27">
        <v>31.143999999999998</v>
      </c>
      <c r="F27">
        <v>219.13368000000014</v>
      </c>
      <c r="G27">
        <f t="shared" si="0"/>
        <v>-0.86631999999985965</v>
      </c>
      <c r="H27">
        <f t="shared" si="1"/>
        <v>0.86631999999985965</v>
      </c>
    </row>
    <row r="28" spans="1:8" x14ac:dyDescent="0.3">
      <c r="A28">
        <v>27</v>
      </c>
      <c r="B28" t="s">
        <v>41</v>
      </c>
      <c r="C28">
        <v>2</v>
      </c>
      <c r="D28">
        <v>246</v>
      </c>
      <c r="E28">
        <v>31.777999999999999</v>
      </c>
      <c r="F28">
        <v>246.83766</v>
      </c>
      <c r="G28">
        <f t="shared" si="0"/>
        <v>0.83765999999999963</v>
      </c>
      <c r="H28">
        <f t="shared" si="1"/>
        <v>0.83765999999999963</v>
      </c>
    </row>
    <row r="29" spans="1:8" x14ac:dyDescent="0.3">
      <c r="A29">
        <v>28</v>
      </c>
      <c r="B29" t="s">
        <v>42</v>
      </c>
      <c r="C29">
        <v>4</v>
      </c>
      <c r="D29">
        <v>369</v>
      </c>
      <c r="E29">
        <v>33.597000000000001</v>
      </c>
      <c r="F29">
        <v>365.01359000000002</v>
      </c>
      <c r="G29">
        <f t="shared" si="0"/>
        <v>-3.986409999999978</v>
      </c>
      <c r="H29">
        <f t="shared" si="1"/>
        <v>3.986409999999978</v>
      </c>
    </row>
    <row r="30" spans="1:8" x14ac:dyDescent="0.3">
      <c r="A30">
        <v>29</v>
      </c>
      <c r="B30" t="s">
        <v>43</v>
      </c>
      <c r="C30">
        <v>4</v>
      </c>
      <c r="D30">
        <v>195</v>
      </c>
      <c r="E30">
        <v>30.827000000000002</v>
      </c>
      <c r="F30">
        <v>198.28169</v>
      </c>
      <c r="G30">
        <f t="shared" si="0"/>
        <v>3.2816899999999976</v>
      </c>
      <c r="H30">
        <f t="shared" si="1"/>
        <v>3.2816899999999976</v>
      </c>
    </row>
    <row r="31" spans="1:8" x14ac:dyDescent="0.3">
      <c r="A31">
        <v>30</v>
      </c>
      <c r="B31" t="s">
        <v>44</v>
      </c>
      <c r="C31">
        <v>2</v>
      </c>
      <c r="D31">
        <v>262</v>
      </c>
      <c r="E31">
        <v>31.902000000000001</v>
      </c>
      <c r="F31">
        <v>264.21193999999991</v>
      </c>
      <c r="G31">
        <f t="shared" si="0"/>
        <v>2.2119399999999132</v>
      </c>
      <c r="H31">
        <f t="shared" si="1"/>
        <v>2.2119399999999132</v>
      </c>
    </row>
    <row r="32" spans="1:8" x14ac:dyDescent="0.3">
      <c r="A32">
        <v>31</v>
      </c>
      <c r="B32" t="s">
        <v>45</v>
      </c>
      <c r="C32">
        <v>1</v>
      </c>
      <c r="D32">
        <v>352</v>
      </c>
      <c r="E32">
        <v>33.466000000000001</v>
      </c>
      <c r="F32">
        <v>354.22302000000002</v>
      </c>
      <c r="G32">
        <f t="shared" si="0"/>
        <v>2.2230200000000195</v>
      </c>
      <c r="H32">
        <f t="shared" si="1"/>
        <v>2.2230200000000195</v>
      </c>
    </row>
    <row r="33" spans="1:8" x14ac:dyDescent="0.3">
      <c r="A33">
        <v>32</v>
      </c>
      <c r="B33" t="s">
        <v>46</v>
      </c>
      <c r="C33">
        <v>2</v>
      </c>
      <c r="D33">
        <v>303</v>
      </c>
      <c r="E33">
        <v>32.261000000000003</v>
      </c>
      <c r="F33">
        <v>301.52</v>
      </c>
      <c r="G33">
        <f t="shared" si="0"/>
        <v>-1.4800000000000182</v>
      </c>
      <c r="H33">
        <f t="shared" si="1"/>
        <v>1.4800000000000182</v>
      </c>
    </row>
    <row r="34" spans="1:8" x14ac:dyDescent="0.3">
      <c r="A34">
        <v>33</v>
      </c>
      <c r="B34" t="s">
        <v>47</v>
      </c>
      <c r="C34">
        <v>4</v>
      </c>
      <c r="D34">
        <v>309</v>
      </c>
      <c r="E34">
        <v>32.646000000000001</v>
      </c>
      <c r="F34">
        <v>308.45761999999991</v>
      </c>
      <c r="G34">
        <f t="shared" si="0"/>
        <v>-0.54238000000009379</v>
      </c>
      <c r="H34">
        <f t="shared" si="1"/>
        <v>0.54238000000009379</v>
      </c>
    </row>
    <row r="35" spans="1:8" x14ac:dyDescent="0.3">
      <c r="A35">
        <v>34</v>
      </c>
      <c r="B35" t="s">
        <v>48</v>
      </c>
      <c r="C35">
        <v>1</v>
      </c>
      <c r="D35">
        <v>253</v>
      </c>
      <c r="E35">
        <v>31.873000000000001</v>
      </c>
      <c r="F35">
        <v>252.48731000000001</v>
      </c>
      <c r="G35">
        <f t="shared" si="0"/>
        <v>-0.5126899999999921</v>
      </c>
      <c r="H35">
        <f t="shared" si="1"/>
        <v>0.5126899999999921</v>
      </c>
    </row>
    <row r="36" spans="1:8" x14ac:dyDescent="0.3">
      <c r="A36">
        <v>35</v>
      </c>
      <c r="B36" t="s">
        <v>49</v>
      </c>
      <c r="C36">
        <v>5</v>
      </c>
      <c r="D36">
        <v>336</v>
      </c>
      <c r="E36">
        <v>32.982999999999997</v>
      </c>
      <c r="F36">
        <v>339.49901</v>
      </c>
      <c r="G36">
        <f t="shared" si="0"/>
        <v>3.4990099999999984</v>
      </c>
      <c r="H36">
        <f t="shared" si="1"/>
        <v>3.4990099999999984</v>
      </c>
    </row>
    <row r="37" spans="1:8" x14ac:dyDescent="0.3">
      <c r="A37">
        <v>36</v>
      </c>
      <c r="B37" t="s">
        <v>50</v>
      </c>
      <c r="C37">
        <v>4</v>
      </c>
      <c r="D37">
        <v>326</v>
      </c>
      <c r="E37">
        <v>33.124000000000002</v>
      </c>
      <c r="F37">
        <v>325.88427999999999</v>
      </c>
      <c r="G37">
        <f t="shared" si="0"/>
        <v>-0.11572000000001026</v>
      </c>
      <c r="H37">
        <f t="shared" si="1"/>
        <v>0.11572000000001026</v>
      </c>
    </row>
    <row r="38" spans="1:8" x14ac:dyDescent="0.3">
      <c r="A38">
        <v>37</v>
      </c>
      <c r="B38" t="s">
        <v>51</v>
      </c>
      <c r="C38">
        <v>3</v>
      </c>
      <c r="D38">
        <v>255</v>
      </c>
      <c r="E38">
        <v>31.704000000000001</v>
      </c>
      <c r="F38">
        <v>252.4368800000002</v>
      </c>
      <c r="G38">
        <f t="shared" si="0"/>
        <v>-2.5631199999997989</v>
      </c>
      <c r="H38">
        <f t="shared" si="1"/>
        <v>2.5631199999997989</v>
      </c>
    </row>
    <row r="39" spans="1:8" x14ac:dyDescent="0.3">
      <c r="A39">
        <v>38</v>
      </c>
      <c r="B39" t="s">
        <v>52</v>
      </c>
      <c r="C39">
        <v>2</v>
      </c>
      <c r="D39">
        <v>371</v>
      </c>
      <c r="E39">
        <v>33.991999999999997</v>
      </c>
      <c r="F39">
        <v>369.31</v>
      </c>
      <c r="G39">
        <f t="shared" si="0"/>
        <v>-1.6899999999999977</v>
      </c>
      <c r="H39">
        <f t="shared" si="1"/>
        <v>1.6899999999999977</v>
      </c>
    </row>
    <row r="40" spans="1:8" x14ac:dyDescent="0.3">
      <c r="A40">
        <v>39</v>
      </c>
      <c r="B40" t="s">
        <v>53</v>
      </c>
      <c r="C40">
        <v>3</v>
      </c>
      <c r="D40">
        <v>305</v>
      </c>
      <c r="E40">
        <v>32.786000000000001</v>
      </c>
      <c r="F40">
        <v>304.78341999999998</v>
      </c>
      <c r="G40">
        <f t="shared" si="0"/>
        <v>-0.21658000000002176</v>
      </c>
      <c r="H40">
        <f t="shared" si="1"/>
        <v>0.21658000000002176</v>
      </c>
    </row>
    <row r="41" spans="1:8" x14ac:dyDescent="0.3">
      <c r="A41">
        <v>40</v>
      </c>
      <c r="B41" t="s">
        <v>54</v>
      </c>
      <c r="C41">
        <v>1</v>
      </c>
      <c r="D41">
        <v>246</v>
      </c>
      <c r="E41">
        <v>31.559000000000001</v>
      </c>
      <c r="F41">
        <v>243.81373000000008</v>
      </c>
      <c r="G41">
        <f t="shared" si="0"/>
        <v>-2.1862699999999222</v>
      </c>
      <c r="H41">
        <f t="shared" si="1"/>
        <v>2.1862699999999222</v>
      </c>
    </row>
    <row r="42" spans="1:8" x14ac:dyDescent="0.3">
      <c r="A42">
        <v>41</v>
      </c>
      <c r="B42" t="s">
        <v>55</v>
      </c>
      <c r="C42">
        <v>4</v>
      </c>
      <c r="D42">
        <v>325</v>
      </c>
      <c r="E42">
        <v>32.798000000000002</v>
      </c>
      <c r="F42">
        <v>323.49705999999998</v>
      </c>
      <c r="G42">
        <f t="shared" si="0"/>
        <v>-1.5029400000000237</v>
      </c>
      <c r="H42">
        <f t="shared" si="1"/>
        <v>1.5029400000000237</v>
      </c>
    </row>
    <row r="43" spans="1:8" x14ac:dyDescent="0.3">
      <c r="A43">
        <v>42</v>
      </c>
      <c r="B43" t="s">
        <v>56</v>
      </c>
      <c r="C43">
        <v>4</v>
      </c>
      <c r="D43">
        <v>252</v>
      </c>
      <c r="E43">
        <v>31.66</v>
      </c>
      <c r="F43">
        <v>249.82020000000011</v>
      </c>
      <c r="G43">
        <f t="shared" si="0"/>
        <v>-2.1797999999998865</v>
      </c>
      <c r="H43">
        <f t="shared" si="1"/>
        <v>2.1797999999998865</v>
      </c>
    </row>
    <row r="44" spans="1:8" x14ac:dyDescent="0.3">
      <c r="A44">
        <v>43</v>
      </c>
      <c r="B44" t="s">
        <v>57</v>
      </c>
      <c r="C44">
        <v>2</v>
      </c>
      <c r="D44">
        <v>272</v>
      </c>
      <c r="E44">
        <v>32.040000000000013</v>
      </c>
      <c r="F44">
        <v>272.41880000000037</v>
      </c>
      <c r="G44">
        <f t="shared" si="0"/>
        <v>0.41880000000037398</v>
      </c>
      <c r="H44">
        <f t="shared" si="1"/>
        <v>0.41880000000037398</v>
      </c>
    </row>
    <row r="45" spans="1:8" x14ac:dyDescent="0.3">
      <c r="A45">
        <v>44</v>
      </c>
      <c r="B45" t="s">
        <v>58</v>
      </c>
      <c r="C45">
        <v>5</v>
      </c>
      <c r="D45">
        <v>315</v>
      </c>
      <c r="E45">
        <v>32.807000000000002</v>
      </c>
      <c r="F45">
        <v>318.0322900000001</v>
      </c>
      <c r="G45">
        <f t="shared" si="0"/>
        <v>3.0322900000001027</v>
      </c>
      <c r="H45">
        <f t="shared" si="1"/>
        <v>3.0322900000001027</v>
      </c>
    </row>
    <row r="46" spans="1:8" x14ac:dyDescent="0.3">
      <c r="A46">
        <v>45</v>
      </c>
      <c r="B46" t="s">
        <v>59</v>
      </c>
      <c r="C46">
        <v>4</v>
      </c>
      <c r="D46">
        <v>206</v>
      </c>
      <c r="E46">
        <v>31.151</v>
      </c>
      <c r="F46">
        <v>204.54997</v>
      </c>
      <c r="G46">
        <f t="shared" si="0"/>
        <v>-1.4500299999999982</v>
      </c>
      <c r="H46">
        <f t="shared" si="1"/>
        <v>1.4500299999999982</v>
      </c>
    </row>
    <row r="47" spans="1:8" x14ac:dyDescent="0.3">
      <c r="A47">
        <v>46</v>
      </c>
      <c r="B47" t="s">
        <v>60</v>
      </c>
      <c r="C47">
        <v>2</v>
      </c>
      <c r="D47">
        <v>255</v>
      </c>
      <c r="E47">
        <v>31.849</v>
      </c>
      <c r="F47">
        <v>251.06003000000001</v>
      </c>
      <c r="G47">
        <f t="shared" si="0"/>
        <v>-3.9399699999999882</v>
      </c>
      <c r="H47">
        <f t="shared" si="1"/>
        <v>3.9399699999999882</v>
      </c>
    </row>
    <row r="48" spans="1:8" x14ac:dyDescent="0.3">
      <c r="A48">
        <v>47</v>
      </c>
      <c r="B48" t="s">
        <v>61</v>
      </c>
      <c r="C48">
        <v>1</v>
      </c>
      <c r="D48">
        <v>208</v>
      </c>
      <c r="E48">
        <v>31.024000000000001</v>
      </c>
      <c r="F48">
        <v>210.99727999999999</v>
      </c>
      <c r="G48">
        <f t="shared" si="0"/>
        <v>2.9972799999999893</v>
      </c>
      <c r="H48">
        <f t="shared" si="1"/>
        <v>2.9972799999999893</v>
      </c>
    </row>
    <row r="49" spans="1:8" x14ac:dyDescent="0.3">
      <c r="A49">
        <v>48</v>
      </c>
      <c r="B49" t="s">
        <v>62</v>
      </c>
      <c r="C49">
        <v>4</v>
      </c>
      <c r="D49">
        <v>251</v>
      </c>
      <c r="E49">
        <v>31.509</v>
      </c>
      <c r="F49">
        <v>250.17</v>
      </c>
      <c r="G49">
        <f t="shared" si="0"/>
        <v>-0.83000000000001251</v>
      </c>
      <c r="H49">
        <f t="shared" si="1"/>
        <v>0.83000000000001251</v>
      </c>
    </row>
    <row r="50" spans="1:8" x14ac:dyDescent="0.3">
      <c r="A50">
        <v>49</v>
      </c>
      <c r="B50" t="s">
        <v>63</v>
      </c>
      <c r="C50">
        <v>5</v>
      </c>
      <c r="D50">
        <v>340</v>
      </c>
      <c r="E50">
        <v>33.121000000000002</v>
      </c>
      <c r="F50">
        <v>336.70587</v>
      </c>
      <c r="G50">
        <f t="shared" si="0"/>
        <v>-3.2941299999999956</v>
      </c>
      <c r="H50">
        <f t="shared" si="1"/>
        <v>3.2941299999999956</v>
      </c>
    </row>
    <row r="51" spans="1:8" x14ac:dyDescent="0.3">
      <c r="A51">
        <v>50</v>
      </c>
      <c r="B51" t="s">
        <v>64</v>
      </c>
      <c r="C51">
        <v>5</v>
      </c>
      <c r="D51">
        <v>177</v>
      </c>
      <c r="E51">
        <v>30.713000000000001</v>
      </c>
      <c r="F51">
        <v>176.52</v>
      </c>
      <c r="G51">
        <f t="shared" si="0"/>
        <v>-0.47999999999998977</v>
      </c>
      <c r="H51">
        <f t="shared" si="1"/>
        <v>0.47999999999998977</v>
      </c>
    </row>
    <row r="52" spans="1:8" x14ac:dyDescent="0.3">
      <c r="A52">
        <v>51</v>
      </c>
      <c r="B52" t="s">
        <v>65</v>
      </c>
      <c r="C52">
        <v>5</v>
      </c>
      <c r="D52">
        <v>252</v>
      </c>
      <c r="E52">
        <v>31.637</v>
      </c>
      <c r="F52">
        <v>248.45239000000015</v>
      </c>
      <c r="G52">
        <f t="shared" si="0"/>
        <v>-3.5476099999998496</v>
      </c>
      <c r="H52">
        <f t="shared" si="1"/>
        <v>3.5476099999998496</v>
      </c>
    </row>
    <row r="53" spans="1:8" x14ac:dyDescent="0.3">
      <c r="A53">
        <v>52</v>
      </c>
      <c r="B53" t="s">
        <v>66</v>
      </c>
      <c r="C53">
        <v>4</v>
      </c>
      <c r="D53">
        <v>277</v>
      </c>
      <c r="E53">
        <v>32.167000000000002</v>
      </c>
      <c r="F53">
        <v>279.97149000000013</v>
      </c>
      <c r="G53">
        <f t="shared" si="0"/>
        <v>2.9714900000001307</v>
      </c>
      <c r="H53">
        <f t="shared" si="1"/>
        <v>2.9714900000001307</v>
      </c>
    </row>
    <row r="54" spans="1:8" x14ac:dyDescent="0.3">
      <c r="A54">
        <v>53</v>
      </c>
      <c r="B54" t="s">
        <v>67</v>
      </c>
      <c r="C54">
        <v>5</v>
      </c>
      <c r="D54">
        <v>188</v>
      </c>
      <c r="E54">
        <v>30.719000000000001</v>
      </c>
      <c r="F54">
        <v>183.85892999999999</v>
      </c>
      <c r="G54">
        <f t="shared" si="0"/>
        <v>-4.1410700000000134</v>
      </c>
      <c r="H54">
        <f t="shared" si="1"/>
        <v>4.1410700000000134</v>
      </c>
    </row>
    <row r="55" spans="1:8" x14ac:dyDescent="0.3">
      <c r="A55">
        <v>54</v>
      </c>
      <c r="B55" t="s">
        <v>68</v>
      </c>
      <c r="C55">
        <v>5</v>
      </c>
      <c r="D55">
        <v>303</v>
      </c>
      <c r="E55">
        <v>32.454000000000008</v>
      </c>
      <c r="F55">
        <v>299.03937999999999</v>
      </c>
      <c r="G55">
        <f t="shared" si="0"/>
        <v>-3.9606200000000058</v>
      </c>
      <c r="H55">
        <f t="shared" si="1"/>
        <v>3.9606200000000058</v>
      </c>
    </row>
    <row r="56" spans="1:8" x14ac:dyDescent="0.3">
      <c r="A56">
        <v>55</v>
      </c>
      <c r="B56" t="s">
        <v>69</v>
      </c>
      <c r="C56">
        <v>5</v>
      </c>
      <c r="D56">
        <v>171</v>
      </c>
      <c r="E56">
        <v>30.175999999999998</v>
      </c>
      <c r="F56">
        <v>169.56672</v>
      </c>
      <c r="G56">
        <f t="shared" si="0"/>
        <v>-1.4332799999999963</v>
      </c>
      <c r="H56">
        <f t="shared" si="1"/>
        <v>1.4332799999999963</v>
      </c>
    </row>
    <row r="57" spans="1:8" x14ac:dyDescent="0.3">
      <c r="A57">
        <v>56</v>
      </c>
      <c r="B57" t="s">
        <v>70</v>
      </c>
      <c r="C57">
        <v>1</v>
      </c>
      <c r="D57">
        <v>302</v>
      </c>
      <c r="E57">
        <v>32.395000000000003</v>
      </c>
      <c r="F57">
        <v>299.53064999999998</v>
      </c>
      <c r="G57">
        <f t="shared" si="0"/>
        <v>-2.4693500000000199</v>
      </c>
      <c r="H57">
        <f t="shared" si="1"/>
        <v>2.4693500000000199</v>
      </c>
    </row>
    <row r="58" spans="1:8" x14ac:dyDescent="0.3">
      <c r="A58">
        <v>57</v>
      </c>
      <c r="B58" t="s">
        <v>71</v>
      </c>
      <c r="C58">
        <v>2</v>
      </c>
      <c r="D58">
        <v>299</v>
      </c>
      <c r="E58">
        <v>32.621000000000002</v>
      </c>
      <c r="F58">
        <v>301.97086999999999</v>
      </c>
      <c r="G58">
        <f t="shared" si="0"/>
        <v>2.9708699999999908</v>
      </c>
      <c r="H58">
        <f t="shared" si="1"/>
        <v>2.9708699999999908</v>
      </c>
    </row>
    <row r="59" spans="1:8" x14ac:dyDescent="0.3">
      <c r="A59">
        <v>58</v>
      </c>
      <c r="B59" t="s">
        <v>72</v>
      </c>
      <c r="C59">
        <v>2</v>
      </c>
      <c r="D59">
        <v>203</v>
      </c>
      <c r="E59">
        <v>30.925000000000001</v>
      </c>
      <c r="F59">
        <v>206.1097500000003</v>
      </c>
      <c r="G59">
        <f t="shared" si="0"/>
        <v>3.1097500000003038</v>
      </c>
      <c r="H59">
        <f t="shared" si="1"/>
        <v>3.1097500000003038</v>
      </c>
    </row>
    <row r="60" spans="1:8" x14ac:dyDescent="0.3">
      <c r="A60">
        <v>59</v>
      </c>
      <c r="B60" t="s">
        <v>73</v>
      </c>
      <c r="C60">
        <v>5</v>
      </c>
      <c r="D60">
        <v>256</v>
      </c>
      <c r="E60">
        <v>31.71</v>
      </c>
      <c r="F60">
        <v>252.79370000000017</v>
      </c>
      <c r="G60">
        <f t="shared" si="0"/>
        <v>-3.2062999999998283</v>
      </c>
      <c r="H60">
        <f t="shared" si="1"/>
        <v>3.2062999999998283</v>
      </c>
    </row>
    <row r="61" spans="1:8" x14ac:dyDescent="0.3">
      <c r="A61">
        <v>60</v>
      </c>
      <c r="B61" t="s">
        <v>74</v>
      </c>
      <c r="C61">
        <v>3</v>
      </c>
      <c r="D61">
        <v>326</v>
      </c>
      <c r="E61">
        <v>32.789000000000001</v>
      </c>
      <c r="F61">
        <v>324.96183000000002</v>
      </c>
      <c r="G61">
        <f t="shared" si="0"/>
        <v>-1.0381699999999796</v>
      </c>
      <c r="H61">
        <f t="shared" si="1"/>
        <v>1.0381699999999796</v>
      </c>
    </row>
    <row r="62" spans="1:8" x14ac:dyDescent="0.3">
      <c r="A62">
        <v>61</v>
      </c>
      <c r="B62" t="s">
        <v>75</v>
      </c>
      <c r="C62">
        <v>2</v>
      </c>
      <c r="D62">
        <v>261</v>
      </c>
      <c r="E62">
        <v>31.919</v>
      </c>
      <c r="F62">
        <v>264.22293000000002</v>
      </c>
      <c r="G62">
        <f t="shared" si="0"/>
        <v>3.2229300000000194</v>
      </c>
      <c r="H62">
        <f t="shared" si="1"/>
        <v>3.2229300000000194</v>
      </c>
    </row>
    <row r="63" spans="1:8" x14ac:dyDescent="0.3">
      <c r="A63">
        <v>62</v>
      </c>
      <c r="B63" t="s">
        <v>76</v>
      </c>
      <c r="C63">
        <v>4</v>
      </c>
      <c r="D63">
        <v>170</v>
      </c>
      <c r="E63">
        <v>30.337</v>
      </c>
      <c r="F63">
        <v>171.14139000000023</v>
      </c>
      <c r="G63">
        <f t="shared" si="0"/>
        <v>1.1413900000002286</v>
      </c>
      <c r="H63">
        <f t="shared" si="1"/>
        <v>1.1413900000002286</v>
      </c>
    </row>
    <row r="64" spans="1:8" x14ac:dyDescent="0.3">
      <c r="A64">
        <v>63</v>
      </c>
      <c r="B64" t="s">
        <v>77</v>
      </c>
      <c r="C64">
        <v>4</v>
      </c>
      <c r="D64">
        <v>274</v>
      </c>
      <c r="E64">
        <v>32.235999999999997</v>
      </c>
      <c r="F64">
        <v>273.07492000000002</v>
      </c>
      <c r="G64">
        <f t="shared" si="0"/>
        <v>-0.92507999999997992</v>
      </c>
      <c r="H64">
        <f t="shared" si="1"/>
        <v>0.92507999999997992</v>
      </c>
    </row>
    <row r="65" spans="1:8" x14ac:dyDescent="0.3">
      <c r="A65">
        <v>64</v>
      </c>
      <c r="B65" t="s">
        <v>78</v>
      </c>
      <c r="C65">
        <v>1</v>
      </c>
      <c r="D65">
        <v>288</v>
      </c>
      <c r="E65">
        <v>32.478000000000002</v>
      </c>
      <c r="F65">
        <v>288.46665999999999</v>
      </c>
      <c r="G65">
        <f t="shared" si="0"/>
        <v>0.4666599999999903</v>
      </c>
      <c r="H65">
        <f t="shared" si="1"/>
        <v>0.4666599999999903</v>
      </c>
    </row>
    <row r="66" spans="1:8" x14ac:dyDescent="0.3">
      <c r="A66">
        <v>65</v>
      </c>
      <c r="B66" t="s">
        <v>79</v>
      </c>
      <c r="C66">
        <v>4</v>
      </c>
      <c r="D66">
        <v>293</v>
      </c>
      <c r="E66">
        <v>32.259</v>
      </c>
      <c r="F66">
        <v>293.44272999999998</v>
      </c>
      <c r="G66">
        <f t="shared" si="0"/>
        <v>0.44272999999998319</v>
      </c>
      <c r="H66">
        <f t="shared" si="1"/>
        <v>0.44272999999998319</v>
      </c>
    </row>
    <row r="67" spans="1:8" x14ac:dyDescent="0.3">
      <c r="A67">
        <v>66</v>
      </c>
      <c r="B67" t="s">
        <v>80</v>
      </c>
      <c r="C67">
        <v>4</v>
      </c>
      <c r="D67">
        <v>320</v>
      </c>
      <c r="E67">
        <v>32.628</v>
      </c>
      <c r="F67">
        <v>318.16000000000003</v>
      </c>
      <c r="G67">
        <f t="shared" ref="G67:G130" si="2">F67-D67</f>
        <v>-1.839999999999975</v>
      </c>
      <c r="H67">
        <f t="shared" ref="H67:H130" si="3">ABS(F67-D67)</f>
        <v>1.839999999999975</v>
      </c>
    </row>
    <row r="68" spans="1:8" x14ac:dyDescent="0.3">
      <c r="A68">
        <v>67</v>
      </c>
      <c r="B68" t="s">
        <v>81</v>
      </c>
      <c r="C68">
        <v>2</v>
      </c>
      <c r="D68">
        <v>306</v>
      </c>
      <c r="E68">
        <v>32.618000000000002</v>
      </c>
      <c r="F68">
        <v>306.79246000000012</v>
      </c>
      <c r="G68">
        <f t="shared" si="2"/>
        <v>0.79246000000011918</v>
      </c>
      <c r="H68">
        <f t="shared" si="3"/>
        <v>0.79246000000011918</v>
      </c>
    </row>
    <row r="69" spans="1:8" x14ac:dyDescent="0.3">
      <c r="A69">
        <v>68</v>
      </c>
      <c r="B69" t="s">
        <v>82</v>
      </c>
      <c r="C69">
        <v>2</v>
      </c>
      <c r="D69">
        <v>369</v>
      </c>
      <c r="E69">
        <v>33.494999999999997</v>
      </c>
      <c r="F69">
        <v>368.52</v>
      </c>
      <c r="G69">
        <f t="shared" si="2"/>
        <v>-0.48000000000001819</v>
      </c>
      <c r="H69">
        <f t="shared" si="3"/>
        <v>0.48000000000001819</v>
      </c>
    </row>
    <row r="70" spans="1:8" x14ac:dyDescent="0.3">
      <c r="A70">
        <v>69</v>
      </c>
      <c r="B70" t="s">
        <v>83</v>
      </c>
      <c r="C70">
        <v>1</v>
      </c>
      <c r="D70">
        <v>223</v>
      </c>
      <c r="E70">
        <v>31.145</v>
      </c>
      <c r="F70">
        <v>219.19315000000006</v>
      </c>
      <c r="G70">
        <f t="shared" si="2"/>
        <v>-3.8068499999999403</v>
      </c>
      <c r="H70">
        <f t="shared" si="3"/>
        <v>3.8068499999999403</v>
      </c>
    </row>
    <row r="71" spans="1:8" x14ac:dyDescent="0.3">
      <c r="A71">
        <v>70</v>
      </c>
      <c r="B71" t="s">
        <v>84</v>
      </c>
      <c r="C71">
        <v>1</v>
      </c>
      <c r="D71">
        <v>169</v>
      </c>
      <c r="E71">
        <v>30.408999999999999</v>
      </c>
      <c r="F71">
        <v>165.42322999999999</v>
      </c>
      <c r="G71">
        <f t="shared" si="2"/>
        <v>-3.5767700000000104</v>
      </c>
      <c r="H71">
        <f t="shared" si="3"/>
        <v>3.5767700000000104</v>
      </c>
    </row>
    <row r="72" spans="1:8" x14ac:dyDescent="0.3">
      <c r="A72">
        <v>71</v>
      </c>
      <c r="B72" t="s">
        <v>85</v>
      </c>
      <c r="C72">
        <v>1</v>
      </c>
      <c r="D72">
        <v>334</v>
      </c>
      <c r="E72">
        <v>33.011000000000003</v>
      </c>
      <c r="F72">
        <v>330.16417000000024</v>
      </c>
      <c r="G72">
        <f t="shared" si="2"/>
        <v>-3.8358299999997598</v>
      </c>
      <c r="H72">
        <f t="shared" si="3"/>
        <v>3.8358299999997598</v>
      </c>
    </row>
    <row r="73" spans="1:8" x14ac:dyDescent="0.3">
      <c r="A73">
        <v>72</v>
      </c>
      <c r="B73" t="s">
        <v>86</v>
      </c>
      <c r="C73">
        <v>5</v>
      </c>
      <c r="D73">
        <v>277</v>
      </c>
      <c r="E73">
        <v>31.867000000000001</v>
      </c>
      <c r="F73">
        <v>276.12</v>
      </c>
      <c r="G73">
        <f t="shared" si="2"/>
        <v>-0.87999999999999545</v>
      </c>
      <c r="H73">
        <f t="shared" si="3"/>
        <v>0.87999999999999545</v>
      </c>
    </row>
    <row r="74" spans="1:8" x14ac:dyDescent="0.3">
      <c r="A74">
        <v>73</v>
      </c>
      <c r="B74" t="s">
        <v>87</v>
      </c>
      <c r="C74">
        <v>1</v>
      </c>
      <c r="D74">
        <v>209</v>
      </c>
      <c r="E74">
        <v>30.98</v>
      </c>
      <c r="F74">
        <v>209.38060000000019</v>
      </c>
      <c r="G74">
        <f t="shared" si="2"/>
        <v>0.3806000000001859</v>
      </c>
      <c r="H74">
        <f t="shared" si="3"/>
        <v>0.3806000000001859</v>
      </c>
    </row>
    <row r="75" spans="1:8" x14ac:dyDescent="0.3">
      <c r="A75">
        <v>74</v>
      </c>
      <c r="B75" t="s">
        <v>88</v>
      </c>
      <c r="C75">
        <v>1</v>
      </c>
      <c r="D75">
        <v>363</v>
      </c>
      <c r="E75">
        <v>33.307000000000002</v>
      </c>
      <c r="F75">
        <v>362.51</v>
      </c>
      <c r="G75">
        <f t="shared" si="2"/>
        <v>-0.49000000000000909</v>
      </c>
      <c r="H75">
        <f t="shared" si="3"/>
        <v>0.49000000000000909</v>
      </c>
    </row>
    <row r="76" spans="1:8" x14ac:dyDescent="0.3">
      <c r="A76">
        <v>75</v>
      </c>
      <c r="B76" t="s">
        <v>89</v>
      </c>
      <c r="C76">
        <v>3</v>
      </c>
      <c r="D76">
        <v>227</v>
      </c>
      <c r="E76">
        <v>31.687999999999999</v>
      </c>
      <c r="F76">
        <v>226.51</v>
      </c>
      <c r="G76">
        <f t="shared" si="2"/>
        <v>-0.49000000000000909</v>
      </c>
      <c r="H76">
        <f t="shared" si="3"/>
        <v>0.49000000000000909</v>
      </c>
    </row>
    <row r="77" spans="1:8" x14ac:dyDescent="0.3">
      <c r="A77">
        <v>76</v>
      </c>
      <c r="B77" t="s">
        <v>90</v>
      </c>
      <c r="C77">
        <v>1</v>
      </c>
      <c r="D77">
        <v>343</v>
      </c>
      <c r="E77">
        <v>33.094000000000001</v>
      </c>
      <c r="F77">
        <v>341.10018000000002</v>
      </c>
      <c r="G77">
        <f t="shared" si="2"/>
        <v>-1.899819999999977</v>
      </c>
      <c r="H77">
        <f t="shared" si="3"/>
        <v>1.899819999999977</v>
      </c>
    </row>
    <row r="78" spans="1:8" x14ac:dyDescent="0.3">
      <c r="A78">
        <v>77</v>
      </c>
      <c r="B78" t="s">
        <v>91</v>
      </c>
      <c r="C78">
        <v>1</v>
      </c>
      <c r="D78">
        <v>305</v>
      </c>
      <c r="E78">
        <v>32.572000000000003</v>
      </c>
      <c r="F78">
        <v>304.05684000000019</v>
      </c>
      <c r="G78">
        <f t="shared" si="2"/>
        <v>-0.94315999999980704</v>
      </c>
      <c r="H78">
        <f t="shared" si="3"/>
        <v>0.94315999999980704</v>
      </c>
    </row>
    <row r="79" spans="1:8" x14ac:dyDescent="0.3">
      <c r="A79">
        <v>78</v>
      </c>
      <c r="B79" t="s">
        <v>92</v>
      </c>
      <c r="C79">
        <v>1</v>
      </c>
      <c r="D79">
        <v>365</v>
      </c>
      <c r="E79">
        <v>33.647000000000013</v>
      </c>
      <c r="F79">
        <v>367.98709000000031</v>
      </c>
      <c r="G79">
        <f t="shared" si="2"/>
        <v>2.9870900000003076</v>
      </c>
      <c r="H79">
        <f t="shared" si="3"/>
        <v>2.9870900000003076</v>
      </c>
    </row>
    <row r="80" spans="1:8" x14ac:dyDescent="0.3">
      <c r="A80">
        <v>79</v>
      </c>
      <c r="B80" t="s">
        <v>93</v>
      </c>
      <c r="C80">
        <v>1</v>
      </c>
      <c r="D80">
        <v>309</v>
      </c>
      <c r="E80">
        <v>32.642000000000003</v>
      </c>
      <c r="F80">
        <v>308.21974000000023</v>
      </c>
      <c r="G80">
        <f t="shared" si="2"/>
        <v>-0.78025999999977103</v>
      </c>
      <c r="H80">
        <f t="shared" si="3"/>
        <v>0.78025999999977103</v>
      </c>
    </row>
    <row r="81" spans="1:8" x14ac:dyDescent="0.3">
      <c r="A81">
        <v>80</v>
      </c>
      <c r="B81" t="s">
        <v>94</v>
      </c>
      <c r="C81">
        <v>1</v>
      </c>
      <c r="D81">
        <v>302</v>
      </c>
      <c r="E81">
        <v>32.841000000000001</v>
      </c>
      <c r="F81">
        <v>301.20999999999998</v>
      </c>
      <c r="G81">
        <f t="shared" si="2"/>
        <v>-0.79000000000002046</v>
      </c>
      <c r="H81">
        <f t="shared" si="3"/>
        <v>0.79000000000002046</v>
      </c>
    </row>
    <row r="82" spans="1:8" x14ac:dyDescent="0.3">
      <c r="A82">
        <v>81</v>
      </c>
      <c r="B82" t="s">
        <v>95</v>
      </c>
      <c r="C82">
        <v>5</v>
      </c>
      <c r="D82">
        <v>243</v>
      </c>
      <c r="E82">
        <v>31.571000000000002</v>
      </c>
      <c r="F82">
        <v>244.52737000000002</v>
      </c>
      <c r="G82">
        <f t="shared" si="2"/>
        <v>1.527370000000019</v>
      </c>
      <c r="H82">
        <f t="shared" si="3"/>
        <v>1.527370000000019</v>
      </c>
    </row>
    <row r="83" spans="1:8" x14ac:dyDescent="0.3">
      <c r="A83">
        <v>82</v>
      </c>
      <c r="B83" t="s">
        <v>96</v>
      </c>
      <c r="C83">
        <v>3</v>
      </c>
      <c r="D83">
        <v>250</v>
      </c>
      <c r="E83">
        <v>31.6</v>
      </c>
      <c r="F83">
        <v>246.25199999999995</v>
      </c>
      <c r="G83">
        <f t="shared" si="2"/>
        <v>-3.7480000000000473</v>
      </c>
      <c r="H83">
        <f t="shared" si="3"/>
        <v>3.7480000000000473</v>
      </c>
    </row>
    <row r="84" spans="1:8" x14ac:dyDescent="0.3">
      <c r="A84">
        <v>83</v>
      </c>
      <c r="B84" t="s">
        <v>97</v>
      </c>
      <c r="C84">
        <v>1</v>
      </c>
      <c r="D84">
        <v>392</v>
      </c>
      <c r="E84">
        <v>33.805999999999997</v>
      </c>
      <c r="F84">
        <v>390.52</v>
      </c>
      <c r="G84">
        <f t="shared" si="2"/>
        <v>-1.4800000000000182</v>
      </c>
      <c r="H84">
        <f t="shared" si="3"/>
        <v>1.4800000000000182</v>
      </c>
    </row>
    <row r="85" spans="1:8" x14ac:dyDescent="0.3">
      <c r="A85">
        <v>84</v>
      </c>
      <c r="B85" t="s">
        <v>98</v>
      </c>
      <c r="C85">
        <v>3</v>
      </c>
      <c r="D85">
        <v>256</v>
      </c>
      <c r="E85">
        <v>31.846</v>
      </c>
      <c r="F85">
        <v>259.88162</v>
      </c>
      <c r="G85">
        <f t="shared" si="2"/>
        <v>3.8816199999999981</v>
      </c>
      <c r="H85">
        <f t="shared" si="3"/>
        <v>3.8816199999999981</v>
      </c>
    </row>
    <row r="86" spans="1:8" x14ac:dyDescent="0.3">
      <c r="A86">
        <v>85</v>
      </c>
      <c r="B86" t="s">
        <v>99</v>
      </c>
      <c r="C86">
        <v>1</v>
      </c>
      <c r="D86">
        <v>284</v>
      </c>
      <c r="E86">
        <v>32.359000000000002</v>
      </c>
      <c r="F86">
        <v>284.38972999999999</v>
      </c>
      <c r="G86">
        <f t="shared" si="2"/>
        <v>0.38972999999998592</v>
      </c>
      <c r="H86">
        <f t="shared" si="3"/>
        <v>0.38972999999998592</v>
      </c>
    </row>
    <row r="87" spans="1:8" x14ac:dyDescent="0.3">
      <c r="A87">
        <v>86</v>
      </c>
      <c r="B87" t="s">
        <v>100</v>
      </c>
      <c r="C87">
        <v>4</v>
      </c>
      <c r="D87">
        <v>100</v>
      </c>
      <c r="E87">
        <v>29.225000000000001</v>
      </c>
      <c r="F87">
        <v>102.01075</v>
      </c>
      <c r="G87">
        <f t="shared" si="2"/>
        <v>2.0107500000000016</v>
      </c>
      <c r="H87">
        <f t="shared" si="3"/>
        <v>2.0107500000000016</v>
      </c>
    </row>
    <row r="88" spans="1:8" x14ac:dyDescent="0.3">
      <c r="A88">
        <v>87</v>
      </c>
      <c r="B88" t="s">
        <v>101</v>
      </c>
      <c r="C88">
        <v>1</v>
      </c>
      <c r="D88">
        <v>325</v>
      </c>
      <c r="E88">
        <v>32.776000000000003</v>
      </c>
      <c r="F88">
        <v>322.18871999999999</v>
      </c>
      <c r="G88">
        <f t="shared" si="2"/>
        <v>-2.8112800000000107</v>
      </c>
      <c r="H88">
        <f t="shared" si="3"/>
        <v>2.8112800000000107</v>
      </c>
    </row>
    <row r="89" spans="1:8" x14ac:dyDescent="0.3">
      <c r="A89">
        <v>88</v>
      </c>
      <c r="B89" t="s">
        <v>102</v>
      </c>
      <c r="C89">
        <v>5</v>
      </c>
      <c r="D89">
        <v>277</v>
      </c>
      <c r="E89">
        <v>32.066000000000003</v>
      </c>
      <c r="F89">
        <v>273.9650200000001</v>
      </c>
      <c r="G89">
        <f t="shared" si="2"/>
        <v>-3.034979999999905</v>
      </c>
      <c r="H89">
        <f t="shared" si="3"/>
        <v>3.034979999999905</v>
      </c>
    </row>
    <row r="90" spans="1:8" x14ac:dyDescent="0.3">
      <c r="A90">
        <v>89</v>
      </c>
      <c r="B90" t="s">
        <v>103</v>
      </c>
      <c r="C90">
        <v>5</v>
      </c>
      <c r="D90">
        <v>303</v>
      </c>
      <c r="E90">
        <v>32.628</v>
      </c>
      <c r="F90">
        <v>307.38715999999999</v>
      </c>
      <c r="G90">
        <f t="shared" si="2"/>
        <v>4.3871599999999944</v>
      </c>
      <c r="H90">
        <f t="shared" si="3"/>
        <v>4.3871599999999944</v>
      </c>
    </row>
    <row r="91" spans="1:8" x14ac:dyDescent="0.3">
      <c r="A91">
        <v>90</v>
      </c>
      <c r="B91" t="s">
        <v>104</v>
      </c>
      <c r="C91">
        <v>3</v>
      </c>
      <c r="D91">
        <v>272</v>
      </c>
      <c r="E91">
        <v>31.95</v>
      </c>
      <c r="F91">
        <v>271.06650000000002</v>
      </c>
      <c r="G91">
        <f t="shared" si="2"/>
        <v>-0.9334999999999809</v>
      </c>
      <c r="H91">
        <f t="shared" si="3"/>
        <v>0.9334999999999809</v>
      </c>
    </row>
    <row r="92" spans="1:8" x14ac:dyDescent="0.3">
      <c r="A92">
        <v>91</v>
      </c>
      <c r="B92" t="s">
        <v>105</v>
      </c>
      <c r="C92">
        <v>1</v>
      </c>
      <c r="D92">
        <v>218</v>
      </c>
      <c r="E92">
        <v>31.11</v>
      </c>
      <c r="F92">
        <v>217.11170000000016</v>
      </c>
      <c r="G92">
        <f t="shared" si="2"/>
        <v>-0.88829999999984466</v>
      </c>
      <c r="H92">
        <f t="shared" si="3"/>
        <v>0.88829999999984466</v>
      </c>
    </row>
    <row r="93" spans="1:8" x14ac:dyDescent="0.3">
      <c r="A93">
        <v>92</v>
      </c>
      <c r="B93" t="s">
        <v>106</v>
      </c>
      <c r="C93">
        <v>5</v>
      </c>
      <c r="D93">
        <v>391</v>
      </c>
      <c r="E93">
        <v>33.875999999999998</v>
      </c>
      <c r="F93">
        <v>389.60572000000002</v>
      </c>
      <c r="G93">
        <f t="shared" si="2"/>
        <v>-1.3942799999999806</v>
      </c>
      <c r="H93">
        <f t="shared" si="3"/>
        <v>1.3942799999999806</v>
      </c>
    </row>
    <row r="94" spans="1:8" x14ac:dyDescent="0.3">
      <c r="A94">
        <v>93</v>
      </c>
      <c r="B94" t="s">
        <v>107</v>
      </c>
      <c r="C94">
        <v>2</v>
      </c>
      <c r="D94">
        <v>286</v>
      </c>
      <c r="E94">
        <v>32.371000000000002</v>
      </c>
      <c r="F94">
        <v>282.10336999999998</v>
      </c>
      <c r="G94">
        <f t="shared" si="2"/>
        <v>-3.896630000000016</v>
      </c>
      <c r="H94">
        <f t="shared" si="3"/>
        <v>3.896630000000016</v>
      </c>
    </row>
    <row r="95" spans="1:8" x14ac:dyDescent="0.3">
      <c r="A95">
        <v>94</v>
      </c>
      <c r="B95" t="s">
        <v>108</v>
      </c>
      <c r="C95">
        <v>1</v>
      </c>
      <c r="D95">
        <v>155</v>
      </c>
      <c r="E95">
        <v>30.123999999999999</v>
      </c>
      <c r="F95">
        <v>158.47428000000014</v>
      </c>
      <c r="G95">
        <f t="shared" si="2"/>
        <v>3.4742800000001353</v>
      </c>
      <c r="H95">
        <f t="shared" si="3"/>
        <v>3.4742800000001353</v>
      </c>
    </row>
    <row r="96" spans="1:8" x14ac:dyDescent="0.3">
      <c r="A96">
        <v>95</v>
      </c>
      <c r="B96" t="s">
        <v>109</v>
      </c>
      <c r="C96">
        <v>2</v>
      </c>
      <c r="D96">
        <v>291</v>
      </c>
      <c r="E96">
        <v>32.406000000000013</v>
      </c>
      <c r="F96">
        <v>294.1848200000004</v>
      </c>
      <c r="G96">
        <f t="shared" si="2"/>
        <v>3.1848200000003999</v>
      </c>
      <c r="H96">
        <f t="shared" si="3"/>
        <v>3.1848200000003999</v>
      </c>
    </row>
    <row r="97" spans="1:8" x14ac:dyDescent="0.3">
      <c r="A97">
        <v>96</v>
      </c>
      <c r="B97" t="s">
        <v>110</v>
      </c>
      <c r="C97">
        <v>4</v>
      </c>
      <c r="D97">
        <v>233</v>
      </c>
      <c r="E97">
        <v>31.611999999999998</v>
      </c>
      <c r="F97">
        <v>232.96564000000001</v>
      </c>
      <c r="G97">
        <f t="shared" si="2"/>
        <v>-3.4359999999992397E-2</v>
      </c>
      <c r="H97">
        <f t="shared" si="3"/>
        <v>3.4359999999992397E-2</v>
      </c>
    </row>
    <row r="98" spans="1:8" x14ac:dyDescent="0.3">
      <c r="A98">
        <v>97</v>
      </c>
      <c r="B98" t="s">
        <v>111</v>
      </c>
      <c r="C98">
        <v>3</v>
      </c>
      <c r="D98">
        <v>286</v>
      </c>
      <c r="E98">
        <v>32.213000000000001</v>
      </c>
      <c r="F98">
        <v>282.70711000000006</v>
      </c>
      <c r="G98">
        <f t="shared" si="2"/>
        <v>-3.292889999999943</v>
      </c>
      <c r="H98">
        <f t="shared" si="3"/>
        <v>3.292889999999943</v>
      </c>
    </row>
    <row r="99" spans="1:8" x14ac:dyDescent="0.3">
      <c r="A99">
        <v>98</v>
      </c>
      <c r="B99" t="s">
        <v>112</v>
      </c>
      <c r="C99">
        <v>3</v>
      </c>
      <c r="D99">
        <v>373</v>
      </c>
      <c r="E99">
        <v>33.69</v>
      </c>
      <c r="F99">
        <v>370.54429999999979</v>
      </c>
      <c r="G99">
        <f t="shared" si="2"/>
        <v>-2.4557000000002063</v>
      </c>
      <c r="H99">
        <f t="shared" si="3"/>
        <v>2.4557000000002063</v>
      </c>
    </row>
    <row r="100" spans="1:8" x14ac:dyDescent="0.3">
      <c r="A100">
        <v>99</v>
      </c>
      <c r="B100" t="s">
        <v>113</v>
      </c>
      <c r="C100">
        <v>4</v>
      </c>
      <c r="D100">
        <v>257</v>
      </c>
      <c r="E100">
        <v>31.77</v>
      </c>
      <c r="F100">
        <v>256.36190000000011</v>
      </c>
      <c r="G100">
        <f t="shared" si="2"/>
        <v>-0.63809999999989486</v>
      </c>
      <c r="H100">
        <f t="shared" si="3"/>
        <v>0.63809999999989486</v>
      </c>
    </row>
    <row r="101" spans="1:8" x14ac:dyDescent="0.3">
      <c r="A101">
        <v>100</v>
      </c>
      <c r="B101" t="s">
        <v>114</v>
      </c>
      <c r="C101">
        <v>5</v>
      </c>
      <c r="D101">
        <v>380</v>
      </c>
      <c r="E101">
        <v>33.881</v>
      </c>
      <c r="F101">
        <v>381.90307000000007</v>
      </c>
      <c r="G101">
        <f t="shared" si="2"/>
        <v>1.9030700000000706</v>
      </c>
      <c r="H101">
        <f t="shared" si="3"/>
        <v>1.9030700000000706</v>
      </c>
    </row>
    <row r="102" spans="1:8" x14ac:dyDescent="0.3">
      <c r="A102">
        <v>101</v>
      </c>
      <c r="B102" t="s">
        <v>115</v>
      </c>
      <c r="C102">
        <v>4</v>
      </c>
      <c r="D102">
        <v>290</v>
      </c>
      <c r="E102">
        <v>32.56</v>
      </c>
      <c r="F102">
        <v>291.34320000000002</v>
      </c>
      <c r="G102">
        <f t="shared" si="2"/>
        <v>1.3432000000000244</v>
      </c>
      <c r="H102">
        <f t="shared" si="3"/>
        <v>1.3432000000000244</v>
      </c>
    </row>
    <row r="103" spans="1:8" x14ac:dyDescent="0.3">
      <c r="A103">
        <v>102</v>
      </c>
      <c r="B103" t="s">
        <v>116</v>
      </c>
      <c r="C103">
        <v>1</v>
      </c>
      <c r="D103">
        <v>213</v>
      </c>
      <c r="E103">
        <v>31.097999999999999</v>
      </c>
      <c r="F103">
        <v>216.39806000000021</v>
      </c>
      <c r="G103">
        <f t="shared" si="2"/>
        <v>3.3980600000002141</v>
      </c>
      <c r="H103">
        <f t="shared" si="3"/>
        <v>3.3980600000002141</v>
      </c>
    </row>
    <row r="104" spans="1:8" x14ac:dyDescent="0.3">
      <c r="A104">
        <v>103</v>
      </c>
      <c r="B104" t="s">
        <v>117</v>
      </c>
      <c r="C104">
        <v>5</v>
      </c>
      <c r="D104">
        <v>394</v>
      </c>
      <c r="E104">
        <v>34.125</v>
      </c>
      <c r="F104">
        <v>396.41374999999994</v>
      </c>
      <c r="G104">
        <f t="shared" si="2"/>
        <v>2.4137499999999363</v>
      </c>
      <c r="H104">
        <f t="shared" si="3"/>
        <v>2.4137499999999363</v>
      </c>
    </row>
    <row r="105" spans="1:8" x14ac:dyDescent="0.3">
      <c r="A105">
        <v>104</v>
      </c>
      <c r="B105" t="s">
        <v>118</v>
      </c>
      <c r="C105">
        <v>3</v>
      </c>
      <c r="D105">
        <v>311</v>
      </c>
      <c r="E105">
        <v>32.817999999999998</v>
      </c>
      <c r="F105">
        <v>308.68646000000001</v>
      </c>
      <c r="G105">
        <f t="shared" si="2"/>
        <v>-2.313539999999989</v>
      </c>
      <c r="H105">
        <f t="shared" si="3"/>
        <v>2.313539999999989</v>
      </c>
    </row>
    <row r="106" spans="1:8" x14ac:dyDescent="0.3">
      <c r="A106">
        <v>105</v>
      </c>
      <c r="B106" t="s">
        <v>119</v>
      </c>
      <c r="C106">
        <v>1</v>
      </c>
      <c r="D106">
        <v>319</v>
      </c>
      <c r="E106">
        <v>32.851999999999997</v>
      </c>
      <c r="F106">
        <v>320.70844000000011</v>
      </c>
      <c r="G106">
        <f t="shared" si="2"/>
        <v>1.7084400000001096</v>
      </c>
      <c r="H106">
        <f t="shared" si="3"/>
        <v>1.7084400000001096</v>
      </c>
    </row>
    <row r="107" spans="1:8" x14ac:dyDescent="0.3">
      <c r="A107">
        <v>106</v>
      </c>
      <c r="B107" t="s">
        <v>120</v>
      </c>
      <c r="C107">
        <v>5</v>
      </c>
      <c r="D107">
        <v>198</v>
      </c>
      <c r="E107">
        <v>30.731999999999999</v>
      </c>
      <c r="F107">
        <v>194.63204000000019</v>
      </c>
      <c r="G107">
        <f t="shared" si="2"/>
        <v>-3.3679599999998118</v>
      </c>
      <c r="H107">
        <f t="shared" si="3"/>
        <v>3.3679599999998118</v>
      </c>
    </row>
    <row r="108" spans="1:8" x14ac:dyDescent="0.3">
      <c r="A108">
        <v>107</v>
      </c>
      <c r="B108" t="s">
        <v>121</v>
      </c>
      <c r="C108">
        <v>5</v>
      </c>
      <c r="D108">
        <v>350</v>
      </c>
      <c r="E108">
        <v>33.049000000000007</v>
      </c>
      <c r="F108">
        <v>349.63</v>
      </c>
      <c r="G108">
        <f t="shared" si="2"/>
        <v>-0.37000000000000455</v>
      </c>
      <c r="H108">
        <f t="shared" si="3"/>
        <v>0.37000000000000455</v>
      </c>
    </row>
    <row r="109" spans="1:8" x14ac:dyDescent="0.3">
      <c r="A109">
        <v>108</v>
      </c>
      <c r="B109" t="s">
        <v>122</v>
      </c>
      <c r="C109">
        <v>4</v>
      </c>
      <c r="D109">
        <v>318</v>
      </c>
      <c r="E109">
        <v>32.775000000000013</v>
      </c>
      <c r="F109">
        <v>316.12925000000041</v>
      </c>
      <c r="G109">
        <f t="shared" si="2"/>
        <v>-1.8707499999995889</v>
      </c>
      <c r="H109">
        <f t="shared" si="3"/>
        <v>1.8707499999995889</v>
      </c>
    </row>
    <row r="110" spans="1:8" x14ac:dyDescent="0.3">
      <c r="A110">
        <v>109</v>
      </c>
      <c r="B110" t="s">
        <v>123</v>
      </c>
      <c r="C110">
        <v>2</v>
      </c>
      <c r="D110">
        <v>230</v>
      </c>
      <c r="E110">
        <v>31.276</v>
      </c>
      <c r="F110">
        <v>226.98372000000018</v>
      </c>
      <c r="G110">
        <f t="shared" si="2"/>
        <v>-3.0162799999998242</v>
      </c>
      <c r="H110">
        <f t="shared" si="3"/>
        <v>3.0162799999998242</v>
      </c>
    </row>
    <row r="111" spans="1:8" x14ac:dyDescent="0.3">
      <c r="A111">
        <v>110</v>
      </c>
      <c r="B111" t="s">
        <v>124</v>
      </c>
      <c r="C111">
        <v>2</v>
      </c>
      <c r="D111">
        <v>328</v>
      </c>
      <c r="E111">
        <v>32.99</v>
      </c>
      <c r="F111">
        <v>328.91530000000012</v>
      </c>
      <c r="G111">
        <f t="shared" si="2"/>
        <v>0.91530000000011569</v>
      </c>
      <c r="H111">
        <f t="shared" si="3"/>
        <v>0.91530000000011569</v>
      </c>
    </row>
    <row r="112" spans="1:8" x14ac:dyDescent="0.3">
      <c r="A112">
        <v>111</v>
      </c>
      <c r="B112" t="s">
        <v>125</v>
      </c>
      <c r="C112">
        <v>2</v>
      </c>
      <c r="D112">
        <v>295</v>
      </c>
      <c r="E112">
        <v>32.713000000000001</v>
      </c>
      <c r="F112">
        <v>291.56</v>
      </c>
      <c r="G112">
        <f t="shared" si="2"/>
        <v>-3.4399999999999977</v>
      </c>
      <c r="H112">
        <f t="shared" si="3"/>
        <v>3.4399999999999977</v>
      </c>
    </row>
    <row r="113" spans="1:8" x14ac:dyDescent="0.3">
      <c r="A113">
        <v>112</v>
      </c>
      <c r="B113" t="s">
        <v>126</v>
      </c>
      <c r="C113">
        <v>3</v>
      </c>
      <c r="D113">
        <v>311</v>
      </c>
      <c r="E113">
        <v>32.69</v>
      </c>
      <c r="F113">
        <v>311.07429999999977</v>
      </c>
      <c r="G113">
        <f t="shared" si="2"/>
        <v>7.4299999999766442E-2</v>
      </c>
      <c r="H113">
        <f t="shared" si="3"/>
        <v>7.4299999999766442E-2</v>
      </c>
    </row>
    <row r="114" spans="1:8" x14ac:dyDescent="0.3">
      <c r="A114">
        <v>113</v>
      </c>
      <c r="B114" t="s">
        <v>127</v>
      </c>
      <c r="C114">
        <v>3</v>
      </c>
      <c r="D114">
        <v>322</v>
      </c>
      <c r="E114">
        <v>32.859000000000002</v>
      </c>
      <c r="F114">
        <v>321.12473</v>
      </c>
      <c r="G114">
        <f t="shared" si="2"/>
        <v>-0.87527000000000044</v>
      </c>
      <c r="H114">
        <f t="shared" si="3"/>
        <v>0.87527000000000044</v>
      </c>
    </row>
    <row r="115" spans="1:8" x14ac:dyDescent="0.3">
      <c r="A115">
        <v>114</v>
      </c>
      <c r="B115" t="s">
        <v>128</v>
      </c>
      <c r="C115">
        <v>2</v>
      </c>
      <c r="D115">
        <v>262</v>
      </c>
      <c r="E115">
        <v>31.484999999999999</v>
      </c>
      <c r="F115">
        <v>261.52</v>
      </c>
      <c r="G115">
        <f t="shared" si="2"/>
        <v>-0.48000000000001819</v>
      </c>
      <c r="H115">
        <f t="shared" si="3"/>
        <v>0.48000000000001819</v>
      </c>
    </row>
    <row r="116" spans="1:8" x14ac:dyDescent="0.3">
      <c r="A116">
        <v>115</v>
      </c>
      <c r="B116" t="s">
        <v>129</v>
      </c>
      <c r="C116">
        <v>2</v>
      </c>
      <c r="D116">
        <v>202</v>
      </c>
      <c r="E116">
        <v>30.888000000000002</v>
      </c>
      <c r="F116">
        <v>203.90936000000011</v>
      </c>
      <c r="G116">
        <f t="shared" si="2"/>
        <v>1.9093600000001061</v>
      </c>
      <c r="H116">
        <f t="shared" si="3"/>
        <v>1.9093600000001061</v>
      </c>
    </row>
    <row r="117" spans="1:8" x14ac:dyDescent="0.3">
      <c r="A117">
        <v>116</v>
      </c>
      <c r="B117" t="s">
        <v>130</v>
      </c>
      <c r="C117">
        <v>4</v>
      </c>
      <c r="D117">
        <v>240</v>
      </c>
      <c r="E117">
        <v>31.452999999999999</v>
      </c>
      <c r="F117">
        <v>237.50991000000022</v>
      </c>
      <c r="G117">
        <f t="shared" si="2"/>
        <v>-2.4900899999997819</v>
      </c>
      <c r="H117">
        <f t="shared" si="3"/>
        <v>2.4900899999997819</v>
      </c>
    </row>
    <row r="118" spans="1:8" x14ac:dyDescent="0.3">
      <c r="A118">
        <v>117</v>
      </c>
      <c r="B118" t="s">
        <v>131</v>
      </c>
      <c r="C118">
        <v>2</v>
      </c>
      <c r="D118">
        <v>194</v>
      </c>
      <c r="E118">
        <v>30.727</v>
      </c>
      <c r="F118">
        <v>194.33469000000014</v>
      </c>
      <c r="G118">
        <f t="shared" si="2"/>
        <v>0.33469000000013693</v>
      </c>
      <c r="H118">
        <f t="shared" si="3"/>
        <v>0.33469000000013693</v>
      </c>
    </row>
    <row r="119" spans="1:8" x14ac:dyDescent="0.3">
      <c r="A119">
        <v>118</v>
      </c>
      <c r="B119" t="s">
        <v>132</v>
      </c>
      <c r="C119">
        <v>2</v>
      </c>
      <c r="D119">
        <v>248</v>
      </c>
      <c r="E119">
        <v>31.803000000000001</v>
      </c>
      <c r="F119">
        <v>247.32441</v>
      </c>
      <c r="G119">
        <f t="shared" si="2"/>
        <v>-0.67558999999999969</v>
      </c>
      <c r="H119">
        <f t="shared" si="3"/>
        <v>0.67558999999999969</v>
      </c>
    </row>
    <row r="120" spans="1:8" x14ac:dyDescent="0.3">
      <c r="A120">
        <v>119</v>
      </c>
      <c r="B120" t="s">
        <v>133</v>
      </c>
      <c r="C120">
        <v>2</v>
      </c>
      <c r="D120">
        <v>343</v>
      </c>
      <c r="E120">
        <v>33.037000000000013</v>
      </c>
      <c r="F120">
        <v>341.52</v>
      </c>
      <c r="G120">
        <f t="shared" si="2"/>
        <v>-1.4800000000000182</v>
      </c>
      <c r="H120">
        <f t="shared" si="3"/>
        <v>1.4800000000000182</v>
      </c>
    </row>
    <row r="121" spans="1:8" x14ac:dyDescent="0.3">
      <c r="A121">
        <v>120</v>
      </c>
      <c r="B121" t="s">
        <v>134</v>
      </c>
      <c r="C121">
        <v>3</v>
      </c>
      <c r="D121">
        <v>294</v>
      </c>
      <c r="E121">
        <v>32.278000000000013</v>
      </c>
      <c r="F121">
        <v>291.57265999999998</v>
      </c>
      <c r="G121">
        <f t="shared" si="2"/>
        <v>-2.4273400000000152</v>
      </c>
      <c r="H121">
        <f t="shared" si="3"/>
        <v>2.4273400000000152</v>
      </c>
    </row>
    <row r="122" spans="1:8" x14ac:dyDescent="0.3">
      <c r="A122">
        <v>121</v>
      </c>
      <c r="B122" t="s">
        <v>135</v>
      </c>
      <c r="C122">
        <v>4</v>
      </c>
      <c r="D122">
        <v>308</v>
      </c>
      <c r="E122">
        <v>32.510000000000012</v>
      </c>
      <c r="F122">
        <v>306.36970000000002</v>
      </c>
      <c r="G122">
        <f t="shared" si="2"/>
        <v>-1.630299999999977</v>
      </c>
      <c r="H122">
        <f t="shared" si="3"/>
        <v>1.630299999999977</v>
      </c>
    </row>
    <row r="123" spans="1:8" x14ac:dyDescent="0.3">
      <c r="A123">
        <v>122</v>
      </c>
      <c r="B123" t="s">
        <v>136</v>
      </c>
      <c r="C123">
        <v>5</v>
      </c>
      <c r="D123">
        <v>320</v>
      </c>
      <c r="E123">
        <v>32.984999999999999</v>
      </c>
      <c r="F123">
        <v>319.61795000000001</v>
      </c>
      <c r="G123">
        <f t="shared" si="2"/>
        <v>-0.38204999999999245</v>
      </c>
      <c r="H123">
        <f t="shared" si="3"/>
        <v>0.38204999999999245</v>
      </c>
    </row>
    <row r="124" spans="1:8" x14ac:dyDescent="0.3">
      <c r="A124">
        <v>123</v>
      </c>
      <c r="B124" t="s">
        <v>137</v>
      </c>
      <c r="C124">
        <v>3</v>
      </c>
      <c r="D124">
        <v>247</v>
      </c>
      <c r="E124">
        <v>31.393999999999998</v>
      </c>
      <c r="F124">
        <v>246.51</v>
      </c>
      <c r="G124">
        <f t="shared" si="2"/>
        <v>-0.49000000000000909</v>
      </c>
      <c r="H124">
        <f t="shared" si="3"/>
        <v>0.49000000000000909</v>
      </c>
    </row>
    <row r="125" spans="1:8" x14ac:dyDescent="0.3">
      <c r="A125">
        <v>124</v>
      </c>
      <c r="B125" t="s">
        <v>138</v>
      </c>
      <c r="C125">
        <v>3</v>
      </c>
      <c r="D125">
        <v>249</v>
      </c>
      <c r="E125">
        <v>31.869</v>
      </c>
      <c r="F125">
        <v>248.24942999999999</v>
      </c>
      <c r="G125">
        <f t="shared" si="2"/>
        <v>-0.7505700000000104</v>
      </c>
      <c r="H125">
        <f t="shared" si="3"/>
        <v>0.7505700000000104</v>
      </c>
    </row>
    <row r="126" spans="1:8" x14ac:dyDescent="0.3">
      <c r="A126">
        <v>125</v>
      </c>
      <c r="B126" t="s">
        <v>139</v>
      </c>
      <c r="C126">
        <v>1</v>
      </c>
      <c r="D126">
        <v>304</v>
      </c>
      <c r="E126">
        <v>32.479999999999997</v>
      </c>
      <c r="F126">
        <v>301.5856</v>
      </c>
      <c r="G126">
        <f t="shared" si="2"/>
        <v>-2.4144000000000005</v>
      </c>
      <c r="H126">
        <f t="shared" si="3"/>
        <v>2.4144000000000005</v>
      </c>
    </row>
    <row r="127" spans="1:8" x14ac:dyDescent="0.3">
      <c r="A127">
        <v>126</v>
      </c>
      <c r="B127" t="s">
        <v>140</v>
      </c>
      <c r="C127">
        <v>3</v>
      </c>
      <c r="D127">
        <v>380</v>
      </c>
      <c r="E127">
        <v>33.505000000000003</v>
      </c>
      <c r="F127">
        <v>381.53</v>
      </c>
      <c r="G127">
        <f t="shared" si="2"/>
        <v>1.5299999999999727</v>
      </c>
      <c r="H127">
        <f t="shared" si="3"/>
        <v>1.5299999999999727</v>
      </c>
    </row>
    <row r="128" spans="1:8" x14ac:dyDescent="0.3">
      <c r="A128">
        <v>127</v>
      </c>
      <c r="B128" t="s">
        <v>141</v>
      </c>
      <c r="C128">
        <v>2</v>
      </c>
      <c r="D128">
        <v>282</v>
      </c>
      <c r="E128">
        <v>32.354999999999997</v>
      </c>
      <c r="F128">
        <v>279.15185000000002</v>
      </c>
      <c r="G128">
        <f t="shared" si="2"/>
        <v>-2.8481499999999755</v>
      </c>
      <c r="H128">
        <f t="shared" si="3"/>
        <v>2.8481499999999755</v>
      </c>
    </row>
    <row r="129" spans="1:8" x14ac:dyDescent="0.3">
      <c r="A129">
        <v>128</v>
      </c>
      <c r="B129" t="s">
        <v>142</v>
      </c>
      <c r="C129">
        <v>4</v>
      </c>
      <c r="D129">
        <v>150</v>
      </c>
      <c r="E129">
        <v>30.077000000000002</v>
      </c>
      <c r="F129">
        <v>151.67919000000001</v>
      </c>
      <c r="G129">
        <f t="shared" si="2"/>
        <v>1.6791900000000055</v>
      </c>
      <c r="H129">
        <f t="shared" si="3"/>
        <v>1.6791900000000055</v>
      </c>
    </row>
    <row r="130" spans="1:8" x14ac:dyDescent="0.3">
      <c r="A130">
        <v>129</v>
      </c>
      <c r="B130" t="s">
        <v>143</v>
      </c>
      <c r="C130">
        <v>4</v>
      </c>
      <c r="D130">
        <v>325</v>
      </c>
      <c r="E130">
        <v>32.902000000000001</v>
      </c>
      <c r="F130">
        <v>323.68193999999994</v>
      </c>
      <c r="G130">
        <f t="shared" si="2"/>
        <v>-1.3180600000000595</v>
      </c>
      <c r="H130">
        <f t="shared" si="3"/>
        <v>1.3180600000000595</v>
      </c>
    </row>
    <row r="131" spans="1:8" x14ac:dyDescent="0.3">
      <c r="A131">
        <v>130</v>
      </c>
      <c r="B131" t="s">
        <v>144</v>
      </c>
      <c r="C131">
        <v>3</v>
      </c>
      <c r="D131">
        <v>215</v>
      </c>
      <c r="E131">
        <v>31.152000000000001</v>
      </c>
      <c r="F131">
        <v>218.60944000000001</v>
      </c>
      <c r="G131">
        <f t="shared" ref="G131:G194" si="4">F131-D131</f>
        <v>3.6094400000000064</v>
      </c>
      <c r="H131">
        <f t="shared" ref="H131:H194" si="5">ABS(F131-D131)</f>
        <v>3.6094400000000064</v>
      </c>
    </row>
    <row r="132" spans="1:8" x14ac:dyDescent="0.3">
      <c r="A132">
        <v>131</v>
      </c>
      <c r="B132" t="s">
        <v>145</v>
      </c>
      <c r="C132">
        <v>5</v>
      </c>
      <c r="D132">
        <v>331</v>
      </c>
      <c r="E132">
        <v>33.263000000000012</v>
      </c>
      <c r="F132">
        <v>329.15060999999997</v>
      </c>
      <c r="G132">
        <f t="shared" si="4"/>
        <v>-1.8493900000000281</v>
      </c>
      <c r="H132">
        <f t="shared" si="5"/>
        <v>1.8493900000000281</v>
      </c>
    </row>
    <row r="133" spans="1:8" x14ac:dyDescent="0.3">
      <c r="A133">
        <v>132</v>
      </c>
      <c r="B133" t="s">
        <v>146</v>
      </c>
      <c r="C133">
        <v>1</v>
      </c>
      <c r="D133">
        <v>264</v>
      </c>
      <c r="E133">
        <v>31.878</v>
      </c>
      <c r="F133">
        <v>262.78466000000026</v>
      </c>
      <c r="G133">
        <f t="shared" si="4"/>
        <v>-1.2153399999997418</v>
      </c>
      <c r="H133">
        <f t="shared" si="5"/>
        <v>1.2153399999997418</v>
      </c>
    </row>
    <row r="134" spans="1:8" x14ac:dyDescent="0.3">
      <c r="A134">
        <v>133</v>
      </c>
      <c r="B134" t="s">
        <v>147</v>
      </c>
      <c r="C134">
        <v>2</v>
      </c>
      <c r="D134">
        <v>360</v>
      </c>
      <c r="E134">
        <v>33.674999999999997</v>
      </c>
      <c r="F134">
        <v>359.65224999999998</v>
      </c>
      <c r="G134">
        <f t="shared" si="4"/>
        <v>-0.3477500000000191</v>
      </c>
      <c r="H134">
        <f t="shared" si="5"/>
        <v>0.3477500000000191</v>
      </c>
    </row>
    <row r="135" spans="1:8" x14ac:dyDescent="0.3">
      <c r="A135">
        <v>134</v>
      </c>
      <c r="B135" t="s">
        <v>148</v>
      </c>
      <c r="C135">
        <v>4</v>
      </c>
      <c r="D135">
        <v>328</v>
      </c>
      <c r="E135">
        <v>32.894000000000013</v>
      </c>
      <c r="F135">
        <v>326.20618000000002</v>
      </c>
      <c r="G135">
        <f t="shared" si="4"/>
        <v>-1.7938199999999824</v>
      </c>
      <c r="H135">
        <f t="shared" si="5"/>
        <v>1.7938199999999824</v>
      </c>
    </row>
    <row r="136" spans="1:8" x14ac:dyDescent="0.3">
      <c r="A136">
        <v>135</v>
      </c>
      <c r="B136" t="s">
        <v>149</v>
      </c>
      <c r="C136">
        <v>5</v>
      </c>
      <c r="D136">
        <v>283</v>
      </c>
      <c r="E136">
        <v>32.353999999999999</v>
      </c>
      <c r="F136">
        <v>281.09237999999999</v>
      </c>
      <c r="G136">
        <f t="shared" si="4"/>
        <v>-1.9076200000000085</v>
      </c>
      <c r="H136">
        <f t="shared" si="5"/>
        <v>1.9076200000000085</v>
      </c>
    </row>
    <row r="137" spans="1:8" x14ac:dyDescent="0.3">
      <c r="A137">
        <v>136</v>
      </c>
      <c r="B137" t="s">
        <v>150</v>
      </c>
      <c r="C137">
        <v>4</v>
      </c>
      <c r="D137">
        <v>240</v>
      </c>
      <c r="E137">
        <v>31.25</v>
      </c>
      <c r="F137">
        <v>239.17</v>
      </c>
      <c r="G137">
        <f t="shared" si="4"/>
        <v>-0.83000000000001251</v>
      </c>
      <c r="H137">
        <f t="shared" si="5"/>
        <v>0.83000000000001251</v>
      </c>
    </row>
    <row r="138" spans="1:8" x14ac:dyDescent="0.3">
      <c r="A138">
        <v>137</v>
      </c>
      <c r="B138" t="s">
        <v>151</v>
      </c>
      <c r="C138">
        <v>4</v>
      </c>
      <c r="D138">
        <v>227</v>
      </c>
      <c r="E138">
        <v>31.402000000000001</v>
      </c>
      <c r="F138">
        <v>230.47694000000001</v>
      </c>
      <c r="G138">
        <f t="shared" si="4"/>
        <v>3.4769400000000132</v>
      </c>
      <c r="H138">
        <f t="shared" si="5"/>
        <v>3.4769400000000132</v>
      </c>
    </row>
    <row r="139" spans="1:8" x14ac:dyDescent="0.3">
      <c r="A139">
        <v>138</v>
      </c>
      <c r="B139" t="s">
        <v>152</v>
      </c>
      <c r="C139">
        <v>2</v>
      </c>
      <c r="D139">
        <v>157</v>
      </c>
      <c r="E139">
        <v>30.146000000000001</v>
      </c>
      <c r="F139">
        <v>159.78262000000018</v>
      </c>
      <c r="G139">
        <f t="shared" si="4"/>
        <v>2.7826200000001791</v>
      </c>
      <c r="H139">
        <f t="shared" si="5"/>
        <v>2.7826200000001791</v>
      </c>
    </row>
    <row r="140" spans="1:8" x14ac:dyDescent="0.3">
      <c r="A140">
        <v>139</v>
      </c>
      <c r="B140" t="s">
        <v>153</v>
      </c>
      <c r="C140">
        <v>4</v>
      </c>
      <c r="D140">
        <v>95</v>
      </c>
      <c r="E140">
        <v>28.933</v>
      </c>
      <c r="F140">
        <v>98.645510000000101</v>
      </c>
      <c r="G140">
        <f t="shared" si="4"/>
        <v>3.6455100000001011</v>
      </c>
      <c r="H140">
        <f t="shared" si="5"/>
        <v>3.6455100000001011</v>
      </c>
    </row>
    <row r="141" spans="1:8" x14ac:dyDescent="0.3">
      <c r="A141">
        <v>140</v>
      </c>
      <c r="B141" t="s">
        <v>154</v>
      </c>
      <c r="C141">
        <v>3</v>
      </c>
      <c r="D141">
        <v>172</v>
      </c>
      <c r="E141">
        <v>30.536000000000001</v>
      </c>
      <c r="F141">
        <v>172.97592</v>
      </c>
      <c r="G141">
        <f t="shared" si="4"/>
        <v>0.97592000000000212</v>
      </c>
      <c r="H141">
        <f t="shared" si="5"/>
        <v>0.97592000000000212</v>
      </c>
    </row>
    <row r="142" spans="1:8" x14ac:dyDescent="0.3">
      <c r="A142">
        <v>141</v>
      </c>
      <c r="B142" t="s">
        <v>155</v>
      </c>
      <c r="C142">
        <v>2</v>
      </c>
      <c r="D142">
        <v>227</v>
      </c>
      <c r="E142">
        <v>31.236999999999998</v>
      </c>
      <c r="F142">
        <v>224.66439000000014</v>
      </c>
      <c r="G142">
        <f t="shared" si="4"/>
        <v>-2.3356099999998605</v>
      </c>
      <c r="H142">
        <f t="shared" si="5"/>
        <v>2.3356099999998605</v>
      </c>
    </row>
    <row r="143" spans="1:8" x14ac:dyDescent="0.3">
      <c r="A143">
        <v>142</v>
      </c>
      <c r="B143" t="s">
        <v>156</v>
      </c>
      <c r="C143">
        <v>2</v>
      </c>
      <c r="D143">
        <v>307</v>
      </c>
      <c r="E143">
        <v>32.421000000000006</v>
      </c>
      <c r="F143">
        <v>305.19</v>
      </c>
      <c r="G143">
        <f t="shared" si="4"/>
        <v>-1.8100000000000023</v>
      </c>
      <c r="H143">
        <f t="shared" si="5"/>
        <v>1.8100000000000023</v>
      </c>
    </row>
    <row r="144" spans="1:8" x14ac:dyDescent="0.3">
      <c r="A144">
        <v>143</v>
      </c>
      <c r="B144" t="s">
        <v>157</v>
      </c>
      <c r="C144">
        <v>4</v>
      </c>
      <c r="D144">
        <v>280</v>
      </c>
      <c r="E144">
        <v>32.412999999999997</v>
      </c>
      <c r="F144">
        <v>278.60111000000001</v>
      </c>
      <c r="G144">
        <f t="shared" si="4"/>
        <v>-1.3988899999999944</v>
      </c>
      <c r="H144">
        <f t="shared" si="5"/>
        <v>1.3988899999999944</v>
      </c>
    </row>
    <row r="145" spans="1:8" x14ac:dyDescent="0.3">
      <c r="A145">
        <v>144</v>
      </c>
      <c r="B145" t="s">
        <v>158</v>
      </c>
      <c r="C145">
        <v>3</v>
      </c>
      <c r="D145">
        <v>235</v>
      </c>
      <c r="E145">
        <v>31.372</v>
      </c>
      <c r="F145">
        <v>232.69284000000016</v>
      </c>
      <c r="G145">
        <f t="shared" si="4"/>
        <v>-2.3071599999998398</v>
      </c>
      <c r="H145">
        <f t="shared" si="5"/>
        <v>2.3071599999998398</v>
      </c>
    </row>
    <row r="146" spans="1:8" x14ac:dyDescent="0.3">
      <c r="A146">
        <v>145</v>
      </c>
      <c r="B146" t="s">
        <v>159</v>
      </c>
      <c r="C146">
        <v>2</v>
      </c>
      <c r="D146">
        <v>224</v>
      </c>
      <c r="E146">
        <v>31.181999999999999</v>
      </c>
      <c r="F146">
        <v>221.39354000000003</v>
      </c>
      <c r="G146">
        <f t="shared" si="4"/>
        <v>-2.60645999999997</v>
      </c>
      <c r="H146">
        <f t="shared" si="5"/>
        <v>2.60645999999997</v>
      </c>
    </row>
    <row r="147" spans="1:8" x14ac:dyDescent="0.3">
      <c r="A147">
        <v>146</v>
      </c>
      <c r="B147" t="s">
        <v>160</v>
      </c>
      <c r="C147">
        <v>2</v>
      </c>
      <c r="D147">
        <v>361</v>
      </c>
      <c r="E147">
        <v>33.409999999999997</v>
      </c>
      <c r="F147">
        <v>363.89269999999999</v>
      </c>
      <c r="G147">
        <f t="shared" si="4"/>
        <v>2.8926999999999907</v>
      </c>
      <c r="H147">
        <f t="shared" si="5"/>
        <v>2.8926999999999907</v>
      </c>
    </row>
    <row r="148" spans="1:8" x14ac:dyDescent="0.3">
      <c r="A148">
        <v>147</v>
      </c>
      <c r="B148" t="s">
        <v>161</v>
      </c>
      <c r="C148">
        <v>3</v>
      </c>
      <c r="D148">
        <v>280</v>
      </c>
      <c r="E148">
        <v>32.350999999999999</v>
      </c>
      <c r="F148">
        <v>278.91397000000001</v>
      </c>
      <c r="G148">
        <f t="shared" si="4"/>
        <v>-1.0860299999999938</v>
      </c>
      <c r="H148">
        <f t="shared" si="5"/>
        <v>1.0860299999999938</v>
      </c>
    </row>
    <row r="149" spans="1:8" x14ac:dyDescent="0.3">
      <c r="A149">
        <v>148</v>
      </c>
      <c r="B149" t="s">
        <v>162</v>
      </c>
      <c r="C149">
        <v>3</v>
      </c>
      <c r="D149">
        <v>246</v>
      </c>
      <c r="E149">
        <v>31.795000000000002</v>
      </c>
      <c r="F149">
        <v>247.84864999999999</v>
      </c>
      <c r="G149">
        <f t="shared" si="4"/>
        <v>1.8486499999999921</v>
      </c>
      <c r="H149">
        <f t="shared" si="5"/>
        <v>1.8486499999999921</v>
      </c>
    </row>
    <row r="150" spans="1:8" x14ac:dyDescent="0.3">
      <c r="A150">
        <v>149</v>
      </c>
      <c r="B150" t="s">
        <v>163</v>
      </c>
      <c r="C150">
        <v>1</v>
      </c>
      <c r="D150">
        <v>260</v>
      </c>
      <c r="E150">
        <v>31.753</v>
      </c>
      <c r="F150">
        <v>261.35091</v>
      </c>
      <c r="G150">
        <f t="shared" si="4"/>
        <v>1.3509099999999989</v>
      </c>
      <c r="H150">
        <f t="shared" si="5"/>
        <v>1.3509099999999989</v>
      </c>
    </row>
    <row r="151" spans="1:8" x14ac:dyDescent="0.3">
      <c r="A151">
        <v>150</v>
      </c>
      <c r="B151" t="s">
        <v>164</v>
      </c>
      <c r="C151">
        <v>5</v>
      </c>
      <c r="D151">
        <v>311</v>
      </c>
      <c r="E151">
        <v>32.643000000000001</v>
      </c>
      <c r="F151">
        <v>308.27920999999992</v>
      </c>
      <c r="G151">
        <f t="shared" si="4"/>
        <v>-2.7207900000000791</v>
      </c>
      <c r="H151">
        <f t="shared" si="5"/>
        <v>2.7207900000000791</v>
      </c>
    </row>
    <row r="152" spans="1:8" x14ac:dyDescent="0.3">
      <c r="A152">
        <v>151</v>
      </c>
      <c r="B152" t="s">
        <v>165</v>
      </c>
      <c r="C152">
        <v>3</v>
      </c>
      <c r="D152">
        <v>115</v>
      </c>
      <c r="E152">
        <v>29.353999999999999</v>
      </c>
      <c r="F152">
        <v>112.68238000000019</v>
      </c>
      <c r="G152">
        <f t="shared" si="4"/>
        <v>-2.3176199999998062</v>
      </c>
      <c r="H152">
        <f t="shared" si="5"/>
        <v>2.3176199999998062</v>
      </c>
    </row>
    <row r="153" spans="1:8" x14ac:dyDescent="0.3">
      <c r="A153">
        <v>152</v>
      </c>
      <c r="B153" t="s">
        <v>166</v>
      </c>
      <c r="C153">
        <v>5</v>
      </c>
      <c r="D153">
        <v>298</v>
      </c>
      <c r="E153">
        <v>32.409999999999997</v>
      </c>
      <c r="F153">
        <v>294.42270000000008</v>
      </c>
      <c r="G153">
        <f t="shared" si="4"/>
        <v>-3.5772999999999229</v>
      </c>
      <c r="H153">
        <f t="shared" si="5"/>
        <v>3.5772999999999229</v>
      </c>
    </row>
    <row r="154" spans="1:8" x14ac:dyDescent="0.3">
      <c r="A154">
        <v>153</v>
      </c>
      <c r="B154" t="s">
        <v>167</v>
      </c>
      <c r="C154">
        <v>2</v>
      </c>
      <c r="D154">
        <v>308</v>
      </c>
      <c r="E154">
        <v>32.744999999999997</v>
      </c>
      <c r="F154">
        <v>309.34514999999999</v>
      </c>
      <c r="G154">
        <f t="shared" si="4"/>
        <v>1.3451499999999896</v>
      </c>
      <c r="H154">
        <f t="shared" si="5"/>
        <v>1.3451499999999896</v>
      </c>
    </row>
    <row r="155" spans="1:8" x14ac:dyDescent="0.3">
      <c r="A155">
        <v>154</v>
      </c>
      <c r="B155" t="s">
        <v>168</v>
      </c>
      <c r="C155">
        <v>2</v>
      </c>
      <c r="D155">
        <v>367</v>
      </c>
      <c r="E155">
        <v>33.587000000000003</v>
      </c>
      <c r="F155">
        <v>364.41889000000015</v>
      </c>
      <c r="G155">
        <f t="shared" si="4"/>
        <v>-2.5811099999998532</v>
      </c>
      <c r="H155">
        <f t="shared" si="5"/>
        <v>2.5811099999998532</v>
      </c>
    </row>
    <row r="156" spans="1:8" x14ac:dyDescent="0.3">
      <c r="A156">
        <v>155</v>
      </c>
      <c r="B156" t="s">
        <v>169</v>
      </c>
      <c r="C156">
        <v>1</v>
      </c>
      <c r="D156">
        <v>248</v>
      </c>
      <c r="E156">
        <v>31.576000000000001</v>
      </c>
      <c r="F156">
        <v>244.8247200000003</v>
      </c>
      <c r="G156">
        <f t="shared" si="4"/>
        <v>-3.1752799999997023</v>
      </c>
      <c r="H156">
        <f t="shared" si="5"/>
        <v>3.1752799999997023</v>
      </c>
    </row>
    <row r="157" spans="1:8" x14ac:dyDescent="0.3">
      <c r="A157">
        <v>156</v>
      </c>
      <c r="B157" t="s">
        <v>170</v>
      </c>
      <c r="C157">
        <v>1</v>
      </c>
      <c r="D157">
        <v>274</v>
      </c>
      <c r="E157">
        <v>32.182000000000002</v>
      </c>
      <c r="F157">
        <v>270.86354</v>
      </c>
      <c r="G157">
        <f t="shared" si="4"/>
        <v>-3.1364599999999996</v>
      </c>
      <c r="H157">
        <f t="shared" si="5"/>
        <v>3.1364599999999996</v>
      </c>
    </row>
    <row r="158" spans="1:8" x14ac:dyDescent="0.3">
      <c r="A158">
        <v>157</v>
      </c>
      <c r="B158" t="s">
        <v>171</v>
      </c>
      <c r="C158">
        <v>4</v>
      </c>
      <c r="D158">
        <v>345</v>
      </c>
      <c r="E158">
        <v>32.969000000000001</v>
      </c>
      <c r="F158">
        <v>344.52</v>
      </c>
      <c r="G158">
        <f t="shared" si="4"/>
        <v>-0.48000000000001819</v>
      </c>
      <c r="H158">
        <f t="shared" si="5"/>
        <v>0.48000000000001819</v>
      </c>
    </row>
    <row r="159" spans="1:8" x14ac:dyDescent="0.3">
      <c r="A159">
        <v>158</v>
      </c>
      <c r="B159" t="s">
        <v>172</v>
      </c>
      <c r="C159">
        <v>2</v>
      </c>
      <c r="D159">
        <v>383</v>
      </c>
      <c r="E159">
        <v>33.823999999999998</v>
      </c>
      <c r="F159">
        <v>378.5132799999999</v>
      </c>
      <c r="G159">
        <f t="shared" si="4"/>
        <v>-4.4867200000001048</v>
      </c>
      <c r="H159">
        <f t="shared" si="5"/>
        <v>4.4867200000001048</v>
      </c>
    </row>
    <row r="160" spans="1:8" x14ac:dyDescent="0.3">
      <c r="A160">
        <v>159</v>
      </c>
      <c r="B160" t="s">
        <v>173</v>
      </c>
      <c r="C160">
        <v>3</v>
      </c>
      <c r="D160">
        <v>187</v>
      </c>
      <c r="E160">
        <v>30.785</v>
      </c>
      <c r="F160">
        <v>187.78395</v>
      </c>
      <c r="G160">
        <f t="shared" si="4"/>
        <v>0.78395000000000437</v>
      </c>
      <c r="H160">
        <f t="shared" si="5"/>
        <v>0.78395000000000437</v>
      </c>
    </row>
    <row r="161" spans="1:8" x14ac:dyDescent="0.3">
      <c r="A161">
        <v>160</v>
      </c>
      <c r="B161" t="s">
        <v>174</v>
      </c>
      <c r="C161">
        <v>4</v>
      </c>
      <c r="D161">
        <v>95</v>
      </c>
      <c r="E161">
        <v>28.954000000000001</v>
      </c>
      <c r="F161">
        <v>98.894380000000197</v>
      </c>
      <c r="G161">
        <f t="shared" si="4"/>
        <v>3.8943800000001971</v>
      </c>
      <c r="H161">
        <f t="shared" si="5"/>
        <v>3.8943800000001971</v>
      </c>
    </row>
    <row r="162" spans="1:8" x14ac:dyDescent="0.3">
      <c r="A162">
        <v>161</v>
      </c>
      <c r="B162" t="s">
        <v>175</v>
      </c>
      <c r="C162">
        <v>5</v>
      </c>
      <c r="D162">
        <v>245</v>
      </c>
      <c r="E162">
        <v>31.722999999999999</v>
      </c>
      <c r="F162">
        <v>244.56681</v>
      </c>
      <c r="G162">
        <f t="shared" si="4"/>
        <v>-0.43318999999999619</v>
      </c>
      <c r="H162">
        <f t="shared" si="5"/>
        <v>0.43318999999999619</v>
      </c>
    </row>
    <row r="163" spans="1:8" x14ac:dyDescent="0.3">
      <c r="A163">
        <v>162</v>
      </c>
      <c r="B163" t="s">
        <v>176</v>
      </c>
      <c r="C163">
        <v>5</v>
      </c>
      <c r="D163">
        <v>286</v>
      </c>
      <c r="E163">
        <v>32.135000000000012</v>
      </c>
      <c r="F163">
        <v>288.06844999999998</v>
      </c>
      <c r="G163">
        <f t="shared" si="4"/>
        <v>2.0684499999999844</v>
      </c>
      <c r="H163">
        <f t="shared" si="5"/>
        <v>2.0684499999999844</v>
      </c>
    </row>
    <row r="164" spans="1:8" x14ac:dyDescent="0.3">
      <c r="A164">
        <v>163</v>
      </c>
      <c r="B164" t="s">
        <v>177</v>
      </c>
      <c r="C164">
        <v>4</v>
      </c>
      <c r="D164">
        <v>319</v>
      </c>
      <c r="E164">
        <v>32.634</v>
      </c>
      <c r="F164">
        <v>318.19</v>
      </c>
      <c r="G164">
        <f t="shared" si="4"/>
        <v>-0.81000000000000227</v>
      </c>
      <c r="H164">
        <f t="shared" si="5"/>
        <v>0.81000000000000227</v>
      </c>
    </row>
    <row r="165" spans="1:8" x14ac:dyDescent="0.3">
      <c r="A165">
        <v>164</v>
      </c>
      <c r="B165" t="s">
        <v>178</v>
      </c>
      <c r="C165">
        <v>3</v>
      </c>
      <c r="D165">
        <v>286</v>
      </c>
      <c r="E165">
        <v>32.396000000000001</v>
      </c>
      <c r="F165">
        <v>283.59012000000001</v>
      </c>
      <c r="G165">
        <f t="shared" si="4"/>
        <v>-2.4098799999999869</v>
      </c>
      <c r="H165">
        <f t="shared" si="5"/>
        <v>2.4098799999999869</v>
      </c>
    </row>
    <row r="166" spans="1:8" x14ac:dyDescent="0.3">
      <c r="A166">
        <v>165</v>
      </c>
      <c r="B166" t="s">
        <v>179</v>
      </c>
      <c r="C166">
        <v>4</v>
      </c>
      <c r="D166">
        <v>256</v>
      </c>
      <c r="E166">
        <v>31.611999999999998</v>
      </c>
      <c r="F166">
        <v>256.96564000000001</v>
      </c>
      <c r="G166">
        <f t="shared" si="4"/>
        <v>0.9656400000000076</v>
      </c>
      <c r="H166">
        <f t="shared" si="5"/>
        <v>0.9656400000000076</v>
      </c>
    </row>
    <row r="167" spans="1:8" x14ac:dyDescent="0.3">
      <c r="A167">
        <v>166</v>
      </c>
      <c r="B167" t="s">
        <v>180</v>
      </c>
      <c r="C167">
        <v>3</v>
      </c>
      <c r="D167">
        <v>331</v>
      </c>
      <c r="E167">
        <v>32.960000000000008</v>
      </c>
      <c r="F167">
        <v>327.13120000000049</v>
      </c>
      <c r="G167">
        <f t="shared" si="4"/>
        <v>-3.86879999999951</v>
      </c>
      <c r="H167">
        <f t="shared" si="5"/>
        <v>3.86879999999951</v>
      </c>
    </row>
    <row r="168" spans="1:8" x14ac:dyDescent="0.3">
      <c r="A168">
        <v>167</v>
      </c>
      <c r="B168" t="s">
        <v>181</v>
      </c>
      <c r="C168">
        <v>5</v>
      </c>
      <c r="D168">
        <v>298</v>
      </c>
      <c r="E168">
        <v>32.335999999999999</v>
      </c>
      <c r="F168">
        <v>299.02192000000002</v>
      </c>
      <c r="G168">
        <f t="shared" si="4"/>
        <v>1.0219200000000228</v>
      </c>
      <c r="H168">
        <f t="shared" si="5"/>
        <v>1.0219200000000228</v>
      </c>
    </row>
    <row r="169" spans="1:8" x14ac:dyDescent="0.3">
      <c r="A169">
        <v>168</v>
      </c>
      <c r="B169" t="s">
        <v>182</v>
      </c>
      <c r="C169">
        <v>3</v>
      </c>
      <c r="D169">
        <v>277</v>
      </c>
      <c r="E169">
        <v>31.821999999999999</v>
      </c>
      <c r="F169">
        <v>276.52</v>
      </c>
      <c r="G169">
        <f t="shared" si="4"/>
        <v>-0.48000000000001819</v>
      </c>
      <c r="H169">
        <f t="shared" si="5"/>
        <v>0.48000000000001819</v>
      </c>
    </row>
    <row r="170" spans="1:8" x14ac:dyDescent="0.3">
      <c r="A170">
        <v>169</v>
      </c>
      <c r="B170" t="s">
        <v>183</v>
      </c>
      <c r="C170">
        <v>2</v>
      </c>
      <c r="D170">
        <v>286</v>
      </c>
      <c r="E170">
        <v>32.299999999999997</v>
      </c>
      <c r="F170">
        <v>287.88100000000031</v>
      </c>
      <c r="G170">
        <f t="shared" si="4"/>
        <v>1.8810000000003129</v>
      </c>
      <c r="H170">
        <f t="shared" si="5"/>
        <v>1.8810000000003129</v>
      </c>
    </row>
    <row r="171" spans="1:8" x14ac:dyDescent="0.3">
      <c r="A171">
        <v>170</v>
      </c>
      <c r="B171" t="s">
        <v>184</v>
      </c>
      <c r="C171">
        <v>5</v>
      </c>
      <c r="D171">
        <v>350</v>
      </c>
      <c r="E171">
        <v>33.466000000000001</v>
      </c>
      <c r="F171">
        <v>351.22302000000002</v>
      </c>
      <c r="G171">
        <f t="shared" si="4"/>
        <v>1.2230200000000195</v>
      </c>
      <c r="H171">
        <f t="shared" si="5"/>
        <v>1.2230200000000195</v>
      </c>
    </row>
    <row r="172" spans="1:8" x14ac:dyDescent="0.3">
      <c r="A172">
        <v>171</v>
      </c>
      <c r="B172" t="s">
        <v>185</v>
      </c>
      <c r="C172">
        <v>4</v>
      </c>
      <c r="D172">
        <v>303</v>
      </c>
      <c r="E172">
        <v>32.694000000000003</v>
      </c>
      <c r="F172">
        <v>301.31218000000001</v>
      </c>
      <c r="G172">
        <f t="shared" si="4"/>
        <v>-1.6878199999999879</v>
      </c>
      <c r="H172">
        <f t="shared" si="5"/>
        <v>1.6878199999999879</v>
      </c>
    </row>
    <row r="173" spans="1:8" x14ac:dyDescent="0.3">
      <c r="A173">
        <v>172</v>
      </c>
      <c r="B173" t="s">
        <v>186</v>
      </c>
      <c r="C173">
        <v>4</v>
      </c>
      <c r="D173">
        <v>251</v>
      </c>
      <c r="E173">
        <v>31.797999999999998</v>
      </c>
      <c r="F173">
        <v>254.02706000000001</v>
      </c>
      <c r="G173">
        <f t="shared" si="4"/>
        <v>3.0270600000000059</v>
      </c>
      <c r="H173">
        <f t="shared" si="5"/>
        <v>3.0270600000000059</v>
      </c>
    </row>
    <row r="174" spans="1:8" x14ac:dyDescent="0.3">
      <c r="A174">
        <v>173</v>
      </c>
      <c r="B174" t="s">
        <v>187</v>
      </c>
      <c r="C174">
        <v>1</v>
      </c>
      <c r="D174">
        <v>175</v>
      </c>
      <c r="E174">
        <v>30.405000000000001</v>
      </c>
      <c r="F174">
        <v>175.18534999999997</v>
      </c>
      <c r="G174">
        <f t="shared" si="4"/>
        <v>0.18534999999997126</v>
      </c>
      <c r="H174">
        <f t="shared" si="5"/>
        <v>0.18534999999997126</v>
      </c>
    </row>
    <row r="175" spans="1:8" x14ac:dyDescent="0.3">
      <c r="A175">
        <v>174</v>
      </c>
      <c r="B175" t="s">
        <v>188</v>
      </c>
      <c r="C175">
        <v>1</v>
      </c>
      <c r="D175">
        <v>269</v>
      </c>
      <c r="E175">
        <v>31.928000000000001</v>
      </c>
      <c r="F175">
        <v>265.75816000000032</v>
      </c>
      <c r="G175">
        <f t="shared" si="4"/>
        <v>-3.2418399999996836</v>
      </c>
      <c r="H175">
        <f t="shared" si="5"/>
        <v>3.2418399999996836</v>
      </c>
    </row>
    <row r="176" spans="1:8" x14ac:dyDescent="0.3">
      <c r="A176">
        <v>175</v>
      </c>
      <c r="B176" t="s">
        <v>189</v>
      </c>
      <c r="C176">
        <v>5</v>
      </c>
      <c r="D176">
        <v>295</v>
      </c>
      <c r="E176">
        <v>32.372999999999998</v>
      </c>
      <c r="F176">
        <v>292.22231000000033</v>
      </c>
      <c r="G176">
        <f t="shared" si="4"/>
        <v>-2.7776899999996658</v>
      </c>
      <c r="H176">
        <f t="shared" si="5"/>
        <v>2.7776899999996658</v>
      </c>
    </row>
    <row r="177" spans="1:8" x14ac:dyDescent="0.3">
      <c r="A177">
        <v>176</v>
      </c>
      <c r="B177" t="s">
        <v>190</v>
      </c>
      <c r="C177">
        <v>2</v>
      </c>
      <c r="D177">
        <v>264</v>
      </c>
      <c r="E177">
        <v>31.760999999999999</v>
      </c>
      <c r="F177">
        <v>265.82666999999998</v>
      </c>
      <c r="G177">
        <f t="shared" si="4"/>
        <v>1.8266699999999787</v>
      </c>
      <c r="H177">
        <f t="shared" si="5"/>
        <v>1.8266699999999787</v>
      </c>
    </row>
    <row r="178" spans="1:8" x14ac:dyDescent="0.3">
      <c r="A178">
        <v>177</v>
      </c>
      <c r="B178" t="s">
        <v>191</v>
      </c>
      <c r="C178">
        <v>2</v>
      </c>
      <c r="D178">
        <v>310</v>
      </c>
      <c r="E178">
        <v>32.659999999999997</v>
      </c>
      <c r="F178">
        <v>309.29020000000014</v>
      </c>
      <c r="G178">
        <f t="shared" si="4"/>
        <v>-0.70979999999985921</v>
      </c>
      <c r="H178">
        <f t="shared" si="5"/>
        <v>0.70979999999985921</v>
      </c>
    </row>
    <row r="179" spans="1:8" x14ac:dyDescent="0.3">
      <c r="A179">
        <v>178</v>
      </c>
      <c r="B179" t="s">
        <v>192</v>
      </c>
      <c r="C179">
        <v>3</v>
      </c>
      <c r="D179">
        <v>229</v>
      </c>
      <c r="E179">
        <v>31.074000000000002</v>
      </c>
      <c r="F179">
        <v>227.51</v>
      </c>
      <c r="G179">
        <f t="shared" si="4"/>
        <v>-1.4900000000000091</v>
      </c>
      <c r="H179">
        <f t="shared" si="5"/>
        <v>1.4900000000000091</v>
      </c>
    </row>
    <row r="180" spans="1:8" x14ac:dyDescent="0.3">
      <c r="A180">
        <v>179</v>
      </c>
      <c r="B180" t="s">
        <v>193</v>
      </c>
      <c r="C180">
        <v>4</v>
      </c>
      <c r="D180">
        <v>258</v>
      </c>
      <c r="E180">
        <v>31.835999999999999</v>
      </c>
      <c r="F180">
        <v>260.28692000000001</v>
      </c>
      <c r="G180">
        <f t="shared" si="4"/>
        <v>2.2869200000000092</v>
      </c>
      <c r="H180">
        <f t="shared" si="5"/>
        <v>2.2869200000000092</v>
      </c>
    </row>
    <row r="181" spans="1:8" x14ac:dyDescent="0.3">
      <c r="A181">
        <v>180</v>
      </c>
      <c r="B181" t="s">
        <v>194</v>
      </c>
      <c r="C181">
        <v>3</v>
      </c>
      <c r="D181">
        <v>339</v>
      </c>
      <c r="E181">
        <v>32.726999999999997</v>
      </c>
      <c r="F181">
        <v>338.52</v>
      </c>
      <c r="G181">
        <f t="shared" si="4"/>
        <v>-0.48000000000001819</v>
      </c>
      <c r="H181">
        <f t="shared" si="5"/>
        <v>0.48000000000001819</v>
      </c>
    </row>
    <row r="182" spans="1:8" x14ac:dyDescent="0.3">
      <c r="A182">
        <v>181</v>
      </c>
      <c r="B182" t="s">
        <v>195</v>
      </c>
      <c r="C182">
        <v>1</v>
      </c>
      <c r="D182">
        <v>190</v>
      </c>
      <c r="E182">
        <v>30.550999999999998</v>
      </c>
      <c r="F182">
        <v>189.86797000000001</v>
      </c>
      <c r="G182">
        <f t="shared" si="4"/>
        <v>-0.1320299999999861</v>
      </c>
      <c r="H182">
        <f t="shared" si="5"/>
        <v>0.1320299999999861</v>
      </c>
    </row>
    <row r="183" spans="1:8" x14ac:dyDescent="0.3">
      <c r="A183">
        <v>182</v>
      </c>
      <c r="B183" t="s">
        <v>196</v>
      </c>
      <c r="C183">
        <v>2</v>
      </c>
      <c r="D183">
        <v>302</v>
      </c>
      <c r="E183">
        <v>32.662000000000013</v>
      </c>
      <c r="F183">
        <v>305.40913999999998</v>
      </c>
      <c r="G183">
        <f t="shared" si="4"/>
        <v>3.4091399999999794</v>
      </c>
      <c r="H183">
        <f t="shared" si="5"/>
        <v>3.4091399999999794</v>
      </c>
    </row>
    <row r="184" spans="1:8" x14ac:dyDescent="0.3">
      <c r="A184">
        <v>183</v>
      </c>
      <c r="B184" t="s">
        <v>197</v>
      </c>
      <c r="C184">
        <v>1</v>
      </c>
      <c r="D184">
        <v>279</v>
      </c>
      <c r="E184">
        <v>32.307000000000002</v>
      </c>
      <c r="F184">
        <v>276.29728999999998</v>
      </c>
      <c r="G184">
        <f t="shared" si="4"/>
        <v>-2.7027100000000246</v>
      </c>
      <c r="H184">
        <f t="shared" si="5"/>
        <v>2.7027100000000246</v>
      </c>
    </row>
    <row r="185" spans="1:8" x14ac:dyDescent="0.3">
      <c r="A185">
        <v>184</v>
      </c>
      <c r="B185" t="s">
        <v>198</v>
      </c>
      <c r="C185">
        <v>3</v>
      </c>
      <c r="D185">
        <v>375</v>
      </c>
      <c r="E185">
        <v>33.692000000000007</v>
      </c>
      <c r="F185">
        <v>370.66324000000031</v>
      </c>
      <c r="G185">
        <f t="shared" si="4"/>
        <v>-4.3367599999996855</v>
      </c>
      <c r="H185">
        <f t="shared" si="5"/>
        <v>4.3367599999996855</v>
      </c>
    </row>
    <row r="186" spans="1:8" x14ac:dyDescent="0.3">
      <c r="A186">
        <v>185</v>
      </c>
      <c r="B186" t="s">
        <v>199</v>
      </c>
      <c r="C186">
        <v>3</v>
      </c>
      <c r="D186">
        <v>245</v>
      </c>
      <c r="E186">
        <v>31.608000000000001</v>
      </c>
      <c r="F186">
        <v>246.72776000000022</v>
      </c>
      <c r="G186">
        <f t="shared" si="4"/>
        <v>1.7277600000002167</v>
      </c>
      <c r="H186">
        <f t="shared" si="5"/>
        <v>1.7277600000002167</v>
      </c>
    </row>
    <row r="187" spans="1:8" x14ac:dyDescent="0.3">
      <c r="A187">
        <v>186</v>
      </c>
      <c r="B187" t="s">
        <v>200</v>
      </c>
      <c r="C187">
        <v>1</v>
      </c>
      <c r="D187">
        <v>186</v>
      </c>
      <c r="E187">
        <v>30.475999999999999</v>
      </c>
      <c r="F187">
        <v>185.40772000000001</v>
      </c>
      <c r="G187">
        <f t="shared" si="4"/>
        <v>-0.59227999999998815</v>
      </c>
      <c r="H187">
        <f t="shared" si="5"/>
        <v>0.59227999999998815</v>
      </c>
    </row>
    <row r="188" spans="1:8" x14ac:dyDescent="0.3">
      <c r="A188">
        <v>187</v>
      </c>
      <c r="B188" t="s">
        <v>201</v>
      </c>
      <c r="C188">
        <v>4</v>
      </c>
      <c r="D188">
        <v>330</v>
      </c>
      <c r="E188">
        <v>32.936000000000007</v>
      </c>
      <c r="F188">
        <v>325.70392000000038</v>
      </c>
      <c r="G188">
        <f t="shared" si="4"/>
        <v>-4.2960799999996198</v>
      </c>
      <c r="H188">
        <f t="shared" si="5"/>
        <v>4.2960799999996198</v>
      </c>
    </row>
    <row r="189" spans="1:8" x14ac:dyDescent="0.3">
      <c r="A189">
        <v>188</v>
      </c>
      <c r="B189" t="s">
        <v>202</v>
      </c>
      <c r="C189">
        <v>5</v>
      </c>
      <c r="D189">
        <v>346</v>
      </c>
      <c r="E189">
        <v>33.283000000000001</v>
      </c>
      <c r="F189">
        <v>346.34001000000012</v>
      </c>
      <c r="G189">
        <f t="shared" si="4"/>
        <v>0.34001000000012027</v>
      </c>
      <c r="H189">
        <f t="shared" si="5"/>
        <v>0.34001000000012027</v>
      </c>
    </row>
    <row r="190" spans="1:8" x14ac:dyDescent="0.3">
      <c r="A190">
        <v>189</v>
      </c>
      <c r="B190" t="s">
        <v>203</v>
      </c>
      <c r="C190">
        <v>5</v>
      </c>
      <c r="D190">
        <v>319</v>
      </c>
      <c r="E190">
        <v>32.951999999999998</v>
      </c>
      <c r="F190">
        <v>316.65544</v>
      </c>
      <c r="G190">
        <f t="shared" si="4"/>
        <v>-2.3445600000000013</v>
      </c>
      <c r="H190">
        <f t="shared" si="5"/>
        <v>2.3445600000000013</v>
      </c>
    </row>
    <row r="191" spans="1:8" x14ac:dyDescent="0.3">
      <c r="A191">
        <v>190</v>
      </c>
      <c r="B191" t="s">
        <v>204</v>
      </c>
      <c r="C191">
        <v>5</v>
      </c>
      <c r="D191">
        <v>365</v>
      </c>
      <c r="E191">
        <v>33.825000000000003</v>
      </c>
      <c r="F191">
        <v>364.57274999999998</v>
      </c>
      <c r="G191">
        <f t="shared" si="4"/>
        <v>-0.42725000000001501</v>
      </c>
      <c r="H191">
        <f t="shared" si="5"/>
        <v>0.42725000000001501</v>
      </c>
    </row>
    <row r="192" spans="1:8" x14ac:dyDescent="0.3">
      <c r="A192">
        <v>191</v>
      </c>
      <c r="B192" t="s">
        <v>205</v>
      </c>
      <c r="C192">
        <v>5</v>
      </c>
      <c r="D192">
        <v>196</v>
      </c>
      <c r="E192">
        <v>30.82</v>
      </c>
      <c r="F192">
        <v>199.86540000000014</v>
      </c>
      <c r="G192">
        <f t="shared" si="4"/>
        <v>3.8654000000001361</v>
      </c>
      <c r="H192">
        <f t="shared" si="5"/>
        <v>3.8654000000001361</v>
      </c>
    </row>
    <row r="193" spans="1:8" x14ac:dyDescent="0.3">
      <c r="A193">
        <v>192</v>
      </c>
      <c r="B193" t="s">
        <v>206</v>
      </c>
      <c r="C193">
        <v>5</v>
      </c>
      <c r="D193">
        <v>227</v>
      </c>
      <c r="E193">
        <v>31.143000000000001</v>
      </c>
      <c r="F193">
        <v>229.07420999999999</v>
      </c>
      <c r="G193">
        <f t="shared" si="4"/>
        <v>2.0742099999999937</v>
      </c>
      <c r="H193">
        <f t="shared" si="5"/>
        <v>2.0742099999999937</v>
      </c>
    </row>
    <row r="194" spans="1:8" x14ac:dyDescent="0.3">
      <c r="A194">
        <v>193</v>
      </c>
      <c r="B194" t="s">
        <v>207</v>
      </c>
      <c r="C194">
        <v>2</v>
      </c>
      <c r="D194">
        <v>312</v>
      </c>
      <c r="E194">
        <v>32.673000000000002</v>
      </c>
      <c r="F194">
        <v>310.06331</v>
      </c>
      <c r="G194">
        <f t="shared" si="4"/>
        <v>-1.9366899999999987</v>
      </c>
      <c r="H194">
        <f t="shared" si="5"/>
        <v>1.9366899999999987</v>
      </c>
    </row>
    <row r="195" spans="1:8" x14ac:dyDescent="0.3">
      <c r="A195">
        <v>194</v>
      </c>
      <c r="B195" t="s">
        <v>208</v>
      </c>
      <c r="C195">
        <v>1</v>
      </c>
      <c r="D195">
        <v>343</v>
      </c>
      <c r="E195">
        <v>33.417000000000002</v>
      </c>
      <c r="F195">
        <v>341.30898999999999</v>
      </c>
      <c r="G195">
        <f t="shared" ref="G195:G258" si="6">F195-D195</f>
        <v>-1.6910100000000057</v>
      </c>
      <c r="H195">
        <f t="shared" ref="H195:H258" si="7">ABS(F195-D195)</f>
        <v>1.6910100000000057</v>
      </c>
    </row>
    <row r="196" spans="1:8" x14ac:dyDescent="0.3">
      <c r="A196">
        <v>195</v>
      </c>
      <c r="B196" t="s">
        <v>209</v>
      </c>
      <c r="C196">
        <v>1</v>
      </c>
      <c r="D196">
        <v>425</v>
      </c>
      <c r="E196">
        <v>34.566000000000003</v>
      </c>
      <c r="F196">
        <v>422.64002000000028</v>
      </c>
      <c r="G196">
        <f t="shared" si="6"/>
        <v>-2.3599799999997231</v>
      </c>
      <c r="H196">
        <f t="shared" si="7"/>
        <v>2.3599799999997231</v>
      </c>
    </row>
    <row r="197" spans="1:8" x14ac:dyDescent="0.3">
      <c r="A197">
        <v>196</v>
      </c>
      <c r="B197" t="s">
        <v>210</v>
      </c>
      <c r="C197">
        <v>2</v>
      </c>
      <c r="D197">
        <v>292</v>
      </c>
      <c r="E197">
        <v>32.31</v>
      </c>
      <c r="F197">
        <v>288.47570000000019</v>
      </c>
      <c r="G197">
        <f t="shared" si="6"/>
        <v>-3.5242999999998119</v>
      </c>
      <c r="H197">
        <f t="shared" si="7"/>
        <v>3.5242999999998119</v>
      </c>
    </row>
    <row r="198" spans="1:8" x14ac:dyDescent="0.3">
      <c r="A198">
        <v>197</v>
      </c>
      <c r="B198" t="s">
        <v>211</v>
      </c>
      <c r="C198">
        <v>3</v>
      </c>
      <c r="D198">
        <v>240</v>
      </c>
      <c r="E198">
        <v>31.628</v>
      </c>
      <c r="F198">
        <v>241.91716</v>
      </c>
      <c r="G198">
        <f t="shared" si="6"/>
        <v>1.9171599999999955</v>
      </c>
      <c r="H198">
        <f t="shared" si="7"/>
        <v>1.9171599999999955</v>
      </c>
    </row>
    <row r="199" spans="1:8" x14ac:dyDescent="0.3">
      <c r="A199">
        <v>198</v>
      </c>
      <c r="B199" t="s">
        <v>212</v>
      </c>
      <c r="C199">
        <v>4</v>
      </c>
      <c r="D199">
        <v>328</v>
      </c>
      <c r="E199">
        <v>32.947000000000003</v>
      </c>
      <c r="F199">
        <v>326.35809000000017</v>
      </c>
      <c r="G199">
        <f t="shared" si="6"/>
        <v>-1.6419099999998252</v>
      </c>
      <c r="H199">
        <f t="shared" si="7"/>
        <v>1.6419099999998252</v>
      </c>
    </row>
    <row r="200" spans="1:8" x14ac:dyDescent="0.3">
      <c r="A200">
        <v>199</v>
      </c>
      <c r="B200" t="s">
        <v>213</v>
      </c>
      <c r="C200">
        <v>3</v>
      </c>
      <c r="D200">
        <v>267</v>
      </c>
      <c r="E200">
        <v>31.934999999999999</v>
      </c>
      <c r="F200">
        <v>266.17445000000021</v>
      </c>
      <c r="G200">
        <f t="shared" si="6"/>
        <v>-0.82554999999979373</v>
      </c>
      <c r="H200">
        <f t="shared" si="7"/>
        <v>0.82554999999979373</v>
      </c>
    </row>
    <row r="201" spans="1:8" x14ac:dyDescent="0.3">
      <c r="A201">
        <v>200</v>
      </c>
      <c r="B201" t="s">
        <v>214</v>
      </c>
      <c r="C201">
        <v>3</v>
      </c>
      <c r="D201">
        <v>270</v>
      </c>
      <c r="E201">
        <v>32.168999999999997</v>
      </c>
      <c r="F201">
        <v>268.09043000000003</v>
      </c>
      <c r="G201">
        <f t="shared" si="6"/>
        <v>-1.9095699999999738</v>
      </c>
      <c r="H201">
        <f t="shared" si="7"/>
        <v>1.9095699999999738</v>
      </c>
    </row>
    <row r="202" spans="1:8" x14ac:dyDescent="0.3">
      <c r="A202">
        <v>201</v>
      </c>
      <c r="B202" t="s">
        <v>215</v>
      </c>
      <c r="C202">
        <v>4</v>
      </c>
      <c r="D202">
        <v>291</v>
      </c>
      <c r="E202">
        <v>32.292000000000002</v>
      </c>
      <c r="F202">
        <v>287.40524000000005</v>
      </c>
      <c r="G202">
        <f t="shared" si="6"/>
        <v>-3.5947599999999511</v>
      </c>
      <c r="H202">
        <f t="shared" si="7"/>
        <v>3.5947599999999511</v>
      </c>
    </row>
    <row r="203" spans="1:8" x14ac:dyDescent="0.3">
      <c r="A203">
        <v>202</v>
      </c>
      <c r="B203" t="s">
        <v>216</v>
      </c>
      <c r="C203">
        <v>5</v>
      </c>
      <c r="D203">
        <v>296</v>
      </c>
      <c r="E203">
        <v>32.338999999999999</v>
      </c>
      <c r="F203">
        <v>295.20033000000001</v>
      </c>
      <c r="G203">
        <f t="shared" si="6"/>
        <v>-0.79966999999999189</v>
      </c>
      <c r="H203">
        <f t="shared" si="7"/>
        <v>0.79966999999999189</v>
      </c>
    </row>
    <row r="204" spans="1:8" x14ac:dyDescent="0.3">
      <c r="A204">
        <v>203</v>
      </c>
      <c r="B204" t="s">
        <v>217</v>
      </c>
      <c r="C204">
        <v>3</v>
      </c>
      <c r="D204">
        <v>402</v>
      </c>
      <c r="E204">
        <v>34.051000000000002</v>
      </c>
      <c r="F204">
        <v>399.01297</v>
      </c>
      <c r="G204">
        <f t="shared" si="6"/>
        <v>-2.9870300000000043</v>
      </c>
      <c r="H204">
        <f t="shared" si="7"/>
        <v>2.9870300000000043</v>
      </c>
    </row>
    <row r="205" spans="1:8" x14ac:dyDescent="0.3">
      <c r="A205">
        <v>204</v>
      </c>
      <c r="B205" t="s">
        <v>218</v>
      </c>
      <c r="C205">
        <v>2</v>
      </c>
      <c r="D205">
        <v>357</v>
      </c>
      <c r="E205">
        <v>33.295000000000002</v>
      </c>
      <c r="F205">
        <v>355.05365</v>
      </c>
      <c r="G205">
        <f t="shared" si="6"/>
        <v>-1.9463499999999954</v>
      </c>
      <c r="H205">
        <f t="shared" si="7"/>
        <v>1.9463499999999954</v>
      </c>
    </row>
    <row r="206" spans="1:8" x14ac:dyDescent="0.3">
      <c r="A206">
        <v>205</v>
      </c>
      <c r="B206" t="s">
        <v>219</v>
      </c>
      <c r="C206">
        <v>1</v>
      </c>
      <c r="D206">
        <v>247</v>
      </c>
      <c r="E206">
        <v>31.831</v>
      </c>
      <c r="F206">
        <v>246.98956999999999</v>
      </c>
      <c r="G206">
        <f t="shared" si="6"/>
        <v>-1.0430000000013706E-2</v>
      </c>
      <c r="H206">
        <f t="shared" si="7"/>
        <v>1.0430000000013706E-2</v>
      </c>
    </row>
    <row r="207" spans="1:8" x14ac:dyDescent="0.3">
      <c r="A207">
        <v>206</v>
      </c>
      <c r="B207" t="s">
        <v>220</v>
      </c>
      <c r="C207">
        <v>5</v>
      </c>
      <c r="D207">
        <v>301</v>
      </c>
      <c r="E207">
        <v>32.667000000000002</v>
      </c>
      <c r="F207">
        <v>298.70648999999997</v>
      </c>
      <c r="G207">
        <f t="shared" si="6"/>
        <v>-2.2935100000000261</v>
      </c>
      <c r="H207">
        <f t="shared" si="7"/>
        <v>2.2935100000000261</v>
      </c>
    </row>
    <row r="208" spans="1:8" x14ac:dyDescent="0.3">
      <c r="A208">
        <v>207</v>
      </c>
      <c r="B208" t="s">
        <v>221</v>
      </c>
      <c r="C208">
        <v>4</v>
      </c>
      <c r="D208">
        <v>237</v>
      </c>
      <c r="E208">
        <v>31.356000000000002</v>
      </c>
      <c r="F208">
        <v>235.74132</v>
      </c>
      <c r="G208">
        <f t="shared" si="6"/>
        <v>-1.2586799999999982</v>
      </c>
      <c r="H208">
        <f t="shared" si="7"/>
        <v>1.2586799999999982</v>
      </c>
    </row>
    <row r="209" spans="1:8" x14ac:dyDescent="0.3">
      <c r="A209">
        <v>208</v>
      </c>
      <c r="B209" t="s">
        <v>222</v>
      </c>
      <c r="C209">
        <v>4</v>
      </c>
      <c r="D209">
        <v>255</v>
      </c>
      <c r="E209">
        <v>31.670999999999999</v>
      </c>
      <c r="F209">
        <v>251.47436999999999</v>
      </c>
      <c r="G209">
        <f t="shared" si="6"/>
        <v>-3.5256300000000067</v>
      </c>
      <c r="H209">
        <f t="shared" si="7"/>
        <v>3.5256300000000067</v>
      </c>
    </row>
    <row r="210" spans="1:8" x14ac:dyDescent="0.3">
      <c r="A210">
        <v>209</v>
      </c>
      <c r="B210" t="s">
        <v>223</v>
      </c>
      <c r="C210">
        <v>2</v>
      </c>
      <c r="D210">
        <v>204</v>
      </c>
      <c r="E210">
        <v>30.806000000000001</v>
      </c>
      <c r="F210">
        <v>201.03281999999999</v>
      </c>
      <c r="G210">
        <f t="shared" si="6"/>
        <v>-2.9671800000000133</v>
      </c>
      <c r="H210">
        <f t="shared" si="7"/>
        <v>2.9671800000000133</v>
      </c>
    </row>
    <row r="211" spans="1:8" x14ac:dyDescent="0.3">
      <c r="A211">
        <v>210</v>
      </c>
      <c r="B211" t="s">
        <v>224</v>
      </c>
      <c r="C211">
        <v>1</v>
      </c>
      <c r="D211">
        <v>318</v>
      </c>
      <c r="E211">
        <v>32.198999999999998</v>
      </c>
      <c r="F211">
        <v>317.69</v>
      </c>
      <c r="G211">
        <f t="shared" si="6"/>
        <v>-0.31000000000000227</v>
      </c>
      <c r="H211">
        <f t="shared" si="7"/>
        <v>0.31000000000000227</v>
      </c>
    </row>
    <row r="212" spans="1:8" x14ac:dyDescent="0.3">
      <c r="A212">
        <v>211</v>
      </c>
      <c r="B212" t="s">
        <v>225</v>
      </c>
      <c r="C212">
        <v>2</v>
      </c>
      <c r="D212">
        <v>204</v>
      </c>
      <c r="E212">
        <v>30.79</v>
      </c>
      <c r="F212">
        <v>201.0813</v>
      </c>
      <c r="G212">
        <f t="shared" si="6"/>
        <v>-2.9187000000000012</v>
      </c>
      <c r="H212">
        <f t="shared" si="7"/>
        <v>2.9187000000000012</v>
      </c>
    </row>
    <row r="213" spans="1:8" x14ac:dyDescent="0.3">
      <c r="A213">
        <v>212</v>
      </c>
      <c r="B213" t="s">
        <v>226</v>
      </c>
      <c r="C213">
        <v>1</v>
      </c>
      <c r="D213">
        <v>374</v>
      </c>
      <c r="E213">
        <v>33.561000000000007</v>
      </c>
      <c r="F213">
        <v>375.61</v>
      </c>
      <c r="G213">
        <f t="shared" si="6"/>
        <v>1.6100000000000136</v>
      </c>
      <c r="H213">
        <f t="shared" si="7"/>
        <v>1.6100000000000136</v>
      </c>
    </row>
    <row r="214" spans="1:8" x14ac:dyDescent="0.3">
      <c r="A214">
        <v>213</v>
      </c>
      <c r="B214" t="s">
        <v>227</v>
      </c>
      <c r="C214">
        <v>5</v>
      </c>
      <c r="D214">
        <v>339</v>
      </c>
      <c r="E214">
        <v>33.015000000000001</v>
      </c>
      <c r="F214">
        <v>335.40204999999997</v>
      </c>
      <c r="G214">
        <f t="shared" si="6"/>
        <v>-3.5979500000000257</v>
      </c>
      <c r="H214">
        <f t="shared" si="7"/>
        <v>3.5979500000000257</v>
      </c>
    </row>
    <row r="215" spans="1:8" x14ac:dyDescent="0.3">
      <c r="A215">
        <v>214</v>
      </c>
      <c r="B215" t="s">
        <v>228</v>
      </c>
      <c r="C215">
        <v>4</v>
      </c>
      <c r="D215">
        <v>202</v>
      </c>
      <c r="E215">
        <v>30.751999999999999</v>
      </c>
      <c r="F215">
        <v>199.82144</v>
      </c>
      <c r="G215">
        <f t="shared" si="6"/>
        <v>-2.1785600000000045</v>
      </c>
      <c r="H215">
        <f t="shared" si="7"/>
        <v>2.1785600000000045</v>
      </c>
    </row>
    <row r="216" spans="1:8" x14ac:dyDescent="0.3">
      <c r="A216">
        <v>215</v>
      </c>
      <c r="B216" t="s">
        <v>229</v>
      </c>
      <c r="C216">
        <v>5</v>
      </c>
      <c r="D216">
        <v>249</v>
      </c>
      <c r="E216">
        <v>31.695</v>
      </c>
      <c r="F216">
        <v>251.90165000000025</v>
      </c>
      <c r="G216">
        <f t="shared" si="6"/>
        <v>2.9016500000002452</v>
      </c>
      <c r="H216">
        <f t="shared" si="7"/>
        <v>2.9016500000002452</v>
      </c>
    </row>
    <row r="217" spans="1:8" x14ac:dyDescent="0.3">
      <c r="A217">
        <v>216</v>
      </c>
      <c r="B217" t="s">
        <v>230</v>
      </c>
      <c r="C217">
        <v>4</v>
      </c>
      <c r="D217">
        <v>258</v>
      </c>
      <c r="E217">
        <v>31.677</v>
      </c>
      <c r="F217">
        <v>254.83118999999999</v>
      </c>
      <c r="G217">
        <f t="shared" si="6"/>
        <v>-3.1688100000000077</v>
      </c>
      <c r="H217">
        <f t="shared" si="7"/>
        <v>3.1688100000000077</v>
      </c>
    </row>
    <row r="218" spans="1:8" x14ac:dyDescent="0.3">
      <c r="A218">
        <v>217</v>
      </c>
      <c r="B218" t="s">
        <v>231</v>
      </c>
      <c r="C218">
        <v>4</v>
      </c>
      <c r="D218">
        <v>167</v>
      </c>
      <c r="E218">
        <v>30.391999999999999</v>
      </c>
      <c r="F218">
        <v>164.41224</v>
      </c>
      <c r="G218">
        <f t="shared" si="6"/>
        <v>-2.5877600000000029</v>
      </c>
      <c r="H218">
        <f t="shared" si="7"/>
        <v>2.5877600000000029</v>
      </c>
    </row>
    <row r="219" spans="1:8" x14ac:dyDescent="0.3">
      <c r="A219">
        <v>218</v>
      </c>
      <c r="B219" t="s">
        <v>232</v>
      </c>
      <c r="C219">
        <v>5</v>
      </c>
      <c r="D219">
        <v>338</v>
      </c>
      <c r="E219">
        <v>33.183000000000007</v>
      </c>
      <c r="F219">
        <v>340.39301000000046</v>
      </c>
      <c r="G219">
        <f t="shared" si="6"/>
        <v>2.3930100000004586</v>
      </c>
      <c r="H219">
        <f t="shared" si="7"/>
        <v>2.3930100000004586</v>
      </c>
    </row>
    <row r="220" spans="1:8" x14ac:dyDescent="0.3">
      <c r="A220">
        <v>219</v>
      </c>
      <c r="B220" t="s">
        <v>233</v>
      </c>
      <c r="C220">
        <v>2</v>
      </c>
      <c r="D220">
        <v>199</v>
      </c>
      <c r="E220">
        <v>30.888000000000002</v>
      </c>
      <c r="F220">
        <v>202.90935999999999</v>
      </c>
      <c r="G220">
        <f t="shared" si="6"/>
        <v>3.9093599999999924</v>
      </c>
      <c r="H220">
        <f t="shared" si="7"/>
        <v>3.9093599999999924</v>
      </c>
    </row>
    <row r="221" spans="1:8" x14ac:dyDescent="0.3">
      <c r="A221">
        <v>220</v>
      </c>
      <c r="B221" t="s">
        <v>234</v>
      </c>
      <c r="C221">
        <v>3</v>
      </c>
      <c r="D221">
        <v>350</v>
      </c>
      <c r="E221">
        <v>33.328000000000003</v>
      </c>
      <c r="F221">
        <v>349.01616000000013</v>
      </c>
      <c r="G221">
        <f t="shared" si="6"/>
        <v>-0.98383999999987282</v>
      </c>
      <c r="H221">
        <f t="shared" si="7"/>
        <v>0.98383999999987282</v>
      </c>
    </row>
    <row r="222" spans="1:8" x14ac:dyDescent="0.3">
      <c r="A222">
        <v>221</v>
      </c>
      <c r="B222" t="s">
        <v>235</v>
      </c>
      <c r="C222">
        <v>2</v>
      </c>
      <c r="D222">
        <v>328</v>
      </c>
      <c r="E222">
        <v>32.603999999999999</v>
      </c>
      <c r="F222">
        <v>327.18</v>
      </c>
      <c r="G222">
        <f t="shared" si="6"/>
        <v>-0.81999999999999318</v>
      </c>
      <c r="H222">
        <f t="shared" si="7"/>
        <v>0.81999999999999318</v>
      </c>
    </row>
    <row r="223" spans="1:8" x14ac:dyDescent="0.3">
      <c r="A223">
        <v>222</v>
      </c>
      <c r="B223" t="s">
        <v>236</v>
      </c>
      <c r="C223">
        <v>4</v>
      </c>
      <c r="D223">
        <v>313</v>
      </c>
      <c r="E223">
        <v>33.014000000000003</v>
      </c>
      <c r="F223">
        <v>312.52</v>
      </c>
      <c r="G223">
        <f t="shared" si="6"/>
        <v>-0.48000000000001819</v>
      </c>
      <c r="H223">
        <f t="shared" si="7"/>
        <v>0.48000000000001819</v>
      </c>
    </row>
    <row r="224" spans="1:8" x14ac:dyDescent="0.3">
      <c r="A224">
        <v>223</v>
      </c>
      <c r="B224" t="s">
        <v>237</v>
      </c>
      <c r="C224">
        <v>2</v>
      </c>
      <c r="D224">
        <v>307</v>
      </c>
      <c r="E224">
        <v>32.515000000000001</v>
      </c>
      <c r="F224">
        <v>305.66705000000002</v>
      </c>
      <c r="G224">
        <f t="shared" si="6"/>
        <v>-1.3329499999999825</v>
      </c>
      <c r="H224">
        <f t="shared" si="7"/>
        <v>1.3329499999999825</v>
      </c>
    </row>
    <row r="225" spans="1:8" x14ac:dyDescent="0.3">
      <c r="A225">
        <v>224</v>
      </c>
      <c r="B225" t="s">
        <v>238</v>
      </c>
      <c r="C225">
        <v>3</v>
      </c>
      <c r="D225">
        <v>411</v>
      </c>
      <c r="E225">
        <v>34.61</v>
      </c>
      <c r="F225">
        <v>409.25670000000002</v>
      </c>
      <c r="G225">
        <f t="shared" si="6"/>
        <v>-1.7432999999999765</v>
      </c>
      <c r="H225">
        <f t="shared" si="7"/>
        <v>1.7432999999999765</v>
      </c>
    </row>
    <row r="226" spans="1:8" x14ac:dyDescent="0.3">
      <c r="A226">
        <v>225</v>
      </c>
      <c r="B226" t="s">
        <v>239</v>
      </c>
      <c r="C226">
        <v>4</v>
      </c>
      <c r="D226">
        <v>271</v>
      </c>
      <c r="E226">
        <v>32.081000000000003</v>
      </c>
      <c r="F226">
        <v>274.85707000000025</v>
      </c>
      <c r="G226">
        <f t="shared" si="6"/>
        <v>3.8570700000002489</v>
      </c>
      <c r="H226">
        <f t="shared" si="7"/>
        <v>3.8570700000002489</v>
      </c>
    </row>
    <row r="227" spans="1:8" x14ac:dyDescent="0.3">
      <c r="A227">
        <v>226</v>
      </c>
      <c r="B227" t="s">
        <v>240</v>
      </c>
      <c r="C227">
        <v>3</v>
      </c>
      <c r="D227">
        <v>216</v>
      </c>
      <c r="E227">
        <v>30.920999999999999</v>
      </c>
      <c r="F227">
        <v>215.15</v>
      </c>
      <c r="G227">
        <f t="shared" si="6"/>
        <v>-0.84999999999999432</v>
      </c>
      <c r="H227">
        <f t="shared" si="7"/>
        <v>0.84999999999999432</v>
      </c>
    </row>
    <row r="228" spans="1:8" x14ac:dyDescent="0.3">
      <c r="A228">
        <v>227</v>
      </c>
      <c r="B228" t="s">
        <v>241</v>
      </c>
      <c r="C228">
        <v>4</v>
      </c>
      <c r="D228">
        <v>342</v>
      </c>
      <c r="E228">
        <v>33.195000000000007</v>
      </c>
      <c r="F228">
        <v>341.1066500000004</v>
      </c>
      <c r="G228">
        <f t="shared" si="6"/>
        <v>-0.89334999999960019</v>
      </c>
      <c r="H228">
        <f t="shared" si="7"/>
        <v>0.89334999999960019</v>
      </c>
    </row>
    <row r="229" spans="1:8" x14ac:dyDescent="0.3">
      <c r="A229">
        <v>228</v>
      </c>
      <c r="B229" t="s">
        <v>242</v>
      </c>
      <c r="C229">
        <v>2</v>
      </c>
      <c r="D229">
        <v>250</v>
      </c>
      <c r="E229">
        <v>31.837</v>
      </c>
      <c r="F229">
        <v>249.34639000000001</v>
      </c>
      <c r="G229">
        <f t="shared" si="6"/>
        <v>-0.65360999999998626</v>
      </c>
      <c r="H229">
        <f t="shared" si="7"/>
        <v>0.65360999999998626</v>
      </c>
    </row>
    <row r="230" spans="1:8" x14ac:dyDescent="0.3">
      <c r="A230">
        <v>229</v>
      </c>
      <c r="B230" t="s">
        <v>243</v>
      </c>
      <c r="C230">
        <v>3</v>
      </c>
      <c r="D230">
        <v>272</v>
      </c>
      <c r="E230">
        <v>32.14</v>
      </c>
      <c r="F230">
        <v>271.36579999999998</v>
      </c>
      <c r="G230">
        <f t="shared" si="6"/>
        <v>-0.63420000000002119</v>
      </c>
      <c r="H230">
        <f t="shared" si="7"/>
        <v>0.63420000000002119</v>
      </c>
    </row>
    <row r="231" spans="1:8" x14ac:dyDescent="0.3">
      <c r="A231">
        <v>230</v>
      </c>
      <c r="B231" t="s">
        <v>244</v>
      </c>
      <c r="C231">
        <v>2</v>
      </c>
      <c r="D231">
        <v>303</v>
      </c>
      <c r="E231">
        <v>32.436000000000007</v>
      </c>
      <c r="F231">
        <v>299.96892000000003</v>
      </c>
      <c r="G231">
        <f t="shared" si="6"/>
        <v>-3.0310799999999745</v>
      </c>
      <c r="H231">
        <f t="shared" si="7"/>
        <v>3.0310799999999745</v>
      </c>
    </row>
    <row r="232" spans="1:8" x14ac:dyDescent="0.3">
      <c r="A232">
        <v>231</v>
      </c>
      <c r="B232" t="s">
        <v>245</v>
      </c>
      <c r="C232">
        <v>4</v>
      </c>
      <c r="D232">
        <v>112</v>
      </c>
      <c r="E232">
        <v>29.46</v>
      </c>
      <c r="F232">
        <v>113.9862</v>
      </c>
      <c r="G232">
        <f t="shared" si="6"/>
        <v>1.9861999999999966</v>
      </c>
      <c r="H232">
        <f t="shared" si="7"/>
        <v>1.9861999999999966</v>
      </c>
    </row>
    <row r="233" spans="1:8" x14ac:dyDescent="0.3">
      <c r="A233">
        <v>232</v>
      </c>
      <c r="B233" t="s">
        <v>246</v>
      </c>
      <c r="C233">
        <v>2</v>
      </c>
      <c r="D233">
        <v>295</v>
      </c>
      <c r="E233">
        <v>32.389000000000003</v>
      </c>
      <c r="F233">
        <v>293.17383000000018</v>
      </c>
      <c r="G233">
        <f t="shared" si="6"/>
        <v>-1.82616999999982</v>
      </c>
      <c r="H233">
        <f t="shared" si="7"/>
        <v>1.82616999999982</v>
      </c>
    </row>
    <row r="234" spans="1:8" x14ac:dyDescent="0.3">
      <c r="A234">
        <v>233</v>
      </c>
      <c r="B234" t="s">
        <v>247</v>
      </c>
      <c r="C234">
        <v>4</v>
      </c>
      <c r="D234">
        <v>274</v>
      </c>
      <c r="E234">
        <v>32.049999999999997</v>
      </c>
      <c r="F234">
        <v>273.01350000000025</v>
      </c>
      <c r="G234">
        <f t="shared" si="6"/>
        <v>-0.9864999999997508</v>
      </c>
      <c r="H234">
        <f t="shared" si="7"/>
        <v>0.9864999999997508</v>
      </c>
    </row>
    <row r="235" spans="1:8" x14ac:dyDescent="0.3">
      <c r="A235">
        <v>234</v>
      </c>
      <c r="B235" t="s">
        <v>248</v>
      </c>
      <c r="C235">
        <v>4</v>
      </c>
      <c r="D235">
        <v>362</v>
      </c>
      <c r="E235">
        <v>33.650000000000013</v>
      </c>
      <c r="F235">
        <v>363.16550000000001</v>
      </c>
      <c r="G235">
        <f t="shared" si="6"/>
        <v>1.1655000000000086</v>
      </c>
      <c r="H235">
        <f t="shared" si="7"/>
        <v>1.1655000000000086</v>
      </c>
    </row>
    <row r="236" spans="1:8" x14ac:dyDescent="0.3">
      <c r="A236">
        <v>235</v>
      </c>
      <c r="B236" t="s">
        <v>249</v>
      </c>
      <c r="C236">
        <v>3</v>
      </c>
      <c r="D236">
        <v>278</v>
      </c>
      <c r="E236">
        <v>31.797999999999998</v>
      </c>
      <c r="F236">
        <v>277.52</v>
      </c>
      <c r="G236">
        <f t="shared" si="6"/>
        <v>-0.48000000000001819</v>
      </c>
      <c r="H236">
        <f t="shared" si="7"/>
        <v>0.48000000000001819</v>
      </c>
    </row>
    <row r="237" spans="1:8" x14ac:dyDescent="0.3">
      <c r="A237">
        <v>236</v>
      </c>
      <c r="B237" t="s">
        <v>250</v>
      </c>
      <c r="C237">
        <v>5</v>
      </c>
      <c r="D237">
        <v>323</v>
      </c>
      <c r="E237">
        <v>32.793000000000013</v>
      </c>
      <c r="F237">
        <v>321.19970999999998</v>
      </c>
      <c r="G237">
        <f t="shared" si="6"/>
        <v>-1.8002900000000182</v>
      </c>
      <c r="H237">
        <f t="shared" si="7"/>
        <v>1.8002900000000182</v>
      </c>
    </row>
    <row r="238" spans="1:8" x14ac:dyDescent="0.3">
      <c r="A238">
        <v>237</v>
      </c>
      <c r="B238" t="s">
        <v>251</v>
      </c>
      <c r="C238">
        <v>4</v>
      </c>
      <c r="D238">
        <v>278</v>
      </c>
      <c r="E238">
        <v>32.447000000000003</v>
      </c>
      <c r="F238">
        <v>277.56</v>
      </c>
      <c r="G238">
        <f t="shared" si="6"/>
        <v>-0.43999999999999773</v>
      </c>
      <c r="H238">
        <f t="shared" si="7"/>
        <v>0.43999999999999773</v>
      </c>
    </row>
    <row r="239" spans="1:8" x14ac:dyDescent="0.3">
      <c r="A239">
        <v>238</v>
      </c>
      <c r="B239" t="s">
        <v>252</v>
      </c>
      <c r="C239">
        <v>2</v>
      </c>
      <c r="D239">
        <v>247</v>
      </c>
      <c r="E239">
        <v>31.576000000000001</v>
      </c>
      <c r="F239">
        <v>244.8247200000003</v>
      </c>
      <c r="G239">
        <f t="shared" si="6"/>
        <v>-2.1752799999997023</v>
      </c>
      <c r="H239">
        <f t="shared" si="7"/>
        <v>2.1752799999997023</v>
      </c>
    </row>
    <row r="240" spans="1:8" x14ac:dyDescent="0.3">
      <c r="A240">
        <v>239</v>
      </c>
      <c r="B240" t="s">
        <v>253</v>
      </c>
      <c r="C240">
        <v>1</v>
      </c>
      <c r="D240">
        <v>334</v>
      </c>
      <c r="E240">
        <v>33.171000000000006</v>
      </c>
      <c r="F240">
        <v>336.67937000000001</v>
      </c>
      <c r="G240">
        <f t="shared" si="6"/>
        <v>2.6793700000000058</v>
      </c>
      <c r="H240">
        <f t="shared" si="7"/>
        <v>2.6793700000000058</v>
      </c>
    </row>
    <row r="241" spans="1:8" x14ac:dyDescent="0.3">
      <c r="A241">
        <v>240</v>
      </c>
      <c r="B241" t="s">
        <v>254</v>
      </c>
      <c r="C241">
        <v>3</v>
      </c>
      <c r="D241">
        <v>298</v>
      </c>
      <c r="E241">
        <v>32.326000000000008</v>
      </c>
      <c r="F241">
        <v>297.42721999999998</v>
      </c>
      <c r="G241">
        <f t="shared" si="6"/>
        <v>-0.57278000000002294</v>
      </c>
      <c r="H241">
        <f t="shared" si="7"/>
        <v>0.57278000000002294</v>
      </c>
    </row>
    <row r="242" spans="1:8" x14ac:dyDescent="0.3">
      <c r="A242">
        <v>241</v>
      </c>
      <c r="B242" t="s">
        <v>255</v>
      </c>
      <c r="C242">
        <v>4</v>
      </c>
      <c r="D242">
        <v>253</v>
      </c>
      <c r="E242">
        <v>31.831</v>
      </c>
      <c r="F242">
        <v>254.98956999999999</v>
      </c>
      <c r="G242">
        <f t="shared" si="6"/>
        <v>1.9895699999999863</v>
      </c>
      <c r="H242">
        <f t="shared" si="7"/>
        <v>1.9895699999999863</v>
      </c>
    </row>
    <row r="243" spans="1:8" x14ac:dyDescent="0.3">
      <c r="A243">
        <v>242</v>
      </c>
      <c r="B243" t="s">
        <v>256</v>
      </c>
      <c r="C243">
        <v>5</v>
      </c>
      <c r="D243">
        <v>275</v>
      </c>
      <c r="E243">
        <v>32.101999999999997</v>
      </c>
      <c r="F243">
        <v>276.10594000000015</v>
      </c>
      <c r="G243">
        <f t="shared" si="6"/>
        <v>1.105940000000146</v>
      </c>
      <c r="H243">
        <f t="shared" si="7"/>
        <v>1.105940000000146</v>
      </c>
    </row>
    <row r="244" spans="1:8" x14ac:dyDescent="0.3">
      <c r="A244">
        <v>243</v>
      </c>
      <c r="B244" t="s">
        <v>257</v>
      </c>
      <c r="C244">
        <v>4</v>
      </c>
      <c r="D244">
        <v>316</v>
      </c>
      <c r="E244">
        <v>32.685000000000002</v>
      </c>
      <c r="F244">
        <v>314.77695</v>
      </c>
      <c r="G244">
        <f t="shared" si="6"/>
        <v>-1.2230500000000006</v>
      </c>
      <c r="H244">
        <f t="shared" si="7"/>
        <v>1.2230500000000006</v>
      </c>
    </row>
    <row r="245" spans="1:8" x14ac:dyDescent="0.3">
      <c r="A245">
        <v>244</v>
      </c>
      <c r="B245" t="s">
        <v>258</v>
      </c>
      <c r="C245">
        <v>5</v>
      </c>
      <c r="D245">
        <v>373</v>
      </c>
      <c r="E245">
        <v>33.595999999999997</v>
      </c>
      <c r="F245">
        <v>371.95411999999999</v>
      </c>
      <c r="G245">
        <f t="shared" si="6"/>
        <v>-1.045880000000011</v>
      </c>
      <c r="H245">
        <f t="shared" si="7"/>
        <v>1.045880000000011</v>
      </c>
    </row>
    <row r="246" spans="1:8" x14ac:dyDescent="0.3">
      <c r="A246">
        <v>245</v>
      </c>
      <c r="B246" t="s">
        <v>259</v>
      </c>
      <c r="C246">
        <v>3</v>
      </c>
      <c r="D246">
        <v>254</v>
      </c>
      <c r="E246">
        <v>31.920999999999999</v>
      </c>
      <c r="F246">
        <v>253.34187</v>
      </c>
      <c r="G246">
        <f t="shared" si="6"/>
        <v>-0.65812999999999988</v>
      </c>
      <c r="H246">
        <f t="shared" si="7"/>
        <v>0.65812999999999988</v>
      </c>
    </row>
    <row r="247" spans="1:8" x14ac:dyDescent="0.3">
      <c r="A247">
        <v>246</v>
      </c>
      <c r="B247" t="s">
        <v>260</v>
      </c>
      <c r="C247">
        <v>3</v>
      </c>
      <c r="D247">
        <v>319</v>
      </c>
      <c r="E247">
        <v>32.871000000000002</v>
      </c>
      <c r="F247">
        <v>321.83837000000017</v>
      </c>
      <c r="G247">
        <f t="shared" si="6"/>
        <v>2.8383700000001681</v>
      </c>
      <c r="H247">
        <f t="shared" si="7"/>
        <v>2.8383700000001681</v>
      </c>
    </row>
    <row r="248" spans="1:8" x14ac:dyDescent="0.3">
      <c r="A248">
        <v>247</v>
      </c>
      <c r="B248" t="s">
        <v>261</v>
      </c>
      <c r="C248">
        <v>3</v>
      </c>
      <c r="D248">
        <v>289</v>
      </c>
      <c r="E248">
        <v>32.386000000000003</v>
      </c>
      <c r="F248">
        <v>292.99542000000019</v>
      </c>
      <c r="G248">
        <f t="shared" si="6"/>
        <v>3.9954200000001947</v>
      </c>
      <c r="H248">
        <f t="shared" si="7"/>
        <v>3.9954200000001947</v>
      </c>
    </row>
    <row r="249" spans="1:8" x14ac:dyDescent="0.3">
      <c r="A249">
        <v>248</v>
      </c>
      <c r="B249" t="s">
        <v>262</v>
      </c>
      <c r="C249">
        <v>2</v>
      </c>
      <c r="D249">
        <v>316</v>
      </c>
      <c r="E249">
        <v>32.865000000000002</v>
      </c>
      <c r="F249">
        <v>319.48155000000003</v>
      </c>
      <c r="G249">
        <f t="shared" si="6"/>
        <v>3.481550000000027</v>
      </c>
      <c r="H249">
        <f t="shared" si="7"/>
        <v>3.481550000000027</v>
      </c>
    </row>
    <row r="250" spans="1:8" x14ac:dyDescent="0.3">
      <c r="A250">
        <v>249</v>
      </c>
      <c r="B250" t="s">
        <v>263</v>
      </c>
      <c r="C250">
        <v>2</v>
      </c>
      <c r="D250">
        <v>311</v>
      </c>
      <c r="E250">
        <v>32.403000000000013</v>
      </c>
      <c r="F250">
        <v>310.69</v>
      </c>
      <c r="G250">
        <f t="shared" si="6"/>
        <v>-0.31000000000000227</v>
      </c>
      <c r="H250">
        <f t="shared" si="7"/>
        <v>0.31000000000000227</v>
      </c>
    </row>
    <row r="251" spans="1:8" x14ac:dyDescent="0.3">
      <c r="A251">
        <v>250</v>
      </c>
      <c r="B251" t="s">
        <v>264</v>
      </c>
      <c r="C251">
        <v>2</v>
      </c>
      <c r="D251">
        <v>305</v>
      </c>
      <c r="E251">
        <v>32.523000000000003</v>
      </c>
      <c r="F251">
        <v>301.14281000000005</v>
      </c>
      <c r="G251">
        <f t="shared" si="6"/>
        <v>-3.8571899999999459</v>
      </c>
      <c r="H251">
        <f t="shared" si="7"/>
        <v>3.8571899999999459</v>
      </c>
    </row>
    <row r="252" spans="1:8" x14ac:dyDescent="0.3">
      <c r="A252">
        <v>251</v>
      </c>
      <c r="B252" t="s">
        <v>265</v>
      </c>
      <c r="C252">
        <v>3</v>
      </c>
      <c r="D252">
        <v>221</v>
      </c>
      <c r="E252">
        <v>31.372</v>
      </c>
      <c r="F252">
        <v>219.69283999999999</v>
      </c>
      <c r="G252">
        <f t="shared" si="6"/>
        <v>-1.3071600000000103</v>
      </c>
      <c r="H252">
        <f t="shared" si="7"/>
        <v>1.3071600000000103</v>
      </c>
    </row>
    <row r="253" spans="1:8" x14ac:dyDescent="0.3">
      <c r="A253">
        <v>252</v>
      </c>
      <c r="B253" t="s">
        <v>266</v>
      </c>
      <c r="C253">
        <v>5</v>
      </c>
      <c r="D253">
        <v>310</v>
      </c>
      <c r="E253">
        <v>32.527000000000001</v>
      </c>
      <c r="F253">
        <v>308.38069000000002</v>
      </c>
      <c r="G253">
        <f t="shared" si="6"/>
        <v>-1.6193099999999845</v>
      </c>
      <c r="H253">
        <f t="shared" si="7"/>
        <v>1.6193099999999845</v>
      </c>
    </row>
    <row r="254" spans="1:8" x14ac:dyDescent="0.3">
      <c r="A254">
        <v>253</v>
      </c>
      <c r="B254" t="s">
        <v>267</v>
      </c>
      <c r="C254">
        <v>5</v>
      </c>
      <c r="D254">
        <v>322</v>
      </c>
      <c r="E254">
        <v>32.539000000000001</v>
      </c>
      <c r="F254">
        <v>321.58999999999997</v>
      </c>
      <c r="G254">
        <f t="shared" si="6"/>
        <v>-0.41000000000002501</v>
      </c>
      <c r="H254">
        <f t="shared" si="7"/>
        <v>0.41000000000002501</v>
      </c>
    </row>
    <row r="255" spans="1:8" x14ac:dyDescent="0.3">
      <c r="A255">
        <v>254</v>
      </c>
      <c r="B255" t="s">
        <v>268</v>
      </c>
      <c r="C255">
        <v>2</v>
      </c>
      <c r="D255">
        <v>258</v>
      </c>
      <c r="E255">
        <v>31.626999999999999</v>
      </c>
      <c r="F255">
        <v>259.51</v>
      </c>
      <c r="G255">
        <f t="shared" si="6"/>
        <v>1.5099999999999909</v>
      </c>
      <c r="H255">
        <f t="shared" si="7"/>
        <v>1.5099999999999909</v>
      </c>
    </row>
    <row r="256" spans="1:8" x14ac:dyDescent="0.3">
      <c r="A256">
        <v>255</v>
      </c>
      <c r="B256" t="s">
        <v>269</v>
      </c>
      <c r="C256">
        <v>4</v>
      </c>
      <c r="D256">
        <v>332</v>
      </c>
      <c r="E256">
        <v>33.284000000000013</v>
      </c>
      <c r="F256">
        <v>329.39947999999998</v>
      </c>
      <c r="G256">
        <f t="shared" si="6"/>
        <v>-2.6005200000000173</v>
      </c>
      <c r="H256">
        <f t="shared" si="7"/>
        <v>2.6005200000000173</v>
      </c>
    </row>
    <row r="257" spans="1:8" x14ac:dyDescent="0.3">
      <c r="A257">
        <v>256</v>
      </c>
      <c r="B257" t="s">
        <v>270</v>
      </c>
      <c r="C257">
        <v>3</v>
      </c>
      <c r="D257">
        <v>337</v>
      </c>
      <c r="E257">
        <v>33.19</v>
      </c>
      <c r="F257">
        <v>340.80929999999989</v>
      </c>
      <c r="G257">
        <f t="shared" si="6"/>
        <v>3.8092999999998938</v>
      </c>
      <c r="H257">
        <f t="shared" si="7"/>
        <v>3.8092999999998938</v>
      </c>
    </row>
    <row r="258" spans="1:8" x14ac:dyDescent="0.3">
      <c r="A258">
        <v>257</v>
      </c>
      <c r="B258" t="s">
        <v>271</v>
      </c>
      <c r="C258">
        <v>4</v>
      </c>
      <c r="D258">
        <v>306</v>
      </c>
      <c r="E258">
        <v>32.404000000000003</v>
      </c>
      <c r="F258">
        <v>304.18</v>
      </c>
      <c r="G258">
        <f t="shared" si="6"/>
        <v>-1.8199999999999932</v>
      </c>
      <c r="H258">
        <f t="shared" si="7"/>
        <v>1.8199999999999932</v>
      </c>
    </row>
    <row r="259" spans="1:8" x14ac:dyDescent="0.3">
      <c r="A259">
        <v>258</v>
      </c>
      <c r="B259" t="s">
        <v>272</v>
      </c>
      <c r="C259">
        <v>5</v>
      </c>
      <c r="D259">
        <v>251</v>
      </c>
      <c r="E259">
        <v>31.795999999999999</v>
      </c>
      <c r="F259">
        <v>254.90812</v>
      </c>
      <c r="G259">
        <f t="shared" ref="G259:G322" si="8">F259-D259</f>
        <v>3.9081199999999967</v>
      </c>
      <c r="H259">
        <f t="shared" ref="H259:H322" si="9">ABS(F259-D259)</f>
        <v>3.9081199999999967</v>
      </c>
    </row>
    <row r="260" spans="1:8" x14ac:dyDescent="0.3">
      <c r="A260">
        <v>259</v>
      </c>
      <c r="B260" t="s">
        <v>273</v>
      </c>
      <c r="C260">
        <v>4</v>
      </c>
      <c r="D260">
        <v>316</v>
      </c>
      <c r="E260">
        <v>32.701000000000008</v>
      </c>
      <c r="F260">
        <v>311.72847000000047</v>
      </c>
      <c r="G260">
        <f t="shared" si="8"/>
        <v>-4.2715299999995295</v>
      </c>
      <c r="H260">
        <f t="shared" si="9"/>
        <v>4.2715299999995295</v>
      </c>
    </row>
    <row r="261" spans="1:8" x14ac:dyDescent="0.3">
      <c r="A261">
        <v>260</v>
      </c>
      <c r="B261" t="s">
        <v>274</v>
      </c>
      <c r="C261">
        <v>5</v>
      </c>
      <c r="D261">
        <v>281</v>
      </c>
      <c r="E261">
        <v>32.067000000000007</v>
      </c>
      <c r="F261">
        <v>279.02449000000001</v>
      </c>
      <c r="G261">
        <f t="shared" si="8"/>
        <v>-1.9755099999999857</v>
      </c>
      <c r="H261">
        <f t="shared" si="9"/>
        <v>1.9755099999999857</v>
      </c>
    </row>
    <row r="262" spans="1:8" x14ac:dyDescent="0.3">
      <c r="A262">
        <v>261</v>
      </c>
      <c r="B262" t="s">
        <v>275</v>
      </c>
      <c r="C262">
        <v>4</v>
      </c>
      <c r="D262">
        <v>258</v>
      </c>
      <c r="E262">
        <v>31.94</v>
      </c>
      <c r="F262">
        <v>255.4718</v>
      </c>
      <c r="G262">
        <f t="shared" si="8"/>
        <v>-2.5281999999999982</v>
      </c>
      <c r="H262">
        <f t="shared" si="9"/>
        <v>2.5281999999999982</v>
      </c>
    </row>
    <row r="263" spans="1:8" x14ac:dyDescent="0.3">
      <c r="A263">
        <v>262</v>
      </c>
      <c r="B263" t="s">
        <v>276</v>
      </c>
      <c r="C263">
        <v>2</v>
      </c>
      <c r="D263">
        <v>277</v>
      </c>
      <c r="E263">
        <v>32.116999999999997</v>
      </c>
      <c r="F263">
        <v>276.9979900000003</v>
      </c>
      <c r="G263">
        <f t="shared" si="8"/>
        <v>-2.009999999700085E-3</v>
      </c>
      <c r="H263">
        <f t="shared" si="9"/>
        <v>2.009999999700085E-3</v>
      </c>
    </row>
    <row r="264" spans="1:8" x14ac:dyDescent="0.3">
      <c r="A264">
        <v>263</v>
      </c>
      <c r="B264" t="s">
        <v>277</v>
      </c>
      <c r="C264">
        <v>1</v>
      </c>
      <c r="D264">
        <v>233</v>
      </c>
      <c r="E264">
        <v>31.88</v>
      </c>
      <c r="F264">
        <v>231.52</v>
      </c>
      <c r="G264">
        <f t="shared" si="8"/>
        <v>-1.4799999999999898</v>
      </c>
      <c r="H264">
        <f t="shared" si="9"/>
        <v>1.4799999999999898</v>
      </c>
    </row>
    <row r="265" spans="1:8" x14ac:dyDescent="0.3">
      <c r="A265">
        <v>264</v>
      </c>
      <c r="B265" t="s">
        <v>278</v>
      </c>
      <c r="C265">
        <v>5</v>
      </c>
      <c r="D265">
        <v>254</v>
      </c>
      <c r="E265">
        <v>31.887</v>
      </c>
      <c r="F265">
        <v>252.31988999999999</v>
      </c>
      <c r="G265">
        <f t="shared" si="8"/>
        <v>-1.6801100000000133</v>
      </c>
      <c r="H265">
        <f t="shared" si="9"/>
        <v>1.6801100000000133</v>
      </c>
    </row>
    <row r="266" spans="1:8" x14ac:dyDescent="0.3">
      <c r="A266">
        <v>265</v>
      </c>
      <c r="B266" t="s">
        <v>279</v>
      </c>
      <c r="C266">
        <v>5</v>
      </c>
      <c r="D266">
        <v>303</v>
      </c>
      <c r="E266">
        <v>32.595999999999997</v>
      </c>
      <c r="F266">
        <v>305.48412000000008</v>
      </c>
      <c r="G266">
        <f t="shared" si="8"/>
        <v>2.4841200000000754</v>
      </c>
      <c r="H266">
        <f t="shared" si="9"/>
        <v>2.4841200000000754</v>
      </c>
    </row>
    <row r="267" spans="1:8" x14ac:dyDescent="0.3">
      <c r="A267">
        <v>266</v>
      </c>
      <c r="B267" t="s">
        <v>280</v>
      </c>
      <c r="C267">
        <v>2</v>
      </c>
      <c r="D267">
        <v>262</v>
      </c>
      <c r="E267">
        <v>32.066000000000003</v>
      </c>
      <c r="F267">
        <v>259.96501999999998</v>
      </c>
      <c r="G267">
        <f t="shared" si="8"/>
        <v>-2.0349800000000187</v>
      </c>
      <c r="H267">
        <f t="shared" si="9"/>
        <v>2.0349800000000187</v>
      </c>
    </row>
    <row r="268" spans="1:8" x14ac:dyDescent="0.3">
      <c r="A268">
        <v>267</v>
      </c>
      <c r="B268" t="s">
        <v>281</v>
      </c>
      <c r="C268">
        <v>2</v>
      </c>
      <c r="D268">
        <v>376</v>
      </c>
      <c r="E268">
        <v>33.523000000000003</v>
      </c>
      <c r="F268">
        <v>375.19</v>
      </c>
      <c r="G268">
        <f t="shared" si="8"/>
        <v>-0.81000000000000227</v>
      </c>
      <c r="H268">
        <f t="shared" si="9"/>
        <v>0.81000000000000227</v>
      </c>
    </row>
    <row r="269" spans="1:8" x14ac:dyDescent="0.3">
      <c r="A269">
        <v>268</v>
      </c>
      <c r="B269" t="s">
        <v>282</v>
      </c>
      <c r="C269">
        <v>4</v>
      </c>
      <c r="D269">
        <v>308</v>
      </c>
      <c r="E269">
        <v>32.866</v>
      </c>
      <c r="F269">
        <v>306.54102</v>
      </c>
      <c r="G269">
        <f t="shared" si="8"/>
        <v>-1.4589799999999968</v>
      </c>
      <c r="H269">
        <f t="shared" si="9"/>
        <v>1.4589799999999968</v>
      </c>
    </row>
    <row r="270" spans="1:8" x14ac:dyDescent="0.3">
      <c r="A270">
        <v>269</v>
      </c>
      <c r="B270" t="s">
        <v>283</v>
      </c>
      <c r="C270">
        <v>1</v>
      </c>
      <c r="D270">
        <v>237</v>
      </c>
      <c r="E270">
        <v>31.503</v>
      </c>
      <c r="F270">
        <v>240.48341000000028</v>
      </c>
      <c r="G270">
        <f t="shared" si="8"/>
        <v>3.4834100000002763</v>
      </c>
      <c r="H270">
        <f t="shared" si="9"/>
        <v>3.4834100000002763</v>
      </c>
    </row>
    <row r="271" spans="1:8" x14ac:dyDescent="0.3">
      <c r="A271">
        <v>270</v>
      </c>
      <c r="B271" t="s">
        <v>284</v>
      </c>
      <c r="C271">
        <v>5</v>
      </c>
      <c r="D271">
        <v>280</v>
      </c>
      <c r="E271">
        <v>32.146000000000001</v>
      </c>
      <c r="F271">
        <v>278.72262000000001</v>
      </c>
      <c r="G271">
        <f t="shared" si="8"/>
        <v>-1.2773799999999937</v>
      </c>
      <c r="H271">
        <f t="shared" si="9"/>
        <v>1.2773799999999937</v>
      </c>
    </row>
    <row r="272" spans="1:8" x14ac:dyDescent="0.3">
      <c r="A272">
        <v>271</v>
      </c>
      <c r="B272" t="s">
        <v>285</v>
      </c>
      <c r="C272">
        <v>5</v>
      </c>
      <c r="D272">
        <v>276</v>
      </c>
      <c r="E272">
        <v>31.867999999999999</v>
      </c>
      <c r="F272">
        <v>274.56</v>
      </c>
      <c r="G272">
        <f t="shared" si="8"/>
        <v>-1.4399999999999977</v>
      </c>
      <c r="H272">
        <f t="shared" si="9"/>
        <v>1.4399999999999977</v>
      </c>
    </row>
    <row r="273" spans="1:8" x14ac:dyDescent="0.3">
      <c r="A273">
        <v>272</v>
      </c>
      <c r="B273" t="s">
        <v>286</v>
      </c>
      <c r="C273">
        <v>2</v>
      </c>
      <c r="D273">
        <v>286</v>
      </c>
      <c r="E273">
        <v>32.497999999999998</v>
      </c>
      <c r="F273">
        <v>281.65606000000002</v>
      </c>
      <c r="G273">
        <f t="shared" si="8"/>
        <v>-4.343939999999975</v>
      </c>
      <c r="H273">
        <f t="shared" si="9"/>
        <v>4.343939999999975</v>
      </c>
    </row>
    <row r="274" spans="1:8" x14ac:dyDescent="0.3">
      <c r="A274">
        <v>273</v>
      </c>
      <c r="B274" t="s">
        <v>287</v>
      </c>
      <c r="C274">
        <v>2</v>
      </c>
      <c r="D274">
        <v>415</v>
      </c>
      <c r="E274">
        <v>34.252000000000002</v>
      </c>
      <c r="F274">
        <v>413.89</v>
      </c>
      <c r="G274">
        <f t="shared" si="8"/>
        <v>-1.1100000000000136</v>
      </c>
      <c r="H274">
        <f t="shared" si="9"/>
        <v>1.1100000000000136</v>
      </c>
    </row>
    <row r="275" spans="1:8" x14ac:dyDescent="0.3">
      <c r="A275">
        <v>274</v>
      </c>
      <c r="B275" t="s">
        <v>288</v>
      </c>
      <c r="C275">
        <v>5</v>
      </c>
      <c r="D275">
        <v>384</v>
      </c>
      <c r="E275">
        <v>33.902000000000001</v>
      </c>
      <c r="F275">
        <v>383.15193999999997</v>
      </c>
      <c r="G275">
        <f t="shared" si="8"/>
        <v>-0.84806000000003223</v>
      </c>
      <c r="H275">
        <f t="shared" si="9"/>
        <v>0.84806000000003223</v>
      </c>
    </row>
    <row r="276" spans="1:8" x14ac:dyDescent="0.3">
      <c r="A276">
        <v>275</v>
      </c>
      <c r="B276" t="s">
        <v>289</v>
      </c>
      <c r="C276">
        <v>3</v>
      </c>
      <c r="D276">
        <v>303</v>
      </c>
      <c r="E276">
        <v>32.706000000000003</v>
      </c>
      <c r="F276">
        <v>299.02582000000001</v>
      </c>
      <c r="G276">
        <f t="shared" si="8"/>
        <v>-3.9741799999999898</v>
      </c>
      <c r="H276">
        <f t="shared" si="9"/>
        <v>3.9741799999999898</v>
      </c>
    </row>
    <row r="277" spans="1:8" x14ac:dyDescent="0.3">
      <c r="A277">
        <v>276</v>
      </c>
      <c r="B277" t="s">
        <v>290</v>
      </c>
      <c r="C277">
        <v>2</v>
      </c>
      <c r="D277">
        <v>275</v>
      </c>
      <c r="E277">
        <v>32.007000000000012</v>
      </c>
      <c r="F277">
        <v>271.45629000000002</v>
      </c>
      <c r="G277">
        <f t="shared" si="8"/>
        <v>-3.5437099999999759</v>
      </c>
      <c r="H277">
        <f t="shared" si="9"/>
        <v>3.5437099999999759</v>
      </c>
    </row>
    <row r="278" spans="1:8" x14ac:dyDescent="0.3">
      <c r="A278">
        <v>277</v>
      </c>
      <c r="B278" t="s">
        <v>291</v>
      </c>
      <c r="C278">
        <v>5</v>
      </c>
      <c r="D278">
        <v>249</v>
      </c>
      <c r="E278">
        <v>31.606000000000002</v>
      </c>
      <c r="F278">
        <v>246.60882000000015</v>
      </c>
      <c r="G278">
        <f t="shared" si="8"/>
        <v>-2.3911799999998493</v>
      </c>
      <c r="H278">
        <f t="shared" si="9"/>
        <v>2.3911799999998493</v>
      </c>
    </row>
    <row r="279" spans="1:8" x14ac:dyDescent="0.3">
      <c r="A279">
        <v>278</v>
      </c>
      <c r="B279" t="s">
        <v>292</v>
      </c>
      <c r="C279">
        <v>1</v>
      </c>
      <c r="D279">
        <v>344</v>
      </c>
      <c r="E279">
        <v>33.338000000000001</v>
      </c>
      <c r="F279">
        <v>345.61086</v>
      </c>
      <c r="G279">
        <f t="shared" si="8"/>
        <v>1.6108600000000024</v>
      </c>
      <c r="H279">
        <f t="shared" si="9"/>
        <v>1.6108600000000024</v>
      </c>
    </row>
    <row r="280" spans="1:8" x14ac:dyDescent="0.3">
      <c r="A280">
        <v>279</v>
      </c>
      <c r="B280" t="s">
        <v>293</v>
      </c>
      <c r="C280">
        <v>1</v>
      </c>
      <c r="D280">
        <v>290</v>
      </c>
      <c r="E280">
        <v>32.325000000000003</v>
      </c>
      <c r="F280">
        <v>289.36775000000011</v>
      </c>
      <c r="G280">
        <f t="shared" si="8"/>
        <v>-0.6322499999998854</v>
      </c>
      <c r="H280">
        <f t="shared" si="9"/>
        <v>0.6322499999998854</v>
      </c>
    </row>
    <row r="281" spans="1:8" x14ac:dyDescent="0.3">
      <c r="A281">
        <v>280</v>
      </c>
      <c r="B281" t="s">
        <v>294</v>
      </c>
      <c r="C281">
        <v>4</v>
      </c>
      <c r="D281">
        <v>313</v>
      </c>
      <c r="E281">
        <v>32.781000000000013</v>
      </c>
      <c r="F281">
        <v>316.48607000000038</v>
      </c>
      <c r="G281">
        <f t="shared" si="8"/>
        <v>3.4860700000003817</v>
      </c>
      <c r="H281">
        <f t="shared" si="9"/>
        <v>3.4860700000003817</v>
      </c>
    </row>
    <row r="282" spans="1:8" x14ac:dyDescent="0.3">
      <c r="A282">
        <v>281</v>
      </c>
      <c r="B282" t="s">
        <v>295</v>
      </c>
      <c r="C282">
        <v>1</v>
      </c>
      <c r="D282">
        <v>289</v>
      </c>
      <c r="E282">
        <v>32.298000000000002</v>
      </c>
      <c r="F282">
        <v>287.76206000000002</v>
      </c>
      <c r="G282">
        <f t="shared" si="8"/>
        <v>-1.2379399999999805</v>
      </c>
      <c r="H282">
        <f t="shared" si="9"/>
        <v>1.2379399999999805</v>
      </c>
    </row>
    <row r="283" spans="1:8" x14ac:dyDescent="0.3">
      <c r="A283">
        <v>282</v>
      </c>
      <c r="B283" t="s">
        <v>296</v>
      </c>
      <c r="C283">
        <v>2</v>
      </c>
      <c r="D283">
        <v>304</v>
      </c>
      <c r="E283">
        <v>32.460000000000008</v>
      </c>
      <c r="F283">
        <v>302.39620000000002</v>
      </c>
      <c r="G283">
        <f t="shared" si="8"/>
        <v>-1.6037999999999784</v>
      </c>
      <c r="H283">
        <f t="shared" si="9"/>
        <v>1.6037999999999784</v>
      </c>
    </row>
    <row r="284" spans="1:8" x14ac:dyDescent="0.3">
      <c r="A284">
        <v>283</v>
      </c>
      <c r="B284" t="s">
        <v>297</v>
      </c>
      <c r="C284">
        <v>4</v>
      </c>
      <c r="D284">
        <v>300</v>
      </c>
      <c r="E284">
        <v>32.25</v>
      </c>
      <c r="F284">
        <v>298.89</v>
      </c>
      <c r="G284">
        <f t="shared" si="8"/>
        <v>-1.1100000000000136</v>
      </c>
      <c r="H284">
        <f t="shared" si="9"/>
        <v>1.1100000000000136</v>
      </c>
    </row>
    <row r="285" spans="1:8" x14ac:dyDescent="0.3">
      <c r="A285">
        <v>284</v>
      </c>
      <c r="B285" t="s">
        <v>298</v>
      </c>
      <c r="C285">
        <v>4</v>
      </c>
      <c r="D285">
        <v>283</v>
      </c>
      <c r="E285">
        <v>32.415999999999997</v>
      </c>
      <c r="F285">
        <v>281.77951999999999</v>
      </c>
      <c r="G285">
        <f t="shared" si="8"/>
        <v>-1.2204800000000091</v>
      </c>
      <c r="H285">
        <f t="shared" si="9"/>
        <v>1.2204800000000091</v>
      </c>
    </row>
    <row r="286" spans="1:8" x14ac:dyDescent="0.3">
      <c r="A286">
        <v>285</v>
      </c>
      <c r="B286" t="s">
        <v>299</v>
      </c>
      <c r="C286">
        <v>3</v>
      </c>
      <c r="D286">
        <v>307</v>
      </c>
      <c r="E286">
        <v>32.286000000000001</v>
      </c>
      <c r="F286">
        <v>306.61</v>
      </c>
      <c r="G286">
        <f t="shared" si="8"/>
        <v>-0.38999999999998636</v>
      </c>
      <c r="H286">
        <f t="shared" si="9"/>
        <v>0.38999999999998636</v>
      </c>
    </row>
    <row r="287" spans="1:8" x14ac:dyDescent="0.3">
      <c r="A287">
        <v>286</v>
      </c>
      <c r="B287" t="s">
        <v>300</v>
      </c>
      <c r="C287">
        <v>4</v>
      </c>
      <c r="D287">
        <v>255</v>
      </c>
      <c r="E287">
        <v>32.045000000000002</v>
      </c>
      <c r="F287">
        <v>254.31</v>
      </c>
      <c r="G287">
        <f t="shared" si="8"/>
        <v>-0.68999999999999773</v>
      </c>
      <c r="H287">
        <f t="shared" si="9"/>
        <v>0.68999999999999773</v>
      </c>
    </row>
    <row r="288" spans="1:8" x14ac:dyDescent="0.3">
      <c r="A288">
        <v>287</v>
      </c>
      <c r="B288" t="s">
        <v>301</v>
      </c>
      <c r="C288">
        <v>3</v>
      </c>
      <c r="D288">
        <v>247</v>
      </c>
      <c r="E288">
        <v>31.634</v>
      </c>
      <c r="F288">
        <v>248.27398000000017</v>
      </c>
      <c r="G288">
        <f t="shared" si="8"/>
        <v>1.2739800000001651</v>
      </c>
      <c r="H288">
        <f t="shared" si="9"/>
        <v>1.2739800000001651</v>
      </c>
    </row>
    <row r="289" spans="1:8" x14ac:dyDescent="0.3">
      <c r="A289">
        <v>288</v>
      </c>
      <c r="B289" t="s">
        <v>302</v>
      </c>
      <c r="C289">
        <v>3</v>
      </c>
      <c r="D289">
        <v>180</v>
      </c>
      <c r="E289">
        <v>30.396000000000001</v>
      </c>
      <c r="F289">
        <v>179.65011999999999</v>
      </c>
      <c r="G289">
        <f t="shared" si="8"/>
        <v>-0.34988000000001307</v>
      </c>
      <c r="H289">
        <f t="shared" si="9"/>
        <v>0.34988000000001307</v>
      </c>
    </row>
    <row r="290" spans="1:8" x14ac:dyDescent="0.3">
      <c r="A290">
        <v>289</v>
      </c>
      <c r="B290" t="s">
        <v>303</v>
      </c>
      <c r="C290">
        <v>4</v>
      </c>
      <c r="D290">
        <v>256</v>
      </c>
      <c r="E290">
        <v>31.724</v>
      </c>
      <c r="F290">
        <v>253.62628000000018</v>
      </c>
      <c r="G290">
        <f t="shared" si="8"/>
        <v>-2.3737199999998211</v>
      </c>
      <c r="H290">
        <f t="shared" si="9"/>
        <v>2.3737199999998211</v>
      </c>
    </row>
    <row r="291" spans="1:8" x14ac:dyDescent="0.3">
      <c r="A291">
        <v>290</v>
      </c>
      <c r="B291" t="s">
        <v>304</v>
      </c>
      <c r="C291">
        <v>3</v>
      </c>
      <c r="D291">
        <v>222</v>
      </c>
      <c r="E291">
        <v>31.292000000000002</v>
      </c>
      <c r="F291">
        <v>225.93523999999999</v>
      </c>
      <c r="G291">
        <f t="shared" si="8"/>
        <v>3.9352399999999932</v>
      </c>
      <c r="H291">
        <f t="shared" si="9"/>
        <v>3.9352399999999932</v>
      </c>
    </row>
    <row r="292" spans="1:8" x14ac:dyDescent="0.3">
      <c r="A292">
        <v>291</v>
      </c>
      <c r="B292" t="s">
        <v>305</v>
      </c>
      <c r="C292">
        <v>1</v>
      </c>
      <c r="D292">
        <v>312</v>
      </c>
      <c r="E292">
        <v>32.743000000000002</v>
      </c>
      <c r="F292">
        <v>314.22621000000004</v>
      </c>
      <c r="G292">
        <f t="shared" si="8"/>
        <v>2.2262100000000373</v>
      </c>
      <c r="H292">
        <f t="shared" si="9"/>
        <v>2.2262100000000373</v>
      </c>
    </row>
    <row r="293" spans="1:8" x14ac:dyDescent="0.3">
      <c r="A293">
        <v>292</v>
      </c>
      <c r="B293" t="s">
        <v>306</v>
      </c>
      <c r="C293">
        <v>3</v>
      </c>
      <c r="D293">
        <v>233</v>
      </c>
      <c r="E293">
        <v>31.46</v>
      </c>
      <c r="F293">
        <v>236.92619999999999</v>
      </c>
      <c r="G293">
        <f t="shared" si="8"/>
        <v>3.9261999999999944</v>
      </c>
      <c r="H293">
        <f t="shared" si="9"/>
        <v>3.9261999999999944</v>
      </c>
    </row>
    <row r="294" spans="1:8" x14ac:dyDescent="0.3">
      <c r="A294">
        <v>293</v>
      </c>
      <c r="B294" t="s">
        <v>307</v>
      </c>
      <c r="C294">
        <v>4</v>
      </c>
      <c r="D294">
        <v>364</v>
      </c>
      <c r="E294">
        <v>33.671000000000006</v>
      </c>
      <c r="F294">
        <v>363.41437000000002</v>
      </c>
      <c r="G294">
        <f t="shared" si="8"/>
        <v>-0.58562999999998056</v>
      </c>
      <c r="H294">
        <f t="shared" si="9"/>
        <v>0.58562999999998056</v>
      </c>
    </row>
    <row r="295" spans="1:8" x14ac:dyDescent="0.3">
      <c r="A295">
        <v>294</v>
      </c>
      <c r="B295" t="s">
        <v>308</v>
      </c>
      <c r="C295">
        <v>5</v>
      </c>
      <c r="D295">
        <v>320</v>
      </c>
      <c r="E295">
        <v>32.701000000000008</v>
      </c>
      <c r="F295">
        <v>318.72847000000002</v>
      </c>
      <c r="G295">
        <f t="shared" si="8"/>
        <v>-1.2715299999999843</v>
      </c>
      <c r="H295">
        <f t="shared" si="9"/>
        <v>1.2715299999999843</v>
      </c>
    </row>
    <row r="296" spans="1:8" x14ac:dyDescent="0.3">
      <c r="A296">
        <v>295</v>
      </c>
      <c r="B296" t="s">
        <v>309</v>
      </c>
      <c r="C296">
        <v>3</v>
      </c>
      <c r="D296">
        <v>326</v>
      </c>
      <c r="E296">
        <v>32.888000000000012</v>
      </c>
      <c r="F296">
        <v>322.84936000000016</v>
      </c>
      <c r="G296">
        <f t="shared" si="8"/>
        <v>-3.1506399999998393</v>
      </c>
      <c r="H296">
        <f t="shared" si="9"/>
        <v>3.1506399999998393</v>
      </c>
    </row>
    <row r="297" spans="1:8" x14ac:dyDescent="0.3">
      <c r="A297">
        <v>296</v>
      </c>
      <c r="B297" t="s">
        <v>310</v>
      </c>
      <c r="C297">
        <v>5</v>
      </c>
      <c r="D297">
        <v>283</v>
      </c>
      <c r="E297">
        <v>32.33</v>
      </c>
      <c r="F297">
        <v>284.6651</v>
      </c>
      <c r="G297">
        <f t="shared" si="8"/>
        <v>1.6650999999999954</v>
      </c>
      <c r="H297">
        <f t="shared" si="9"/>
        <v>1.6650999999999954</v>
      </c>
    </row>
    <row r="298" spans="1:8" x14ac:dyDescent="0.3">
      <c r="A298">
        <v>297</v>
      </c>
      <c r="B298" t="s">
        <v>311</v>
      </c>
      <c r="C298">
        <v>3</v>
      </c>
      <c r="D298">
        <v>227</v>
      </c>
      <c r="E298">
        <v>31.126000000000001</v>
      </c>
      <c r="F298">
        <v>225.06322</v>
      </c>
      <c r="G298">
        <f t="shared" si="8"/>
        <v>-1.9367799999999988</v>
      </c>
      <c r="H298">
        <f t="shared" si="9"/>
        <v>1.9367799999999988</v>
      </c>
    </row>
    <row r="299" spans="1:8" x14ac:dyDescent="0.3">
      <c r="A299">
        <v>298</v>
      </c>
      <c r="B299" t="s">
        <v>312</v>
      </c>
      <c r="C299">
        <v>3</v>
      </c>
      <c r="D299">
        <v>275</v>
      </c>
      <c r="E299">
        <v>32.027000000000001</v>
      </c>
      <c r="F299">
        <v>271.64569000000006</v>
      </c>
      <c r="G299">
        <f t="shared" si="8"/>
        <v>-3.3543099999999413</v>
      </c>
      <c r="H299">
        <f t="shared" si="9"/>
        <v>3.3543099999999413</v>
      </c>
    </row>
    <row r="300" spans="1:8" x14ac:dyDescent="0.3">
      <c r="A300">
        <v>299</v>
      </c>
      <c r="B300" t="s">
        <v>313</v>
      </c>
      <c r="C300">
        <v>3</v>
      </c>
      <c r="D300">
        <v>262</v>
      </c>
      <c r="E300">
        <v>31.731999999999999</v>
      </c>
      <c r="F300">
        <v>259.10203999999999</v>
      </c>
      <c r="G300">
        <f t="shared" si="8"/>
        <v>-2.8979600000000119</v>
      </c>
      <c r="H300">
        <f t="shared" si="9"/>
        <v>2.8979600000000119</v>
      </c>
    </row>
    <row r="301" spans="1:8" x14ac:dyDescent="0.3">
      <c r="A301">
        <v>300</v>
      </c>
      <c r="B301" t="s">
        <v>314</v>
      </c>
      <c r="C301">
        <v>3</v>
      </c>
      <c r="D301">
        <v>212</v>
      </c>
      <c r="E301">
        <v>30.931000000000001</v>
      </c>
      <c r="F301">
        <v>209.46656999999999</v>
      </c>
      <c r="G301">
        <f t="shared" si="8"/>
        <v>-2.5334300000000098</v>
      </c>
      <c r="H301">
        <f t="shared" si="9"/>
        <v>2.5334300000000098</v>
      </c>
    </row>
    <row r="302" spans="1:8" x14ac:dyDescent="0.3">
      <c r="A302">
        <v>301</v>
      </c>
      <c r="B302" t="s">
        <v>315</v>
      </c>
      <c r="C302">
        <v>4</v>
      </c>
      <c r="D302">
        <v>299</v>
      </c>
      <c r="E302">
        <v>32.615000000000002</v>
      </c>
      <c r="F302">
        <v>301.61405000000002</v>
      </c>
      <c r="G302">
        <f t="shared" si="8"/>
        <v>2.6140500000000202</v>
      </c>
      <c r="H302">
        <f t="shared" si="9"/>
        <v>2.6140500000000202</v>
      </c>
    </row>
    <row r="303" spans="1:8" x14ac:dyDescent="0.3">
      <c r="A303">
        <v>302</v>
      </c>
      <c r="B303" t="s">
        <v>316</v>
      </c>
      <c r="C303">
        <v>2</v>
      </c>
      <c r="D303">
        <v>257</v>
      </c>
      <c r="E303">
        <v>31.870999999999999</v>
      </c>
      <c r="F303">
        <v>259.36837000000003</v>
      </c>
      <c r="G303">
        <f t="shared" si="8"/>
        <v>2.3683700000000272</v>
      </c>
      <c r="H303">
        <f t="shared" si="9"/>
        <v>2.3683700000000272</v>
      </c>
    </row>
    <row r="304" spans="1:8" x14ac:dyDescent="0.3">
      <c r="A304">
        <v>303</v>
      </c>
      <c r="B304" t="s">
        <v>317</v>
      </c>
      <c r="C304">
        <v>3</v>
      </c>
      <c r="D304">
        <v>369</v>
      </c>
      <c r="E304">
        <v>33.536000000000001</v>
      </c>
      <c r="F304">
        <v>365.38592</v>
      </c>
      <c r="G304">
        <f t="shared" si="8"/>
        <v>-3.6140800000000013</v>
      </c>
      <c r="H304">
        <f t="shared" si="9"/>
        <v>3.6140800000000013</v>
      </c>
    </row>
    <row r="305" spans="1:8" x14ac:dyDescent="0.3">
      <c r="A305">
        <v>304</v>
      </c>
      <c r="B305" t="s">
        <v>318</v>
      </c>
      <c r="C305">
        <v>5</v>
      </c>
      <c r="D305">
        <v>360</v>
      </c>
      <c r="E305">
        <v>33.409000000000013</v>
      </c>
      <c r="F305">
        <v>359.83323000000001</v>
      </c>
      <c r="G305">
        <f t="shared" si="8"/>
        <v>-0.16676999999998543</v>
      </c>
      <c r="H305">
        <f t="shared" si="9"/>
        <v>0.16676999999998543</v>
      </c>
    </row>
    <row r="306" spans="1:8" x14ac:dyDescent="0.3">
      <c r="A306">
        <v>305</v>
      </c>
      <c r="B306" t="s">
        <v>319</v>
      </c>
      <c r="C306">
        <v>1</v>
      </c>
      <c r="D306">
        <v>252</v>
      </c>
      <c r="E306">
        <v>31.692</v>
      </c>
      <c r="F306">
        <v>251.72324000000026</v>
      </c>
      <c r="G306">
        <f t="shared" si="8"/>
        <v>-0.2767599999997401</v>
      </c>
      <c r="H306">
        <f t="shared" si="9"/>
        <v>0.2767599999997401</v>
      </c>
    </row>
    <row r="307" spans="1:8" x14ac:dyDescent="0.3">
      <c r="A307">
        <v>306</v>
      </c>
      <c r="B307" t="s">
        <v>320</v>
      </c>
      <c r="C307">
        <v>3</v>
      </c>
      <c r="D307">
        <v>216</v>
      </c>
      <c r="E307">
        <v>31.079000000000001</v>
      </c>
      <c r="F307">
        <v>215.26813000000016</v>
      </c>
      <c r="G307">
        <f t="shared" si="8"/>
        <v>-0.73186999999984437</v>
      </c>
      <c r="H307">
        <f t="shared" si="9"/>
        <v>0.73186999999984437</v>
      </c>
    </row>
    <row r="308" spans="1:8" x14ac:dyDescent="0.3">
      <c r="A308">
        <v>307</v>
      </c>
      <c r="B308" t="s">
        <v>321</v>
      </c>
      <c r="C308">
        <v>5</v>
      </c>
      <c r="D308">
        <v>239</v>
      </c>
      <c r="E308">
        <v>31.273</v>
      </c>
      <c r="F308">
        <v>238.46</v>
      </c>
      <c r="G308">
        <f t="shared" si="8"/>
        <v>-0.53999999999999204</v>
      </c>
      <c r="H308">
        <f t="shared" si="9"/>
        <v>0.53999999999999204</v>
      </c>
    </row>
    <row r="309" spans="1:8" x14ac:dyDescent="0.3">
      <c r="A309">
        <v>308</v>
      </c>
      <c r="B309" t="s">
        <v>322</v>
      </c>
      <c r="C309">
        <v>3</v>
      </c>
      <c r="D309">
        <v>276</v>
      </c>
      <c r="E309">
        <v>32.194000000000003</v>
      </c>
      <c r="F309">
        <v>279.57718</v>
      </c>
      <c r="G309">
        <f t="shared" si="8"/>
        <v>3.5771799999999985</v>
      </c>
      <c r="H309">
        <f t="shared" si="9"/>
        <v>3.5771799999999985</v>
      </c>
    </row>
    <row r="310" spans="1:8" x14ac:dyDescent="0.3">
      <c r="A310">
        <v>309</v>
      </c>
      <c r="B310" t="s">
        <v>323</v>
      </c>
      <c r="C310">
        <v>5</v>
      </c>
      <c r="D310">
        <v>296</v>
      </c>
      <c r="E310">
        <v>32.347999999999999</v>
      </c>
      <c r="F310">
        <v>299.73556000000002</v>
      </c>
      <c r="G310">
        <f t="shared" si="8"/>
        <v>3.7355600000000209</v>
      </c>
      <c r="H310">
        <f t="shared" si="9"/>
        <v>3.7355600000000209</v>
      </c>
    </row>
    <row r="311" spans="1:8" x14ac:dyDescent="0.3">
      <c r="A311">
        <v>310</v>
      </c>
      <c r="B311" t="s">
        <v>324</v>
      </c>
      <c r="C311">
        <v>5</v>
      </c>
      <c r="D311">
        <v>226</v>
      </c>
      <c r="E311">
        <v>31.291</v>
      </c>
      <c r="F311">
        <v>227.8757700000001</v>
      </c>
      <c r="G311">
        <f t="shared" si="8"/>
        <v>1.8757700000001023</v>
      </c>
      <c r="H311">
        <f t="shared" si="9"/>
        <v>1.8757700000001023</v>
      </c>
    </row>
    <row r="312" spans="1:8" x14ac:dyDescent="0.3">
      <c r="A312">
        <v>311</v>
      </c>
      <c r="B312" t="s">
        <v>325</v>
      </c>
      <c r="C312">
        <v>3</v>
      </c>
      <c r="D312">
        <v>158</v>
      </c>
      <c r="E312">
        <v>30.152000000000001</v>
      </c>
      <c r="F312">
        <v>160.13943999999992</v>
      </c>
      <c r="G312">
        <f t="shared" si="8"/>
        <v>2.1394399999999223</v>
      </c>
      <c r="H312">
        <f t="shared" si="9"/>
        <v>2.1394399999999223</v>
      </c>
    </row>
    <row r="313" spans="1:8" x14ac:dyDescent="0.3">
      <c r="A313">
        <v>312</v>
      </c>
      <c r="B313" t="s">
        <v>326</v>
      </c>
      <c r="C313">
        <v>4</v>
      </c>
      <c r="D313">
        <v>318</v>
      </c>
      <c r="E313">
        <v>32.628999999999998</v>
      </c>
      <c r="F313">
        <v>316.89</v>
      </c>
      <c r="G313">
        <f t="shared" si="8"/>
        <v>-1.1100000000000136</v>
      </c>
      <c r="H313">
        <f t="shared" si="9"/>
        <v>1.1100000000000136</v>
      </c>
    </row>
    <row r="314" spans="1:8" x14ac:dyDescent="0.3">
      <c r="A314">
        <v>313</v>
      </c>
      <c r="B314" t="s">
        <v>327</v>
      </c>
      <c r="C314">
        <v>1</v>
      </c>
      <c r="D314">
        <v>280</v>
      </c>
      <c r="E314">
        <v>32.042000000000002</v>
      </c>
      <c r="F314">
        <v>278.53773999999999</v>
      </c>
      <c r="G314">
        <f t="shared" si="8"/>
        <v>-1.4622600000000148</v>
      </c>
      <c r="H314">
        <f t="shared" si="9"/>
        <v>1.4622600000000148</v>
      </c>
    </row>
    <row r="315" spans="1:8" x14ac:dyDescent="0.3">
      <c r="A315">
        <v>314</v>
      </c>
      <c r="B315" t="s">
        <v>328</v>
      </c>
      <c r="C315">
        <v>5</v>
      </c>
      <c r="D315">
        <v>313</v>
      </c>
      <c r="E315">
        <v>32.597000000000001</v>
      </c>
      <c r="F315">
        <v>311.54358999999999</v>
      </c>
      <c r="G315">
        <f t="shared" si="8"/>
        <v>-1.4564100000000053</v>
      </c>
      <c r="H315">
        <f t="shared" si="9"/>
        <v>1.4564100000000053</v>
      </c>
    </row>
    <row r="316" spans="1:8" x14ac:dyDescent="0.3">
      <c r="A316">
        <v>315</v>
      </c>
      <c r="B316" t="s">
        <v>329</v>
      </c>
      <c r="C316">
        <v>3</v>
      </c>
      <c r="D316">
        <v>255</v>
      </c>
      <c r="E316">
        <v>31.542000000000002</v>
      </c>
      <c r="F316">
        <v>254.18</v>
      </c>
      <c r="G316">
        <f t="shared" si="8"/>
        <v>-0.81999999999999318</v>
      </c>
      <c r="H316">
        <f t="shared" si="9"/>
        <v>0.81999999999999318</v>
      </c>
    </row>
    <row r="317" spans="1:8" x14ac:dyDescent="0.3">
      <c r="A317">
        <v>316</v>
      </c>
      <c r="B317" t="s">
        <v>330</v>
      </c>
      <c r="C317">
        <v>5</v>
      </c>
      <c r="D317">
        <v>165</v>
      </c>
      <c r="E317">
        <v>30.236999999999998</v>
      </c>
      <c r="F317">
        <v>165.19439000000011</v>
      </c>
      <c r="G317">
        <f t="shared" si="8"/>
        <v>0.1943900000001122</v>
      </c>
      <c r="H317">
        <f t="shared" si="9"/>
        <v>0.1943900000001122</v>
      </c>
    </row>
    <row r="318" spans="1:8" x14ac:dyDescent="0.3">
      <c r="A318">
        <v>317</v>
      </c>
      <c r="B318" t="s">
        <v>331</v>
      </c>
      <c r="C318">
        <v>1</v>
      </c>
      <c r="D318">
        <v>292</v>
      </c>
      <c r="E318">
        <v>32.263000000000012</v>
      </c>
      <c r="F318">
        <v>289.68061</v>
      </c>
      <c r="G318">
        <f t="shared" si="8"/>
        <v>-2.3193899999999985</v>
      </c>
      <c r="H318">
        <f t="shared" si="9"/>
        <v>2.3193899999999985</v>
      </c>
    </row>
    <row r="319" spans="1:8" x14ac:dyDescent="0.3">
      <c r="A319">
        <v>318</v>
      </c>
      <c r="B319" t="s">
        <v>332</v>
      </c>
      <c r="C319">
        <v>1</v>
      </c>
      <c r="D319">
        <v>276</v>
      </c>
      <c r="E319">
        <v>32.148000000000003</v>
      </c>
      <c r="F319">
        <v>278.84156000000007</v>
      </c>
      <c r="G319">
        <f t="shared" si="8"/>
        <v>2.8415600000000723</v>
      </c>
      <c r="H319">
        <f t="shared" si="9"/>
        <v>2.8415600000000723</v>
      </c>
    </row>
    <row r="320" spans="1:8" x14ac:dyDescent="0.3">
      <c r="A320">
        <v>319</v>
      </c>
      <c r="B320" t="s">
        <v>333</v>
      </c>
      <c r="C320">
        <v>2</v>
      </c>
      <c r="D320">
        <v>243</v>
      </c>
      <c r="E320">
        <v>31.498000000000001</v>
      </c>
      <c r="F320">
        <v>240.18606</v>
      </c>
      <c r="G320">
        <f t="shared" si="8"/>
        <v>-2.8139400000000023</v>
      </c>
      <c r="H320">
        <f t="shared" si="9"/>
        <v>2.8139400000000023</v>
      </c>
    </row>
    <row r="321" spans="1:8" x14ac:dyDescent="0.3">
      <c r="A321">
        <v>320</v>
      </c>
      <c r="B321" t="s">
        <v>334</v>
      </c>
      <c r="C321">
        <v>5</v>
      </c>
      <c r="D321">
        <v>308</v>
      </c>
      <c r="E321">
        <v>32.653000000000013</v>
      </c>
      <c r="F321">
        <v>308.87391000000025</v>
      </c>
      <c r="G321">
        <f t="shared" si="8"/>
        <v>0.87391000000025088</v>
      </c>
      <c r="H321">
        <f t="shared" si="9"/>
        <v>0.87391000000025088</v>
      </c>
    </row>
    <row r="322" spans="1:8" x14ac:dyDescent="0.3">
      <c r="A322">
        <v>321</v>
      </c>
      <c r="B322" t="s">
        <v>335</v>
      </c>
      <c r="C322">
        <v>2</v>
      </c>
      <c r="D322">
        <v>287</v>
      </c>
      <c r="E322">
        <v>32.274000000000001</v>
      </c>
      <c r="F322">
        <v>286.33477999999991</v>
      </c>
      <c r="G322">
        <f t="shared" si="8"/>
        <v>-0.66522000000009029</v>
      </c>
      <c r="H322">
        <f t="shared" si="9"/>
        <v>0.66522000000009029</v>
      </c>
    </row>
    <row r="323" spans="1:8" x14ac:dyDescent="0.3">
      <c r="A323">
        <v>322</v>
      </c>
      <c r="B323" t="s">
        <v>336</v>
      </c>
      <c r="C323">
        <v>1</v>
      </c>
      <c r="D323">
        <v>316</v>
      </c>
      <c r="E323">
        <v>32.674999999999997</v>
      </c>
      <c r="F323">
        <v>314.18225000000001</v>
      </c>
      <c r="G323">
        <f t="shared" ref="G323:G386" si="10">F323-D323</f>
        <v>-1.8177499999999895</v>
      </c>
      <c r="H323">
        <f t="shared" ref="H323:H386" si="11">ABS(F323-D323)</f>
        <v>1.8177499999999895</v>
      </c>
    </row>
    <row r="324" spans="1:8" x14ac:dyDescent="0.3">
      <c r="A324">
        <v>323</v>
      </c>
      <c r="B324" t="s">
        <v>337</v>
      </c>
      <c r="C324">
        <v>2</v>
      </c>
      <c r="D324">
        <v>134</v>
      </c>
      <c r="E324">
        <v>29.835000000000001</v>
      </c>
      <c r="F324">
        <v>135.28745000000001</v>
      </c>
      <c r="G324">
        <f t="shared" si="10"/>
        <v>1.2874500000000069</v>
      </c>
      <c r="H324">
        <f t="shared" si="11"/>
        <v>1.2874500000000069</v>
      </c>
    </row>
    <row r="325" spans="1:8" x14ac:dyDescent="0.3">
      <c r="A325">
        <v>324</v>
      </c>
      <c r="B325" t="s">
        <v>338</v>
      </c>
      <c r="C325">
        <v>1</v>
      </c>
      <c r="D325">
        <v>328</v>
      </c>
      <c r="E325">
        <v>32.639000000000003</v>
      </c>
      <c r="F325">
        <v>327.52</v>
      </c>
      <c r="G325">
        <f t="shared" si="10"/>
        <v>-0.48000000000001819</v>
      </c>
      <c r="H325">
        <f t="shared" si="11"/>
        <v>0.48000000000001819</v>
      </c>
    </row>
    <row r="326" spans="1:8" x14ac:dyDescent="0.3">
      <c r="A326">
        <v>325</v>
      </c>
      <c r="B326" t="s">
        <v>339</v>
      </c>
      <c r="C326">
        <v>1</v>
      </c>
      <c r="D326">
        <v>253</v>
      </c>
      <c r="E326">
        <v>31.87</v>
      </c>
      <c r="F326">
        <v>254.30889999999999</v>
      </c>
      <c r="G326">
        <f t="shared" si="10"/>
        <v>1.3088999999999942</v>
      </c>
      <c r="H326">
        <f t="shared" si="11"/>
        <v>1.3088999999999942</v>
      </c>
    </row>
    <row r="327" spans="1:8" x14ac:dyDescent="0.3">
      <c r="A327">
        <v>326</v>
      </c>
      <c r="B327" t="s">
        <v>340</v>
      </c>
      <c r="C327">
        <v>4</v>
      </c>
      <c r="D327">
        <v>276</v>
      </c>
      <c r="E327">
        <v>32.292000000000002</v>
      </c>
      <c r="F327">
        <v>275.40523999999999</v>
      </c>
      <c r="G327">
        <f t="shared" si="10"/>
        <v>-0.59476000000000795</v>
      </c>
      <c r="H327">
        <f t="shared" si="11"/>
        <v>0.59476000000000795</v>
      </c>
    </row>
    <row r="328" spans="1:8" x14ac:dyDescent="0.3">
      <c r="A328">
        <v>327</v>
      </c>
      <c r="B328" t="s">
        <v>341</v>
      </c>
      <c r="C328">
        <v>4</v>
      </c>
      <c r="D328">
        <v>359</v>
      </c>
      <c r="E328">
        <v>33.31</v>
      </c>
      <c r="F328">
        <v>356.51</v>
      </c>
      <c r="G328">
        <f t="shared" si="10"/>
        <v>-2.4900000000000091</v>
      </c>
      <c r="H328">
        <f t="shared" si="11"/>
        <v>2.4900000000000091</v>
      </c>
    </row>
    <row r="329" spans="1:8" x14ac:dyDescent="0.3">
      <c r="A329">
        <v>328</v>
      </c>
      <c r="B329" t="s">
        <v>342</v>
      </c>
      <c r="C329">
        <v>4</v>
      </c>
      <c r="D329">
        <v>220</v>
      </c>
      <c r="E329">
        <v>31.038</v>
      </c>
      <c r="F329">
        <v>218.82986</v>
      </c>
      <c r="G329">
        <f t="shared" si="10"/>
        <v>-1.1701400000000035</v>
      </c>
      <c r="H329">
        <f t="shared" si="11"/>
        <v>1.1701400000000035</v>
      </c>
    </row>
    <row r="330" spans="1:8" x14ac:dyDescent="0.3">
      <c r="A330">
        <v>329</v>
      </c>
      <c r="B330" t="s">
        <v>343</v>
      </c>
      <c r="C330">
        <v>5</v>
      </c>
      <c r="D330">
        <v>259</v>
      </c>
      <c r="E330">
        <v>31.719000000000001</v>
      </c>
      <c r="F330">
        <v>258.32893000000001</v>
      </c>
      <c r="G330">
        <f t="shared" si="10"/>
        <v>-0.67106999999998607</v>
      </c>
      <c r="H330">
        <f t="shared" si="11"/>
        <v>0.67106999999998607</v>
      </c>
    </row>
    <row r="331" spans="1:8" x14ac:dyDescent="0.3">
      <c r="A331">
        <v>330</v>
      </c>
      <c r="B331" t="s">
        <v>344</v>
      </c>
      <c r="C331">
        <v>2</v>
      </c>
      <c r="D331">
        <v>319</v>
      </c>
      <c r="E331">
        <v>32.718000000000004</v>
      </c>
      <c r="F331">
        <v>316.73946000000001</v>
      </c>
      <c r="G331">
        <f t="shared" si="10"/>
        <v>-2.2605399999999918</v>
      </c>
      <c r="H331">
        <f t="shared" si="11"/>
        <v>2.2605399999999918</v>
      </c>
    </row>
    <row r="332" spans="1:8" x14ac:dyDescent="0.3">
      <c r="A332">
        <v>331</v>
      </c>
      <c r="B332" t="s">
        <v>345</v>
      </c>
      <c r="C332">
        <v>5</v>
      </c>
      <c r="D332">
        <v>335</v>
      </c>
      <c r="E332">
        <v>33.082000000000008</v>
      </c>
      <c r="F332">
        <v>334.38654000000042</v>
      </c>
      <c r="G332">
        <f t="shared" si="10"/>
        <v>-0.61345999999957712</v>
      </c>
      <c r="H332">
        <f t="shared" si="11"/>
        <v>0.61345999999957712</v>
      </c>
    </row>
    <row r="333" spans="1:8" x14ac:dyDescent="0.3">
      <c r="A333">
        <v>332</v>
      </c>
      <c r="B333" t="s">
        <v>346</v>
      </c>
      <c r="C333">
        <v>2</v>
      </c>
      <c r="D333">
        <v>274</v>
      </c>
      <c r="E333">
        <v>32.212000000000003</v>
      </c>
      <c r="F333">
        <v>269.64764000000002</v>
      </c>
      <c r="G333">
        <f t="shared" si="10"/>
        <v>-4.352359999999976</v>
      </c>
      <c r="H333">
        <f t="shared" si="11"/>
        <v>4.352359999999976</v>
      </c>
    </row>
    <row r="334" spans="1:8" x14ac:dyDescent="0.3">
      <c r="A334">
        <v>333</v>
      </c>
      <c r="B334" t="s">
        <v>347</v>
      </c>
      <c r="C334">
        <v>2</v>
      </c>
      <c r="D334">
        <v>336</v>
      </c>
      <c r="E334">
        <v>33.097999999999999</v>
      </c>
      <c r="F334">
        <v>335.33805999999981</v>
      </c>
      <c r="G334">
        <f t="shared" si="10"/>
        <v>-0.66194000000018605</v>
      </c>
      <c r="H334">
        <f t="shared" si="11"/>
        <v>0.66194000000018605</v>
      </c>
    </row>
    <row r="335" spans="1:8" x14ac:dyDescent="0.3">
      <c r="A335">
        <v>334</v>
      </c>
      <c r="B335" t="s">
        <v>348</v>
      </c>
      <c r="C335">
        <v>1</v>
      </c>
      <c r="D335">
        <v>344</v>
      </c>
      <c r="E335">
        <v>33.35</v>
      </c>
      <c r="F335">
        <v>344.3245</v>
      </c>
      <c r="G335">
        <f t="shared" si="10"/>
        <v>0.32450000000000045</v>
      </c>
      <c r="H335">
        <f t="shared" si="11"/>
        <v>0.32450000000000045</v>
      </c>
    </row>
    <row r="336" spans="1:8" x14ac:dyDescent="0.3">
      <c r="A336">
        <v>335</v>
      </c>
      <c r="B336" t="s">
        <v>349</v>
      </c>
      <c r="C336">
        <v>1</v>
      </c>
      <c r="D336">
        <v>285</v>
      </c>
      <c r="E336">
        <v>32.103000000000002</v>
      </c>
      <c r="F336">
        <v>282.16541000000001</v>
      </c>
      <c r="G336">
        <f t="shared" si="10"/>
        <v>-2.8345899999999915</v>
      </c>
      <c r="H336">
        <f t="shared" si="11"/>
        <v>2.8345899999999915</v>
      </c>
    </row>
    <row r="337" spans="1:8" x14ac:dyDescent="0.3">
      <c r="A337">
        <v>336</v>
      </c>
      <c r="B337" t="s">
        <v>350</v>
      </c>
      <c r="C337">
        <v>2</v>
      </c>
      <c r="D337">
        <v>253</v>
      </c>
      <c r="E337">
        <v>31.725999999999999</v>
      </c>
      <c r="F337">
        <v>253.74522000000002</v>
      </c>
      <c r="G337">
        <f t="shared" si="10"/>
        <v>0.74522000000001754</v>
      </c>
      <c r="H337">
        <f t="shared" si="11"/>
        <v>0.74522000000001754</v>
      </c>
    </row>
    <row r="338" spans="1:8" x14ac:dyDescent="0.3">
      <c r="A338">
        <v>337</v>
      </c>
      <c r="B338" t="s">
        <v>351</v>
      </c>
      <c r="C338">
        <v>1</v>
      </c>
      <c r="D338">
        <v>310</v>
      </c>
      <c r="E338">
        <v>32.792000000000002</v>
      </c>
      <c r="F338">
        <v>309.14024000000001</v>
      </c>
      <c r="G338">
        <f t="shared" si="10"/>
        <v>-0.85975999999999431</v>
      </c>
      <c r="H338">
        <f t="shared" si="11"/>
        <v>0.85975999999999431</v>
      </c>
    </row>
    <row r="339" spans="1:8" x14ac:dyDescent="0.3">
      <c r="A339">
        <v>338</v>
      </c>
      <c r="B339" t="s">
        <v>352</v>
      </c>
      <c r="C339">
        <v>4</v>
      </c>
      <c r="D339">
        <v>329</v>
      </c>
      <c r="E339">
        <v>33.031000000000013</v>
      </c>
      <c r="F339">
        <v>331.35357000000022</v>
      </c>
      <c r="G339">
        <f t="shared" si="10"/>
        <v>2.353570000000218</v>
      </c>
      <c r="H339">
        <f t="shared" si="11"/>
        <v>2.353570000000218</v>
      </c>
    </row>
    <row r="340" spans="1:8" x14ac:dyDescent="0.3">
      <c r="A340">
        <v>339</v>
      </c>
      <c r="B340" t="s">
        <v>353</v>
      </c>
      <c r="C340">
        <v>3</v>
      </c>
      <c r="D340">
        <v>304</v>
      </c>
      <c r="E340">
        <v>32.499000000000002</v>
      </c>
      <c r="F340">
        <v>299.71553000000017</v>
      </c>
      <c r="G340">
        <f t="shared" si="10"/>
        <v>-4.2844699999998284</v>
      </c>
      <c r="H340">
        <f t="shared" si="11"/>
        <v>4.2844699999998284</v>
      </c>
    </row>
    <row r="341" spans="1:8" x14ac:dyDescent="0.3">
      <c r="A341">
        <v>340</v>
      </c>
      <c r="B341" t="s">
        <v>354</v>
      </c>
      <c r="C341">
        <v>5</v>
      </c>
      <c r="D341">
        <v>345</v>
      </c>
      <c r="E341">
        <v>33.35</v>
      </c>
      <c r="F341">
        <v>349.3245</v>
      </c>
      <c r="G341">
        <f t="shared" si="10"/>
        <v>4.3245000000000005</v>
      </c>
      <c r="H341">
        <f t="shared" si="11"/>
        <v>4.3245000000000005</v>
      </c>
    </row>
    <row r="342" spans="1:8" x14ac:dyDescent="0.3">
      <c r="A342">
        <v>341</v>
      </c>
      <c r="B342" t="s">
        <v>355</v>
      </c>
      <c r="C342">
        <v>3</v>
      </c>
      <c r="D342">
        <v>181</v>
      </c>
      <c r="E342">
        <v>30.623000000000001</v>
      </c>
      <c r="F342">
        <v>185.14981</v>
      </c>
      <c r="G342">
        <f t="shared" si="10"/>
        <v>4.1498100000000022</v>
      </c>
      <c r="H342">
        <f t="shared" si="11"/>
        <v>4.1498100000000022</v>
      </c>
    </row>
    <row r="343" spans="1:8" x14ac:dyDescent="0.3">
      <c r="A343">
        <v>342</v>
      </c>
      <c r="B343" t="s">
        <v>356</v>
      </c>
      <c r="C343">
        <v>1</v>
      </c>
      <c r="D343">
        <v>382</v>
      </c>
      <c r="E343">
        <v>33.831000000000003</v>
      </c>
      <c r="F343">
        <v>378.92957000000024</v>
      </c>
      <c r="G343">
        <f t="shared" si="10"/>
        <v>-3.0704299999997602</v>
      </c>
      <c r="H343">
        <f t="shared" si="11"/>
        <v>3.0704299999997602</v>
      </c>
    </row>
    <row r="344" spans="1:8" x14ac:dyDescent="0.3">
      <c r="A344">
        <v>343</v>
      </c>
      <c r="B344" t="s">
        <v>357</v>
      </c>
      <c r="C344">
        <v>4</v>
      </c>
      <c r="D344">
        <v>317</v>
      </c>
      <c r="E344">
        <v>32.75</v>
      </c>
      <c r="F344">
        <v>314.64249999999993</v>
      </c>
      <c r="G344">
        <f t="shared" si="10"/>
        <v>-2.3575000000000728</v>
      </c>
      <c r="H344">
        <f t="shared" si="11"/>
        <v>2.3575000000000728</v>
      </c>
    </row>
    <row r="345" spans="1:8" x14ac:dyDescent="0.3">
      <c r="A345">
        <v>344</v>
      </c>
      <c r="B345" t="s">
        <v>358</v>
      </c>
      <c r="C345">
        <v>5</v>
      </c>
      <c r="D345">
        <v>242</v>
      </c>
      <c r="E345">
        <v>31.61</v>
      </c>
      <c r="F345">
        <v>245.8467</v>
      </c>
      <c r="G345">
        <f t="shared" si="10"/>
        <v>3.8466999999999985</v>
      </c>
      <c r="H345">
        <f t="shared" si="11"/>
        <v>3.8466999999999985</v>
      </c>
    </row>
    <row r="346" spans="1:8" x14ac:dyDescent="0.3">
      <c r="A346">
        <v>345</v>
      </c>
      <c r="B346" t="s">
        <v>359</v>
      </c>
      <c r="C346">
        <v>5</v>
      </c>
      <c r="D346">
        <v>247</v>
      </c>
      <c r="E346">
        <v>31.684999999999999</v>
      </c>
      <c r="F346">
        <v>251.30695000000014</v>
      </c>
      <c r="G346">
        <f t="shared" si="10"/>
        <v>4.3069500000001426</v>
      </c>
      <c r="H346">
        <f t="shared" si="11"/>
        <v>4.3069500000001426</v>
      </c>
    </row>
    <row r="347" spans="1:8" x14ac:dyDescent="0.3">
      <c r="A347">
        <v>346</v>
      </c>
      <c r="B347" t="s">
        <v>360</v>
      </c>
      <c r="C347">
        <v>5</v>
      </c>
      <c r="D347">
        <v>313</v>
      </c>
      <c r="E347">
        <v>32.688000000000002</v>
      </c>
      <c r="F347">
        <v>310.95536000000016</v>
      </c>
      <c r="G347">
        <f t="shared" si="10"/>
        <v>-2.0446399999998448</v>
      </c>
      <c r="H347">
        <f t="shared" si="11"/>
        <v>2.0446399999998448</v>
      </c>
    </row>
    <row r="348" spans="1:8" x14ac:dyDescent="0.3">
      <c r="A348">
        <v>347</v>
      </c>
      <c r="B348" t="s">
        <v>361</v>
      </c>
      <c r="C348">
        <v>3</v>
      </c>
      <c r="D348">
        <v>230</v>
      </c>
      <c r="E348">
        <v>31.544</v>
      </c>
      <c r="F348">
        <v>229.92168000000001</v>
      </c>
      <c r="G348">
        <f t="shared" si="10"/>
        <v>-7.8319999999990841E-2</v>
      </c>
      <c r="H348">
        <f t="shared" si="11"/>
        <v>7.8319999999990841E-2</v>
      </c>
    </row>
    <row r="349" spans="1:8" x14ac:dyDescent="0.3">
      <c r="A349">
        <v>348</v>
      </c>
      <c r="B349" t="s">
        <v>362</v>
      </c>
      <c r="C349">
        <v>1</v>
      </c>
      <c r="D349">
        <v>324</v>
      </c>
      <c r="E349">
        <v>33.122</v>
      </c>
      <c r="F349">
        <v>319.76533999999998</v>
      </c>
      <c r="G349">
        <f t="shared" si="10"/>
        <v>-4.2346600000000194</v>
      </c>
      <c r="H349">
        <f t="shared" si="11"/>
        <v>4.2346600000000194</v>
      </c>
    </row>
    <row r="350" spans="1:8" x14ac:dyDescent="0.3">
      <c r="A350">
        <v>349</v>
      </c>
      <c r="B350" t="s">
        <v>363</v>
      </c>
      <c r="C350">
        <v>5</v>
      </c>
      <c r="D350">
        <v>264</v>
      </c>
      <c r="E350">
        <v>32.007000000000012</v>
      </c>
      <c r="F350">
        <v>268.45629000000002</v>
      </c>
      <c r="G350">
        <f t="shared" si="10"/>
        <v>4.4562900000000241</v>
      </c>
      <c r="H350">
        <f t="shared" si="11"/>
        <v>4.4562900000000241</v>
      </c>
    </row>
    <row r="351" spans="1:8" x14ac:dyDescent="0.3">
      <c r="A351">
        <v>350</v>
      </c>
      <c r="B351" t="s">
        <v>364</v>
      </c>
      <c r="C351">
        <v>4</v>
      </c>
      <c r="D351">
        <v>299</v>
      </c>
      <c r="E351">
        <v>32.516000000000012</v>
      </c>
      <c r="F351">
        <v>300.72652000000039</v>
      </c>
      <c r="G351">
        <f t="shared" si="10"/>
        <v>1.7265200000003915</v>
      </c>
      <c r="H351">
        <f t="shared" si="11"/>
        <v>1.7265200000003915</v>
      </c>
    </row>
    <row r="352" spans="1:8" x14ac:dyDescent="0.3">
      <c r="A352">
        <v>351</v>
      </c>
      <c r="B352" t="s">
        <v>365</v>
      </c>
      <c r="C352">
        <v>5</v>
      </c>
      <c r="D352">
        <v>369</v>
      </c>
      <c r="E352">
        <v>33.615000000000002</v>
      </c>
      <c r="F352">
        <v>366.08405000000016</v>
      </c>
      <c r="G352">
        <f t="shared" si="10"/>
        <v>-2.9159499999998388</v>
      </c>
      <c r="H352">
        <f t="shared" si="11"/>
        <v>2.9159499999998388</v>
      </c>
    </row>
    <row r="353" spans="1:8" x14ac:dyDescent="0.3">
      <c r="A353">
        <v>352</v>
      </c>
      <c r="B353" t="s">
        <v>366</v>
      </c>
      <c r="C353">
        <v>3</v>
      </c>
      <c r="D353">
        <v>225</v>
      </c>
      <c r="E353">
        <v>31.004999999999999</v>
      </c>
      <c r="F353">
        <v>224.89</v>
      </c>
      <c r="G353">
        <f t="shared" si="10"/>
        <v>-0.11000000000001364</v>
      </c>
      <c r="H353">
        <f t="shared" si="11"/>
        <v>0.11000000000001364</v>
      </c>
    </row>
    <row r="354" spans="1:8" x14ac:dyDescent="0.3">
      <c r="A354">
        <v>353</v>
      </c>
      <c r="B354" t="s">
        <v>367</v>
      </c>
      <c r="C354">
        <v>1</v>
      </c>
      <c r="D354">
        <v>235</v>
      </c>
      <c r="E354">
        <v>31.266999999999999</v>
      </c>
      <c r="F354">
        <v>231.44848999999999</v>
      </c>
      <c r="G354">
        <f t="shared" si="10"/>
        <v>-3.5515100000000075</v>
      </c>
      <c r="H354">
        <f t="shared" si="11"/>
        <v>3.5515100000000075</v>
      </c>
    </row>
    <row r="355" spans="1:8" x14ac:dyDescent="0.3">
      <c r="A355">
        <v>354</v>
      </c>
      <c r="B355" t="s">
        <v>368</v>
      </c>
      <c r="C355">
        <v>3</v>
      </c>
      <c r="D355">
        <v>358</v>
      </c>
      <c r="E355">
        <v>33.505000000000003</v>
      </c>
      <c r="F355">
        <v>359.54235000000017</v>
      </c>
      <c r="G355">
        <f t="shared" si="10"/>
        <v>1.5423500000001695</v>
      </c>
      <c r="H355">
        <f t="shared" si="11"/>
        <v>1.5423500000001695</v>
      </c>
    </row>
    <row r="356" spans="1:8" x14ac:dyDescent="0.3">
      <c r="A356">
        <v>355</v>
      </c>
      <c r="B356" t="s">
        <v>369</v>
      </c>
      <c r="C356">
        <v>3</v>
      </c>
      <c r="D356">
        <v>289</v>
      </c>
      <c r="E356">
        <v>32.31</v>
      </c>
      <c r="F356">
        <v>288.47570000000019</v>
      </c>
      <c r="G356">
        <f t="shared" si="10"/>
        <v>-0.52429999999981192</v>
      </c>
      <c r="H356">
        <f t="shared" si="11"/>
        <v>0.52429999999981192</v>
      </c>
    </row>
    <row r="357" spans="1:8" x14ac:dyDescent="0.3">
      <c r="A357">
        <v>356</v>
      </c>
      <c r="B357" t="s">
        <v>370</v>
      </c>
      <c r="C357">
        <v>3</v>
      </c>
      <c r="D357">
        <v>441</v>
      </c>
      <c r="E357">
        <v>35.023000000000003</v>
      </c>
      <c r="F357">
        <v>440.81781000000001</v>
      </c>
      <c r="G357">
        <f t="shared" si="10"/>
        <v>-0.18218999999999141</v>
      </c>
      <c r="H357">
        <f t="shared" si="11"/>
        <v>0.18218999999999141</v>
      </c>
    </row>
    <row r="358" spans="1:8" x14ac:dyDescent="0.3">
      <c r="A358">
        <v>357</v>
      </c>
      <c r="B358" t="s">
        <v>371</v>
      </c>
      <c r="C358">
        <v>1</v>
      </c>
      <c r="D358">
        <v>298</v>
      </c>
      <c r="E358">
        <v>32.469000000000001</v>
      </c>
      <c r="F358">
        <v>297.93143000000009</v>
      </c>
      <c r="G358">
        <f t="shared" si="10"/>
        <v>-6.8569999999908759E-2</v>
      </c>
      <c r="H358">
        <f t="shared" si="11"/>
        <v>6.8569999999908759E-2</v>
      </c>
    </row>
    <row r="359" spans="1:8" x14ac:dyDescent="0.3">
      <c r="A359">
        <v>358</v>
      </c>
      <c r="B359" t="s">
        <v>372</v>
      </c>
      <c r="C359">
        <v>2</v>
      </c>
      <c r="D359">
        <v>286</v>
      </c>
      <c r="E359">
        <v>32.311000000000007</v>
      </c>
      <c r="F359">
        <v>288.53517000000033</v>
      </c>
      <c r="G359">
        <f t="shared" si="10"/>
        <v>2.5351700000003348</v>
      </c>
      <c r="H359">
        <f t="shared" si="11"/>
        <v>2.5351700000003348</v>
      </c>
    </row>
    <row r="360" spans="1:8" x14ac:dyDescent="0.3">
      <c r="A360">
        <v>359</v>
      </c>
      <c r="B360" t="s">
        <v>373</v>
      </c>
      <c r="C360">
        <v>3</v>
      </c>
      <c r="D360">
        <v>221</v>
      </c>
      <c r="E360">
        <v>31.125</v>
      </c>
      <c r="F360">
        <v>218.00375000000008</v>
      </c>
      <c r="G360">
        <f t="shared" si="10"/>
        <v>-2.9962499999999181</v>
      </c>
      <c r="H360">
        <f t="shared" si="11"/>
        <v>2.9962499999999181</v>
      </c>
    </row>
    <row r="361" spans="1:8" x14ac:dyDescent="0.3">
      <c r="A361">
        <v>360</v>
      </c>
      <c r="B361" t="s">
        <v>374</v>
      </c>
      <c r="C361">
        <v>5</v>
      </c>
      <c r="D361">
        <v>232</v>
      </c>
      <c r="E361">
        <v>31.484999999999999</v>
      </c>
      <c r="F361">
        <v>233.41295</v>
      </c>
      <c r="G361">
        <f t="shared" si="10"/>
        <v>1.412949999999995</v>
      </c>
      <c r="H361">
        <f t="shared" si="11"/>
        <v>1.412949999999995</v>
      </c>
    </row>
    <row r="362" spans="1:8" x14ac:dyDescent="0.3">
      <c r="A362">
        <v>361</v>
      </c>
      <c r="B362" t="s">
        <v>375</v>
      </c>
      <c r="C362">
        <v>3</v>
      </c>
      <c r="D362">
        <v>197</v>
      </c>
      <c r="E362">
        <v>30.681999999999999</v>
      </c>
      <c r="F362">
        <v>194.65853999999999</v>
      </c>
      <c r="G362">
        <f t="shared" si="10"/>
        <v>-2.3414600000000121</v>
      </c>
      <c r="H362">
        <f t="shared" si="11"/>
        <v>2.3414600000000121</v>
      </c>
    </row>
    <row r="363" spans="1:8" x14ac:dyDescent="0.3">
      <c r="A363">
        <v>362</v>
      </c>
      <c r="B363" t="s">
        <v>376</v>
      </c>
      <c r="C363">
        <v>1</v>
      </c>
      <c r="D363">
        <v>228</v>
      </c>
      <c r="E363">
        <v>31.058</v>
      </c>
      <c r="F363">
        <v>227.69</v>
      </c>
      <c r="G363">
        <f t="shared" si="10"/>
        <v>-0.31000000000000227</v>
      </c>
      <c r="H363">
        <f t="shared" si="11"/>
        <v>0.31000000000000227</v>
      </c>
    </row>
    <row r="364" spans="1:8" x14ac:dyDescent="0.3">
      <c r="A364">
        <v>363</v>
      </c>
      <c r="B364" t="s">
        <v>377</v>
      </c>
      <c r="C364">
        <v>1</v>
      </c>
      <c r="D364">
        <v>357</v>
      </c>
      <c r="E364">
        <v>33.466999999999999</v>
      </c>
      <c r="F364">
        <v>357.28248999999983</v>
      </c>
      <c r="G364">
        <f t="shared" si="10"/>
        <v>0.28248999999982516</v>
      </c>
      <c r="H364">
        <f t="shared" si="11"/>
        <v>0.28248999999982516</v>
      </c>
    </row>
    <row r="365" spans="1:8" x14ac:dyDescent="0.3">
      <c r="A365">
        <v>364</v>
      </c>
      <c r="B365" t="s">
        <v>378</v>
      </c>
      <c r="C365">
        <v>5</v>
      </c>
      <c r="D365">
        <v>217</v>
      </c>
      <c r="E365">
        <v>31.050999999999998</v>
      </c>
      <c r="F365">
        <v>213.60297000000014</v>
      </c>
      <c r="G365">
        <f t="shared" si="10"/>
        <v>-3.3970299999998588</v>
      </c>
      <c r="H365">
        <f t="shared" si="11"/>
        <v>3.3970299999998588</v>
      </c>
    </row>
    <row r="366" spans="1:8" x14ac:dyDescent="0.3">
      <c r="A366">
        <v>365</v>
      </c>
      <c r="B366" t="s">
        <v>379</v>
      </c>
      <c r="C366">
        <v>3</v>
      </c>
      <c r="D366">
        <v>257</v>
      </c>
      <c r="E366">
        <v>31.669</v>
      </c>
      <c r="F366">
        <v>255.35543000000001</v>
      </c>
      <c r="G366">
        <f t="shared" si="10"/>
        <v>-1.6445699999999874</v>
      </c>
      <c r="H366">
        <f t="shared" si="11"/>
        <v>1.6445699999999874</v>
      </c>
    </row>
    <row r="367" spans="1:8" x14ac:dyDescent="0.3">
      <c r="A367">
        <v>366</v>
      </c>
      <c r="B367" t="s">
        <v>380</v>
      </c>
      <c r="C367">
        <v>2</v>
      </c>
      <c r="D367">
        <v>372</v>
      </c>
      <c r="E367">
        <v>33.773000000000003</v>
      </c>
      <c r="F367">
        <v>375.48031000000015</v>
      </c>
      <c r="G367">
        <f t="shared" si="10"/>
        <v>3.480310000000145</v>
      </c>
      <c r="H367">
        <f t="shared" si="11"/>
        <v>3.480310000000145</v>
      </c>
    </row>
    <row r="368" spans="1:8" x14ac:dyDescent="0.3">
      <c r="A368">
        <v>367</v>
      </c>
      <c r="B368" t="s">
        <v>381</v>
      </c>
      <c r="C368">
        <v>5</v>
      </c>
      <c r="D368">
        <v>318</v>
      </c>
      <c r="E368">
        <v>32.774000000000001</v>
      </c>
      <c r="F368">
        <v>316.06978000000004</v>
      </c>
      <c r="G368">
        <f t="shared" si="10"/>
        <v>-1.930219999999963</v>
      </c>
      <c r="H368">
        <f t="shared" si="11"/>
        <v>1.930219999999963</v>
      </c>
    </row>
    <row r="369" spans="1:8" x14ac:dyDescent="0.3">
      <c r="A369">
        <v>368</v>
      </c>
      <c r="B369" t="s">
        <v>382</v>
      </c>
      <c r="C369">
        <v>2</v>
      </c>
      <c r="D369">
        <v>316</v>
      </c>
      <c r="E369">
        <v>32.774000000000001</v>
      </c>
      <c r="F369">
        <v>316.06978000000004</v>
      </c>
      <c r="G369">
        <f t="shared" si="10"/>
        <v>6.9780000000037035E-2</v>
      </c>
      <c r="H369">
        <f t="shared" si="11"/>
        <v>6.9780000000037035E-2</v>
      </c>
    </row>
    <row r="370" spans="1:8" x14ac:dyDescent="0.3">
      <c r="A370">
        <v>369</v>
      </c>
      <c r="B370" t="s">
        <v>383</v>
      </c>
      <c r="C370">
        <v>3</v>
      </c>
      <c r="D370">
        <v>198</v>
      </c>
      <c r="E370">
        <v>30.771999999999998</v>
      </c>
      <c r="F370">
        <v>197.01084000000014</v>
      </c>
      <c r="G370">
        <f t="shared" si="10"/>
        <v>-0.98915999999985615</v>
      </c>
      <c r="H370">
        <f t="shared" si="11"/>
        <v>0.98915999999985615</v>
      </c>
    </row>
    <row r="371" spans="1:8" x14ac:dyDescent="0.3">
      <c r="A371">
        <v>370</v>
      </c>
      <c r="B371" t="s">
        <v>384</v>
      </c>
      <c r="C371">
        <v>2</v>
      </c>
      <c r="D371">
        <v>263</v>
      </c>
      <c r="E371">
        <v>32.005000000000003</v>
      </c>
      <c r="F371">
        <v>265.33735000000001</v>
      </c>
      <c r="G371">
        <f t="shared" si="10"/>
        <v>2.3373500000000149</v>
      </c>
      <c r="H371">
        <f t="shared" si="11"/>
        <v>2.3373500000000149</v>
      </c>
    </row>
    <row r="372" spans="1:8" x14ac:dyDescent="0.3">
      <c r="A372">
        <v>371</v>
      </c>
      <c r="B372" t="s">
        <v>385</v>
      </c>
      <c r="C372">
        <v>4</v>
      </c>
      <c r="D372">
        <v>293</v>
      </c>
      <c r="E372">
        <v>32.381</v>
      </c>
      <c r="F372">
        <v>292.69806999999992</v>
      </c>
      <c r="G372">
        <f t="shared" si="10"/>
        <v>-0.30193000000008396</v>
      </c>
      <c r="H372">
        <f t="shared" si="11"/>
        <v>0.30193000000008396</v>
      </c>
    </row>
    <row r="373" spans="1:8" x14ac:dyDescent="0.3">
      <c r="A373">
        <v>372</v>
      </c>
      <c r="B373" t="s">
        <v>386</v>
      </c>
      <c r="C373">
        <v>1</v>
      </c>
      <c r="D373">
        <v>375</v>
      </c>
      <c r="E373">
        <v>33.679000000000002</v>
      </c>
      <c r="F373">
        <v>374.89013</v>
      </c>
      <c r="G373">
        <f t="shared" si="10"/>
        <v>-0.1098700000000008</v>
      </c>
      <c r="H373">
        <f t="shared" si="11"/>
        <v>0.1098700000000008</v>
      </c>
    </row>
    <row r="374" spans="1:8" x14ac:dyDescent="0.3">
      <c r="A374">
        <v>373</v>
      </c>
      <c r="B374" t="s">
        <v>387</v>
      </c>
      <c r="C374">
        <v>5</v>
      </c>
      <c r="D374">
        <v>255</v>
      </c>
      <c r="E374">
        <v>31.515999999999998</v>
      </c>
      <c r="F374">
        <v>254.58</v>
      </c>
      <c r="G374">
        <f t="shared" si="10"/>
        <v>-0.41999999999998749</v>
      </c>
      <c r="H374">
        <f t="shared" si="11"/>
        <v>0.41999999999998749</v>
      </c>
    </row>
    <row r="375" spans="1:8" x14ac:dyDescent="0.3">
      <c r="A375">
        <v>374</v>
      </c>
      <c r="B375" t="s">
        <v>388</v>
      </c>
      <c r="C375">
        <v>2</v>
      </c>
      <c r="D375">
        <v>259</v>
      </c>
      <c r="E375">
        <v>31.664999999999999</v>
      </c>
      <c r="F375">
        <v>259.11754999999999</v>
      </c>
      <c r="G375">
        <f t="shared" si="10"/>
        <v>0.11754999999999427</v>
      </c>
      <c r="H375">
        <f t="shared" si="11"/>
        <v>0.11754999999999427</v>
      </c>
    </row>
    <row r="376" spans="1:8" x14ac:dyDescent="0.3">
      <c r="A376">
        <v>375</v>
      </c>
      <c r="B376" t="s">
        <v>389</v>
      </c>
      <c r="C376">
        <v>1</v>
      </c>
      <c r="D376">
        <v>251</v>
      </c>
      <c r="E376">
        <v>31.335999999999999</v>
      </c>
      <c r="F376">
        <v>249.51</v>
      </c>
      <c r="G376">
        <f t="shared" si="10"/>
        <v>-1.4900000000000091</v>
      </c>
      <c r="H376">
        <f t="shared" si="11"/>
        <v>1.4900000000000091</v>
      </c>
    </row>
    <row r="377" spans="1:8" x14ac:dyDescent="0.3">
      <c r="A377">
        <v>376</v>
      </c>
      <c r="B377" t="s">
        <v>390</v>
      </c>
      <c r="C377">
        <v>2</v>
      </c>
      <c r="D377">
        <v>352</v>
      </c>
      <c r="E377">
        <v>33.500999999999998</v>
      </c>
      <c r="F377">
        <v>349.30446999999998</v>
      </c>
      <c r="G377">
        <f t="shared" si="10"/>
        <v>-2.6955300000000193</v>
      </c>
      <c r="H377">
        <f t="shared" si="11"/>
        <v>2.6955300000000193</v>
      </c>
    </row>
    <row r="378" spans="1:8" x14ac:dyDescent="0.3">
      <c r="A378">
        <v>377</v>
      </c>
      <c r="B378" t="s">
        <v>391</v>
      </c>
      <c r="C378">
        <v>3</v>
      </c>
      <c r="D378">
        <v>285</v>
      </c>
      <c r="E378">
        <v>32.109000000000002</v>
      </c>
      <c r="F378">
        <v>282.52222999999998</v>
      </c>
      <c r="G378">
        <f t="shared" si="10"/>
        <v>-2.4777700000000209</v>
      </c>
      <c r="H378">
        <f t="shared" si="11"/>
        <v>2.4777700000000209</v>
      </c>
    </row>
    <row r="379" spans="1:8" x14ac:dyDescent="0.3">
      <c r="A379">
        <v>378</v>
      </c>
      <c r="B379" t="s">
        <v>392</v>
      </c>
      <c r="C379">
        <v>1</v>
      </c>
      <c r="D379">
        <v>156</v>
      </c>
      <c r="E379">
        <v>30.045000000000002</v>
      </c>
      <c r="F379">
        <v>153.77615000000014</v>
      </c>
      <c r="G379">
        <f t="shared" si="10"/>
        <v>-2.2238499999998567</v>
      </c>
      <c r="H379">
        <f t="shared" si="11"/>
        <v>2.2238499999998567</v>
      </c>
    </row>
    <row r="380" spans="1:8" x14ac:dyDescent="0.3">
      <c r="A380">
        <v>379</v>
      </c>
      <c r="B380" t="s">
        <v>393</v>
      </c>
      <c r="C380">
        <v>4</v>
      </c>
      <c r="D380">
        <v>304</v>
      </c>
      <c r="E380">
        <v>32.22</v>
      </c>
      <c r="F380">
        <v>303.13</v>
      </c>
      <c r="G380">
        <f t="shared" si="10"/>
        <v>-0.87000000000000455</v>
      </c>
      <c r="H380">
        <f t="shared" si="11"/>
        <v>0.87000000000000455</v>
      </c>
    </row>
    <row r="381" spans="1:8" x14ac:dyDescent="0.3">
      <c r="A381">
        <v>380</v>
      </c>
      <c r="B381" t="s">
        <v>394</v>
      </c>
      <c r="C381">
        <v>4</v>
      </c>
      <c r="D381">
        <v>159</v>
      </c>
      <c r="E381">
        <v>30.25</v>
      </c>
      <c r="F381">
        <v>161.9675</v>
      </c>
      <c r="G381">
        <f t="shared" si="10"/>
        <v>2.9675000000000011</v>
      </c>
      <c r="H381">
        <f t="shared" si="11"/>
        <v>2.9675000000000011</v>
      </c>
    </row>
    <row r="382" spans="1:8" x14ac:dyDescent="0.3">
      <c r="A382">
        <v>381</v>
      </c>
      <c r="B382" t="s">
        <v>395</v>
      </c>
      <c r="C382">
        <v>3</v>
      </c>
      <c r="D382">
        <v>317</v>
      </c>
      <c r="E382">
        <v>32.909999999999997</v>
      </c>
      <c r="F382">
        <v>319.15769999999998</v>
      </c>
      <c r="G382">
        <f t="shared" si="10"/>
        <v>2.1576999999999771</v>
      </c>
      <c r="H382">
        <f t="shared" si="11"/>
        <v>2.1576999999999771</v>
      </c>
    </row>
    <row r="383" spans="1:8" x14ac:dyDescent="0.3">
      <c r="A383">
        <v>382</v>
      </c>
      <c r="B383" t="s">
        <v>396</v>
      </c>
      <c r="C383">
        <v>1</v>
      </c>
      <c r="D383">
        <v>240</v>
      </c>
      <c r="E383">
        <v>31.577999999999999</v>
      </c>
      <c r="F383">
        <v>243.94365999999999</v>
      </c>
      <c r="G383">
        <f t="shared" si="10"/>
        <v>3.9436599999999942</v>
      </c>
      <c r="H383">
        <f t="shared" si="11"/>
        <v>3.9436599999999942</v>
      </c>
    </row>
    <row r="384" spans="1:8" x14ac:dyDescent="0.3">
      <c r="A384">
        <v>383</v>
      </c>
      <c r="B384" t="s">
        <v>397</v>
      </c>
      <c r="C384">
        <v>3</v>
      </c>
      <c r="D384">
        <v>205</v>
      </c>
      <c r="E384">
        <v>31.24</v>
      </c>
      <c r="F384">
        <v>204.61</v>
      </c>
      <c r="G384">
        <f t="shared" si="10"/>
        <v>-0.38999999999998636</v>
      </c>
      <c r="H384">
        <f t="shared" si="11"/>
        <v>0.38999999999998636</v>
      </c>
    </row>
    <row r="385" spans="1:8" x14ac:dyDescent="0.3">
      <c r="A385">
        <v>384</v>
      </c>
      <c r="B385" t="s">
        <v>398</v>
      </c>
      <c r="C385">
        <v>4</v>
      </c>
      <c r="D385">
        <v>285</v>
      </c>
      <c r="E385">
        <v>32.331000000000003</v>
      </c>
      <c r="F385">
        <v>288.72457000000003</v>
      </c>
      <c r="G385">
        <f t="shared" si="10"/>
        <v>3.7245700000000284</v>
      </c>
      <c r="H385">
        <f t="shared" si="11"/>
        <v>3.7245700000000284</v>
      </c>
    </row>
    <row r="386" spans="1:8" x14ac:dyDescent="0.3">
      <c r="A386">
        <v>385</v>
      </c>
      <c r="B386" t="s">
        <v>399</v>
      </c>
      <c r="C386">
        <v>1</v>
      </c>
      <c r="D386">
        <v>313</v>
      </c>
      <c r="E386">
        <v>32.832999999999998</v>
      </c>
      <c r="F386">
        <v>314.57850999999999</v>
      </c>
      <c r="G386">
        <f t="shared" si="10"/>
        <v>1.5785099999999943</v>
      </c>
      <c r="H386">
        <f t="shared" si="11"/>
        <v>1.5785099999999943</v>
      </c>
    </row>
    <row r="387" spans="1:8" x14ac:dyDescent="0.3">
      <c r="A387">
        <v>386</v>
      </c>
      <c r="B387" t="s">
        <v>400</v>
      </c>
      <c r="C387">
        <v>5</v>
      </c>
      <c r="D387">
        <v>261</v>
      </c>
      <c r="E387">
        <v>31.827999999999999</v>
      </c>
      <c r="F387">
        <v>259.8111600000002</v>
      </c>
      <c r="G387">
        <f t="shared" ref="G387:G450" si="12">F387-D387</f>
        <v>-1.1888399999998001</v>
      </c>
      <c r="H387">
        <f t="shared" ref="H387:H450" si="13">ABS(F387-D387)</f>
        <v>1.1888399999998001</v>
      </c>
    </row>
    <row r="388" spans="1:8" x14ac:dyDescent="0.3">
      <c r="A388">
        <v>387</v>
      </c>
      <c r="B388" t="s">
        <v>401</v>
      </c>
      <c r="C388">
        <v>3</v>
      </c>
      <c r="D388">
        <v>348</v>
      </c>
      <c r="E388">
        <v>33.256</v>
      </c>
      <c r="F388">
        <v>344.73432000000003</v>
      </c>
      <c r="G388">
        <f t="shared" si="12"/>
        <v>-3.2656799999999748</v>
      </c>
      <c r="H388">
        <f t="shared" si="13"/>
        <v>3.2656799999999748</v>
      </c>
    </row>
    <row r="389" spans="1:8" x14ac:dyDescent="0.3">
      <c r="A389">
        <v>388</v>
      </c>
      <c r="B389" t="s">
        <v>402</v>
      </c>
      <c r="C389">
        <v>5</v>
      </c>
      <c r="D389">
        <v>303</v>
      </c>
      <c r="E389">
        <v>32.250999999999998</v>
      </c>
      <c r="F389">
        <v>301.95999999999998</v>
      </c>
      <c r="G389">
        <f t="shared" si="12"/>
        <v>-1.0400000000000205</v>
      </c>
      <c r="H389">
        <f t="shared" si="13"/>
        <v>1.0400000000000205</v>
      </c>
    </row>
    <row r="390" spans="1:8" x14ac:dyDescent="0.3">
      <c r="A390">
        <v>389</v>
      </c>
      <c r="B390" t="s">
        <v>403</v>
      </c>
      <c r="C390">
        <v>1</v>
      </c>
      <c r="D390">
        <v>296</v>
      </c>
      <c r="E390">
        <v>32.28</v>
      </c>
      <c r="F390">
        <v>294.69159999999999</v>
      </c>
      <c r="G390">
        <f t="shared" si="12"/>
        <v>-1.308400000000006</v>
      </c>
      <c r="H390">
        <f t="shared" si="13"/>
        <v>1.308400000000006</v>
      </c>
    </row>
    <row r="391" spans="1:8" x14ac:dyDescent="0.3">
      <c r="A391">
        <v>390</v>
      </c>
      <c r="B391" t="s">
        <v>404</v>
      </c>
      <c r="C391">
        <v>5</v>
      </c>
      <c r="D391">
        <v>386</v>
      </c>
      <c r="E391">
        <v>34.031000000000013</v>
      </c>
      <c r="F391">
        <v>389.82357000000002</v>
      </c>
      <c r="G391">
        <f t="shared" si="12"/>
        <v>3.8235700000000179</v>
      </c>
      <c r="H391">
        <f t="shared" si="13"/>
        <v>3.8235700000000179</v>
      </c>
    </row>
    <row r="392" spans="1:8" x14ac:dyDescent="0.3">
      <c r="A392">
        <v>391</v>
      </c>
      <c r="B392" t="s">
        <v>405</v>
      </c>
      <c r="C392">
        <v>2</v>
      </c>
      <c r="D392">
        <v>314</v>
      </c>
      <c r="E392">
        <v>32.869999999999997</v>
      </c>
      <c r="F392">
        <v>317.77890000000002</v>
      </c>
      <c r="G392">
        <f t="shared" si="12"/>
        <v>3.7789000000000215</v>
      </c>
      <c r="H392">
        <f t="shared" si="13"/>
        <v>3.7789000000000215</v>
      </c>
    </row>
    <row r="393" spans="1:8" x14ac:dyDescent="0.3">
      <c r="A393">
        <v>392</v>
      </c>
      <c r="B393" t="s">
        <v>406</v>
      </c>
      <c r="C393">
        <v>1</v>
      </c>
      <c r="D393">
        <v>194</v>
      </c>
      <c r="E393">
        <v>30.649000000000001</v>
      </c>
      <c r="F393">
        <v>189.69603000000029</v>
      </c>
      <c r="G393">
        <f t="shared" si="12"/>
        <v>-4.3039699999997083</v>
      </c>
      <c r="H393">
        <f t="shared" si="13"/>
        <v>4.3039699999997083</v>
      </c>
    </row>
    <row r="394" spans="1:8" x14ac:dyDescent="0.3">
      <c r="A394">
        <v>393</v>
      </c>
      <c r="B394" t="s">
        <v>407</v>
      </c>
      <c r="C394">
        <v>3</v>
      </c>
      <c r="D394">
        <v>291</v>
      </c>
      <c r="E394">
        <v>32.549000000000007</v>
      </c>
      <c r="F394">
        <v>289.68903</v>
      </c>
      <c r="G394">
        <f t="shared" si="12"/>
        <v>-1.3109699999999975</v>
      </c>
      <c r="H394">
        <f t="shared" si="13"/>
        <v>1.3109699999999975</v>
      </c>
    </row>
    <row r="395" spans="1:8" x14ac:dyDescent="0.3">
      <c r="A395">
        <v>394</v>
      </c>
      <c r="B395" t="s">
        <v>408</v>
      </c>
      <c r="C395">
        <v>3</v>
      </c>
      <c r="D395">
        <v>293</v>
      </c>
      <c r="E395">
        <v>32.103000000000002</v>
      </c>
      <c r="F395">
        <v>292.95999999999998</v>
      </c>
      <c r="G395">
        <f t="shared" si="12"/>
        <v>-4.0000000000020464E-2</v>
      </c>
      <c r="H395">
        <f t="shared" si="13"/>
        <v>4.0000000000020464E-2</v>
      </c>
    </row>
    <row r="396" spans="1:8" x14ac:dyDescent="0.3">
      <c r="A396">
        <v>395</v>
      </c>
      <c r="B396" t="s">
        <v>409</v>
      </c>
      <c r="C396">
        <v>1</v>
      </c>
      <c r="D396">
        <v>331</v>
      </c>
      <c r="E396">
        <v>32.832999999999998</v>
      </c>
      <c r="F396">
        <v>330.87</v>
      </c>
      <c r="G396">
        <f t="shared" si="12"/>
        <v>-0.12999999999999545</v>
      </c>
      <c r="H396">
        <f t="shared" si="13"/>
        <v>0.12999999999999545</v>
      </c>
    </row>
    <row r="397" spans="1:8" x14ac:dyDescent="0.3">
      <c r="A397">
        <v>396</v>
      </c>
      <c r="B397" t="s">
        <v>410</v>
      </c>
      <c r="C397">
        <v>3</v>
      </c>
      <c r="D397">
        <v>226</v>
      </c>
      <c r="E397">
        <v>31.332000000000001</v>
      </c>
      <c r="F397">
        <v>230.3140400000002</v>
      </c>
      <c r="G397">
        <f t="shared" si="12"/>
        <v>4.3140400000002046</v>
      </c>
      <c r="H397">
        <f t="shared" si="13"/>
        <v>4.3140400000002046</v>
      </c>
    </row>
    <row r="398" spans="1:8" x14ac:dyDescent="0.3">
      <c r="A398">
        <v>397</v>
      </c>
      <c r="B398" t="s">
        <v>411</v>
      </c>
      <c r="C398">
        <v>3</v>
      </c>
      <c r="D398">
        <v>213</v>
      </c>
      <c r="E398">
        <v>31.309000000000001</v>
      </c>
      <c r="F398">
        <v>213.52</v>
      </c>
      <c r="G398">
        <f t="shared" si="12"/>
        <v>0.52000000000001023</v>
      </c>
      <c r="H398">
        <f t="shared" si="13"/>
        <v>0.52000000000001023</v>
      </c>
    </row>
    <row r="399" spans="1:8" x14ac:dyDescent="0.3">
      <c r="A399">
        <v>398</v>
      </c>
      <c r="B399" t="s">
        <v>412</v>
      </c>
      <c r="C399">
        <v>4</v>
      </c>
      <c r="D399">
        <v>222</v>
      </c>
      <c r="E399">
        <v>30.972000000000001</v>
      </c>
      <c r="F399">
        <v>221.79</v>
      </c>
      <c r="G399">
        <f t="shared" si="12"/>
        <v>-0.21000000000000796</v>
      </c>
      <c r="H399">
        <f t="shared" si="13"/>
        <v>0.21000000000000796</v>
      </c>
    </row>
    <row r="400" spans="1:8" x14ac:dyDescent="0.3">
      <c r="A400">
        <v>399</v>
      </c>
      <c r="B400" t="s">
        <v>413</v>
      </c>
      <c r="C400">
        <v>4</v>
      </c>
      <c r="D400">
        <v>270</v>
      </c>
      <c r="E400">
        <v>32.009</v>
      </c>
      <c r="F400">
        <v>270.57522999999992</v>
      </c>
      <c r="G400">
        <f t="shared" si="12"/>
        <v>0.57522999999991953</v>
      </c>
      <c r="H400">
        <f t="shared" si="13"/>
        <v>0.57522999999991953</v>
      </c>
    </row>
    <row r="401" spans="1:8" x14ac:dyDescent="0.3">
      <c r="A401">
        <v>400</v>
      </c>
      <c r="B401" t="s">
        <v>414</v>
      </c>
      <c r="C401">
        <v>3</v>
      </c>
      <c r="D401">
        <v>191</v>
      </c>
      <c r="E401">
        <v>30.474</v>
      </c>
      <c r="F401">
        <v>189.53</v>
      </c>
      <c r="G401">
        <f t="shared" si="12"/>
        <v>-1.4699999999999989</v>
      </c>
      <c r="H401">
        <f t="shared" si="13"/>
        <v>1.4699999999999989</v>
      </c>
    </row>
    <row r="402" spans="1:8" x14ac:dyDescent="0.3">
      <c r="A402">
        <v>401</v>
      </c>
      <c r="B402" t="s">
        <v>415</v>
      </c>
      <c r="C402">
        <v>2</v>
      </c>
      <c r="D402">
        <v>276</v>
      </c>
      <c r="E402">
        <v>32.347000000000001</v>
      </c>
      <c r="F402">
        <v>276.52</v>
      </c>
      <c r="G402">
        <f t="shared" si="12"/>
        <v>0.51999999999998181</v>
      </c>
      <c r="H402">
        <f t="shared" si="13"/>
        <v>0.51999999999998181</v>
      </c>
    </row>
    <row r="403" spans="1:8" x14ac:dyDescent="0.3">
      <c r="A403">
        <v>402</v>
      </c>
      <c r="B403" t="s">
        <v>416</v>
      </c>
      <c r="C403">
        <v>5</v>
      </c>
      <c r="D403">
        <v>325</v>
      </c>
      <c r="E403">
        <v>33.012</v>
      </c>
      <c r="F403">
        <v>329.22363999999999</v>
      </c>
      <c r="G403">
        <f t="shared" si="12"/>
        <v>4.223639999999989</v>
      </c>
      <c r="H403">
        <f t="shared" si="13"/>
        <v>4.223639999999989</v>
      </c>
    </row>
    <row r="404" spans="1:8" x14ac:dyDescent="0.3">
      <c r="A404">
        <v>403</v>
      </c>
      <c r="B404" t="s">
        <v>417</v>
      </c>
      <c r="C404">
        <v>4</v>
      </c>
      <c r="D404">
        <v>316</v>
      </c>
      <c r="E404">
        <v>32.773000000000003</v>
      </c>
      <c r="F404">
        <v>316.01031000000012</v>
      </c>
      <c r="G404">
        <f t="shared" si="12"/>
        <v>1.0310000000117725E-2</v>
      </c>
      <c r="H404">
        <f t="shared" si="13"/>
        <v>1.0310000000117725E-2</v>
      </c>
    </row>
    <row r="405" spans="1:8" x14ac:dyDescent="0.3">
      <c r="A405">
        <v>404</v>
      </c>
      <c r="B405" t="s">
        <v>418</v>
      </c>
      <c r="C405">
        <v>4</v>
      </c>
      <c r="D405">
        <v>346</v>
      </c>
      <c r="E405">
        <v>33.259</v>
      </c>
      <c r="F405">
        <v>344.91273000000001</v>
      </c>
      <c r="G405">
        <f t="shared" si="12"/>
        <v>-1.0872699999999895</v>
      </c>
      <c r="H405">
        <f t="shared" si="13"/>
        <v>1.0872699999999895</v>
      </c>
    </row>
    <row r="406" spans="1:8" x14ac:dyDescent="0.3">
      <c r="A406">
        <v>405</v>
      </c>
      <c r="B406" t="s">
        <v>419</v>
      </c>
      <c r="C406">
        <v>2</v>
      </c>
      <c r="D406">
        <v>230</v>
      </c>
      <c r="E406">
        <v>31.391999999999999</v>
      </c>
      <c r="F406">
        <v>233.88224000000014</v>
      </c>
      <c r="G406">
        <f t="shared" si="12"/>
        <v>3.882240000000138</v>
      </c>
      <c r="H406">
        <f t="shared" si="13"/>
        <v>3.882240000000138</v>
      </c>
    </row>
    <row r="407" spans="1:8" x14ac:dyDescent="0.3">
      <c r="A407">
        <v>406</v>
      </c>
      <c r="B407" t="s">
        <v>420</v>
      </c>
      <c r="C407">
        <v>2</v>
      </c>
      <c r="D407">
        <v>335</v>
      </c>
      <c r="E407">
        <v>32.994</v>
      </c>
      <c r="F407">
        <v>333.15318000000002</v>
      </c>
      <c r="G407">
        <f t="shared" si="12"/>
        <v>-1.8468199999999797</v>
      </c>
      <c r="H407">
        <f t="shared" si="13"/>
        <v>1.8468199999999797</v>
      </c>
    </row>
    <row r="408" spans="1:8" x14ac:dyDescent="0.3">
      <c r="A408">
        <v>407</v>
      </c>
      <c r="B408" t="s">
        <v>421</v>
      </c>
      <c r="C408">
        <v>1</v>
      </c>
      <c r="D408">
        <v>253</v>
      </c>
      <c r="E408">
        <v>31.88</v>
      </c>
      <c r="F408">
        <v>252.90360000000001</v>
      </c>
      <c r="G408">
        <f t="shared" si="12"/>
        <v>-9.6399999999988495E-2</v>
      </c>
      <c r="H408">
        <f t="shared" si="13"/>
        <v>9.6399999999988495E-2</v>
      </c>
    </row>
    <row r="409" spans="1:8" x14ac:dyDescent="0.3">
      <c r="A409">
        <v>408</v>
      </c>
      <c r="B409" t="s">
        <v>422</v>
      </c>
      <c r="C409">
        <v>3</v>
      </c>
      <c r="D409">
        <v>351</v>
      </c>
      <c r="E409">
        <v>33.381</v>
      </c>
      <c r="F409">
        <v>352.16806999999994</v>
      </c>
      <c r="G409">
        <f t="shared" si="12"/>
        <v>1.1680699999999433</v>
      </c>
      <c r="H409">
        <f t="shared" si="13"/>
        <v>1.1680699999999433</v>
      </c>
    </row>
    <row r="410" spans="1:8" x14ac:dyDescent="0.3">
      <c r="A410">
        <v>409</v>
      </c>
      <c r="B410" t="s">
        <v>423</v>
      </c>
      <c r="C410">
        <v>1</v>
      </c>
      <c r="D410">
        <v>288</v>
      </c>
      <c r="E410">
        <v>32.28</v>
      </c>
      <c r="F410">
        <v>286.69160000000011</v>
      </c>
      <c r="G410">
        <f t="shared" si="12"/>
        <v>-1.3083999999998923</v>
      </c>
      <c r="H410">
        <f t="shared" si="13"/>
        <v>1.3083999999998923</v>
      </c>
    </row>
    <row r="411" spans="1:8" x14ac:dyDescent="0.3">
      <c r="A411">
        <v>410</v>
      </c>
      <c r="B411" t="s">
        <v>424</v>
      </c>
      <c r="C411">
        <v>1</v>
      </c>
      <c r="D411">
        <v>202</v>
      </c>
      <c r="E411">
        <v>30.77</v>
      </c>
      <c r="F411">
        <v>199.89189999999999</v>
      </c>
      <c r="G411">
        <f t="shared" si="12"/>
        <v>-2.1081000000000074</v>
      </c>
      <c r="H411">
        <f t="shared" si="13"/>
        <v>2.1081000000000074</v>
      </c>
    </row>
    <row r="412" spans="1:8" x14ac:dyDescent="0.3">
      <c r="A412">
        <v>411</v>
      </c>
      <c r="B412" t="s">
        <v>425</v>
      </c>
      <c r="C412">
        <v>1</v>
      </c>
      <c r="D412">
        <v>202</v>
      </c>
      <c r="E412">
        <v>30.741</v>
      </c>
      <c r="F412">
        <v>199.16727</v>
      </c>
      <c r="G412">
        <f t="shared" si="12"/>
        <v>-2.832729999999998</v>
      </c>
      <c r="H412">
        <f t="shared" si="13"/>
        <v>2.832729999999998</v>
      </c>
    </row>
    <row r="413" spans="1:8" x14ac:dyDescent="0.3">
      <c r="A413">
        <v>412</v>
      </c>
      <c r="B413" t="s">
        <v>426</v>
      </c>
      <c r="C413">
        <v>4</v>
      </c>
      <c r="D413">
        <v>164</v>
      </c>
      <c r="E413">
        <v>30.385999999999999</v>
      </c>
      <c r="F413">
        <v>163.05542</v>
      </c>
      <c r="G413">
        <f t="shared" si="12"/>
        <v>-0.94458000000000197</v>
      </c>
      <c r="H413">
        <f t="shared" si="13"/>
        <v>0.94458000000000197</v>
      </c>
    </row>
    <row r="414" spans="1:8" x14ac:dyDescent="0.3">
      <c r="A414">
        <v>413</v>
      </c>
      <c r="B414" t="s">
        <v>427</v>
      </c>
      <c r="C414">
        <v>4</v>
      </c>
      <c r="D414">
        <v>180</v>
      </c>
      <c r="E414">
        <v>30.731999999999999</v>
      </c>
      <c r="F414">
        <v>183.63203999999999</v>
      </c>
      <c r="G414">
        <f t="shared" si="12"/>
        <v>3.6320399999999893</v>
      </c>
      <c r="H414">
        <f t="shared" si="13"/>
        <v>3.6320399999999893</v>
      </c>
    </row>
    <row r="415" spans="1:8" x14ac:dyDescent="0.3">
      <c r="A415">
        <v>414</v>
      </c>
      <c r="B415" t="s">
        <v>428</v>
      </c>
      <c r="C415">
        <v>5</v>
      </c>
      <c r="D415">
        <v>286</v>
      </c>
      <c r="E415">
        <v>32.057000000000002</v>
      </c>
      <c r="F415">
        <v>285.14999999999998</v>
      </c>
      <c r="G415">
        <f t="shared" si="12"/>
        <v>-0.85000000000002274</v>
      </c>
      <c r="H415">
        <f t="shared" si="13"/>
        <v>0.85000000000002274</v>
      </c>
    </row>
    <row r="416" spans="1:8" x14ac:dyDescent="0.3">
      <c r="A416">
        <v>415</v>
      </c>
      <c r="B416" t="s">
        <v>429</v>
      </c>
      <c r="C416">
        <v>1</v>
      </c>
      <c r="D416">
        <v>225</v>
      </c>
      <c r="E416">
        <v>31.189</v>
      </c>
      <c r="F416">
        <v>221.80983000000015</v>
      </c>
      <c r="G416">
        <f t="shared" si="12"/>
        <v>-3.1901699999998527</v>
      </c>
      <c r="H416">
        <f t="shared" si="13"/>
        <v>3.1901699999998527</v>
      </c>
    </row>
    <row r="417" spans="1:8" x14ac:dyDescent="0.3">
      <c r="A417">
        <v>416</v>
      </c>
      <c r="B417" t="s">
        <v>430</v>
      </c>
      <c r="C417">
        <v>1</v>
      </c>
      <c r="D417">
        <v>112</v>
      </c>
      <c r="E417">
        <v>29.462</v>
      </c>
      <c r="F417">
        <v>115.10514000000001</v>
      </c>
      <c r="G417">
        <f t="shared" si="12"/>
        <v>3.1051400000000058</v>
      </c>
      <c r="H417">
        <f t="shared" si="13"/>
        <v>3.1051400000000058</v>
      </c>
    </row>
    <row r="418" spans="1:8" x14ac:dyDescent="0.3">
      <c r="A418">
        <v>417</v>
      </c>
      <c r="B418" t="s">
        <v>431</v>
      </c>
      <c r="C418">
        <v>3</v>
      </c>
      <c r="D418">
        <v>397</v>
      </c>
      <c r="E418">
        <v>33.887</v>
      </c>
      <c r="F418">
        <v>396.52</v>
      </c>
      <c r="G418">
        <f t="shared" si="12"/>
        <v>-0.48000000000001819</v>
      </c>
      <c r="H418">
        <f t="shared" si="13"/>
        <v>0.48000000000001819</v>
      </c>
    </row>
    <row r="419" spans="1:8" x14ac:dyDescent="0.3">
      <c r="A419">
        <v>418</v>
      </c>
      <c r="B419" t="s">
        <v>432</v>
      </c>
      <c r="C419">
        <v>2</v>
      </c>
      <c r="D419">
        <v>266</v>
      </c>
      <c r="E419">
        <v>31.911999999999999</v>
      </c>
      <c r="F419">
        <v>264.80664000000002</v>
      </c>
      <c r="G419">
        <f t="shared" si="12"/>
        <v>-1.1933599999999842</v>
      </c>
      <c r="H419">
        <f t="shared" si="13"/>
        <v>1.1933599999999842</v>
      </c>
    </row>
    <row r="420" spans="1:8" x14ac:dyDescent="0.3">
      <c r="A420">
        <v>419</v>
      </c>
      <c r="B420" t="s">
        <v>433</v>
      </c>
      <c r="C420">
        <v>3</v>
      </c>
      <c r="D420">
        <v>360</v>
      </c>
      <c r="E420">
        <v>33.317000000000007</v>
      </c>
      <c r="F420">
        <v>359.52</v>
      </c>
      <c r="G420">
        <f t="shared" si="12"/>
        <v>-0.48000000000001819</v>
      </c>
      <c r="H420">
        <f t="shared" si="13"/>
        <v>0.48000000000001819</v>
      </c>
    </row>
    <row r="421" spans="1:8" x14ac:dyDescent="0.3">
      <c r="A421">
        <v>420</v>
      </c>
      <c r="B421" t="s">
        <v>434</v>
      </c>
      <c r="C421">
        <v>5</v>
      </c>
      <c r="D421">
        <v>264</v>
      </c>
      <c r="E421">
        <v>31.888000000000002</v>
      </c>
      <c r="F421">
        <v>263.37936000000013</v>
      </c>
      <c r="G421">
        <f t="shared" si="12"/>
        <v>-0.62063999999986663</v>
      </c>
      <c r="H421">
        <f t="shared" si="13"/>
        <v>0.62063999999986663</v>
      </c>
    </row>
    <row r="422" spans="1:8" x14ac:dyDescent="0.3">
      <c r="A422">
        <v>421</v>
      </c>
      <c r="B422" t="s">
        <v>435</v>
      </c>
      <c r="C422">
        <v>3</v>
      </c>
      <c r="D422">
        <v>291</v>
      </c>
      <c r="E422">
        <v>32.026000000000003</v>
      </c>
      <c r="F422">
        <v>289.51</v>
      </c>
      <c r="G422">
        <f t="shared" si="12"/>
        <v>-1.4900000000000091</v>
      </c>
      <c r="H422">
        <f t="shared" si="13"/>
        <v>1.4900000000000091</v>
      </c>
    </row>
    <row r="423" spans="1:8" x14ac:dyDescent="0.3">
      <c r="A423">
        <v>422</v>
      </c>
      <c r="B423" t="s">
        <v>436</v>
      </c>
      <c r="C423">
        <v>4</v>
      </c>
      <c r="D423">
        <v>293</v>
      </c>
      <c r="E423">
        <v>32.113999999999997</v>
      </c>
      <c r="F423">
        <v>291.52999999999997</v>
      </c>
      <c r="G423">
        <f t="shared" si="12"/>
        <v>-1.4700000000000273</v>
      </c>
      <c r="H423">
        <f t="shared" si="13"/>
        <v>1.4700000000000273</v>
      </c>
    </row>
    <row r="424" spans="1:8" x14ac:dyDescent="0.3">
      <c r="A424">
        <v>423</v>
      </c>
      <c r="B424" t="s">
        <v>437</v>
      </c>
      <c r="C424">
        <v>4</v>
      </c>
      <c r="D424">
        <v>277</v>
      </c>
      <c r="E424">
        <v>32.156999999999996</v>
      </c>
      <c r="F424">
        <v>279.37679000000026</v>
      </c>
      <c r="G424">
        <f t="shared" si="12"/>
        <v>2.3767900000002555</v>
      </c>
      <c r="H424">
        <f t="shared" si="13"/>
        <v>2.3767900000002555</v>
      </c>
    </row>
    <row r="425" spans="1:8" x14ac:dyDescent="0.3">
      <c r="A425">
        <v>424</v>
      </c>
      <c r="B425" t="s">
        <v>438</v>
      </c>
      <c r="C425">
        <v>2</v>
      </c>
      <c r="D425">
        <v>415</v>
      </c>
      <c r="E425">
        <v>34.286000000000001</v>
      </c>
      <c r="F425">
        <v>411.98842000000002</v>
      </c>
      <c r="G425">
        <f t="shared" si="12"/>
        <v>-3.0115799999999808</v>
      </c>
      <c r="H425">
        <f t="shared" si="13"/>
        <v>3.0115799999999808</v>
      </c>
    </row>
    <row r="426" spans="1:8" x14ac:dyDescent="0.3">
      <c r="A426">
        <v>425</v>
      </c>
      <c r="B426" t="s">
        <v>439</v>
      </c>
      <c r="C426">
        <v>4</v>
      </c>
      <c r="D426">
        <v>263</v>
      </c>
      <c r="E426">
        <v>31.783999999999999</v>
      </c>
      <c r="F426">
        <v>262.19448</v>
      </c>
      <c r="G426">
        <f t="shared" si="12"/>
        <v>-0.80552000000000135</v>
      </c>
      <c r="H426">
        <f t="shared" si="13"/>
        <v>0.80552000000000135</v>
      </c>
    </row>
    <row r="427" spans="1:8" x14ac:dyDescent="0.3">
      <c r="A427">
        <v>426</v>
      </c>
      <c r="B427" t="s">
        <v>440</v>
      </c>
      <c r="C427">
        <v>4</v>
      </c>
      <c r="D427">
        <v>471</v>
      </c>
      <c r="E427">
        <v>35.153000000000013</v>
      </c>
      <c r="F427">
        <v>470.58</v>
      </c>
      <c r="G427">
        <f t="shared" si="12"/>
        <v>-0.42000000000001592</v>
      </c>
      <c r="H427">
        <f t="shared" si="13"/>
        <v>0.42000000000001592</v>
      </c>
    </row>
    <row r="428" spans="1:8" x14ac:dyDescent="0.3">
      <c r="A428">
        <v>427</v>
      </c>
      <c r="B428" t="s">
        <v>441</v>
      </c>
      <c r="C428">
        <v>2</v>
      </c>
      <c r="D428">
        <v>103</v>
      </c>
      <c r="E428">
        <v>29.344000000000001</v>
      </c>
      <c r="F428">
        <v>101.08768000000001</v>
      </c>
      <c r="G428">
        <f t="shared" si="12"/>
        <v>-1.912319999999994</v>
      </c>
      <c r="H428">
        <f t="shared" si="13"/>
        <v>1.912319999999994</v>
      </c>
    </row>
    <row r="429" spans="1:8" x14ac:dyDescent="0.3">
      <c r="A429">
        <v>428</v>
      </c>
      <c r="B429" t="s">
        <v>442</v>
      </c>
      <c r="C429">
        <v>5</v>
      </c>
      <c r="D429">
        <v>305</v>
      </c>
      <c r="E429">
        <v>32.484999999999999</v>
      </c>
      <c r="F429">
        <v>301.88294999999999</v>
      </c>
      <c r="G429">
        <f t="shared" si="12"/>
        <v>-3.1170500000000061</v>
      </c>
      <c r="H429">
        <f t="shared" si="13"/>
        <v>3.1170500000000061</v>
      </c>
    </row>
    <row r="430" spans="1:8" x14ac:dyDescent="0.3">
      <c r="A430">
        <v>429</v>
      </c>
      <c r="B430" t="s">
        <v>443</v>
      </c>
      <c r="C430">
        <v>2</v>
      </c>
      <c r="D430">
        <v>204</v>
      </c>
      <c r="E430">
        <v>30.725999999999999</v>
      </c>
      <c r="F430">
        <v>201.27521999999999</v>
      </c>
      <c r="G430">
        <f t="shared" si="12"/>
        <v>-2.7247800000000097</v>
      </c>
      <c r="H430">
        <f t="shared" si="13"/>
        <v>2.7247800000000097</v>
      </c>
    </row>
    <row r="431" spans="1:8" x14ac:dyDescent="0.3">
      <c r="A431">
        <v>430</v>
      </c>
      <c r="B431" t="s">
        <v>444</v>
      </c>
      <c r="C431">
        <v>4</v>
      </c>
      <c r="D431">
        <v>292</v>
      </c>
      <c r="E431">
        <v>32.644000000000013</v>
      </c>
      <c r="F431">
        <v>291.52</v>
      </c>
      <c r="G431">
        <f t="shared" si="12"/>
        <v>-0.48000000000001819</v>
      </c>
      <c r="H431">
        <f t="shared" si="13"/>
        <v>0.48000000000001819</v>
      </c>
    </row>
    <row r="432" spans="1:8" x14ac:dyDescent="0.3">
      <c r="A432">
        <v>431</v>
      </c>
      <c r="B432" t="s">
        <v>445</v>
      </c>
      <c r="C432">
        <v>4</v>
      </c>
      <c r="D432">
        <v>170</v>
      </c>
      <c r="E432">
        <v>30.498999999999999</v>
      </c>
      <c r="F432">
        <v>168.77553</v>
      </c>
      <c r="G432">
        <f t="shared" si="12"/>
        <v>-1.2244699999999966</v>
      </c>
      <c r="H432">
        <f t="shared" si="13"/>
        <v>1.2244699999999966</v>
      </c>
    </row>
    <row r="433" spans="1:8" x14ac:dyDescent="0.3">
      <c r="A433">
        <v>432</v>
      </c>
      <c r="B433" t="s">
        <v>446</v>
      </c>
      <c r="C433">
        <v>1</v>
      </c>
      <c r="D433">
        <v>266</v>
      </c>
      <c r="E433">
        <v>32.255000000000003</v>
      </c>
      <c r="F433">
        <v>267.63</v>
      </c>
      <c r="G433">
        <f t="shared" si="12"/>
        <v>1.6299999999999955</v>
      </c>
      <c r="H433">
        <f t="shared" si="13"/>
        <v>1.6299999999999955</v>
      </c>
    </row>
    <row r="434" spans="1:8" x14ac:dyDescent="0.3">
      <c r="A434">
        <v>433</v>
      </c>
      <c r="B434" t="s">
        <v>447</v>
      </c>
      <c r="C434">
        <v>3</v>
      </c>
      <c r="D434">
        <v>163</v>
      </c>
      <c r="E434">
        <v>30.241</v>
      </c>
      <c r="F434">
        <v>165.43227000000024</v>
      </c>
      <c r="G434">
        <f t="shared" si="12"/>
        <v>2.4322700000002442</v>
      </c>
      <c r="H434">
        <f t="shared" si="13"/>
        <v>2.4322700000002442</v>
      </c>
    </row>
    <row r="435" spans="1:8" x14ac:dyDescent="0.3">
      <c r="A435">
        <v>434</v>
      </c>
      <c r="B435" t="s">
        <v>448</v>
      </c>
      <c r="C435">
        <v>2</v>
      </c>
      <c r="D435">
        <v>407</v>
      </c>
      <c r="E435">
        <v>34.189000000000007</v>
      </c>
      <c r="F435">
        <v>405.21983</v>
      </c>
      <c r="G435">
        <f t="shared" si="12"/>
        <v>-1.7801699999999983</v>
      </c>
      <c r="H435">
        <f t="shared" si="13"/>
        <v>1.7801699999999983</v>
      </c>
    </row>
    <row r="436" spans="1:8" x14ac:dyDescent="0.3">
      <c r="A436">
        <v>435</v>
      </c>
      <c r="B436" t="s">
        <v>449</v>
      </c>
      <c r="C436">
        <v>4</v>
      </c>
      <c r="D436">
        <v>351</v>
      </c>
      <c r="E436">
        <v>33.116</v>
      </c>
      <c r="F436">
        <v>349.52</v>
      </c>
      <c r="G436">
        <f t="shared" si="12"/>
        <v>-1.4800000000000182</v>
      </c>
      <c r="H436">
        <f t="shared" si="13"/>
        <v>1.4800000000000182</v>
      </c>
    </row>
    <row r="437" spans="1:8" x14ac:dyDescent="0.3">
      <c r="A437">
        <v>436</v>
      </c>
      <c r="B437" t="s">
        <v>450</v>
      </c>
      <c r="C437">
        <v>5</v>
      </c>
      <c r="D437">
        <v>379</v>
      </c>
      <c r="E437">
        <v>33.817999999999998</v>
      </c>
      <c r="F437">
        <v>378.15645999999992</v>
      </c>
      <c r="G437">
        <f t="shared" si="12"/>
        <v>-0.84354000000007545</v>
      </c>
      <c r="H437">
        <f t="shared" si="13"/>
        <v>0.84354000000007545</v>
      </c>
    </row>
    <row r="438" spans="1:8" x14ac:dyDescent="0.3">
      <c r="A438">
        <v>437</v>
      </c>
      <c r="B438" t="s">
        <v>451</v>
      </c>
      <c r="C438">
        <v>3</v>
      </c>
      <c r="D438">
        <v>268</v>
      </c>
      <c r="E438">
        <v>31.707000000000001</v>
      </c>
      <c r="F438">
        <v>267.52</v>
      </c>
      <c r="G438">
        <f t="shared" si="12"/>
        <v>-0.48000000000001819</v>
      </c>
      <c r="H438">
        <f t="shared" si="13"/>
        <v>0.48000000000001819</v>
      </c>
    </row>
    <row r="439" spans="1:8" x14ac:dyDescent="0.3">
      <c r="A439">
        <v>438</v>
      </c>
      <c r="B439" t="s">
        <v>452</v>
      </c>
      <c r="C439">
        <v>2</v>
      </c>
      <c r="D439">
        <v>198</v>
      </c>
      <c r="E439">
        <v>30.998999999999999</v>
      </c>
      <c r="F439">
        <v>195.51052999999999</v>
      </c>
      <c r="G439">
        <f t="shared" si="12"/>
        <v>-2.4894700000000114</v>
      </c>
      <c r="H439">
        <f t="shared" si="13"/>
        <v>2.4894700000000114</v>
      </c>
    </row>
    <row r="440" spans="1:8" x14ac:dyDescent="0.3">
      <c r="A440">
        <v>439</v>
      </c>
      <c r="B440" t="s">
        <v>453</v>
      </c>
      <c r="C440">
        <v>1</v>
      </c>
      <c r="D440">
        <v>181</v>
      </c>
      <c r="E440">
        <v>30.776</v>
      </c>
      <c r="F440">
        <v>181.52</v>
      </c>
      <c r="G440">
        <f t="shared" si="12"/>
        <v>0.52000000000001023</v>
      </c>
      <c r="H440">
        <f t="shared" si="13"/>
        <v>0.52000000000001023</v>
      </c>
    </row>
    <row r="441" spans="1:8" x14ac:dyDescent="0.3">
      <c r="A441">
        <v>440</v>
      </c>
      <c r="B441" t="s">
        <v>454</v>
      </c>
      <c r="C441">
        <v>3</v>
      </c>
      <c r="D441">
        <v>309</v>
      </c>
      <c r="E441">
        <v>32.662999999999997</v>
      </c>
      <c r="F441">
        <v>309.46861000000013</v>
      </c>
      <c r="G441">
        <f t="shared" si="12"/>
        <v>0.46861000000012609</v>
      </c>
      <c r="H441">
        <f t="shared" si="13"/>
        <v>0.46861000000012609</v>
      </c>
    </row>
    <row r="442" spans="1:8" x14ac:dyDescent="0.3">
      <c r="A442">
        <v>441</v>
      </c>
      <c r="B442" t="s">
        <v>455</v>
      </c>
      <c r="C442">
        <v>1</v>
      </c>
      <c r="D442">
        <v>365</v>
      </c>
      <c r="E442">
        <v>33.525000000000013</v>
      </c>
      <c r="F442">
        <v>360.73175000000037</v>
      </c>
      <c r="G442">
        <f t="shared" si="12"/>
        <v>-4.2682499999996253</v>
      </c>
      <c r="H442">
        <f t="shared" si="13"/>
        <v>4.2682499999996253</v>
      </c>
    </row>
    <row r="443" spans="1:8" x14ac:dyDescent="0.3">
      <c r="A443">
        <v>442</v>
      </c>
      <c r="B443" t="s">
        <v>456</v>
      </c>
      <c r="C443">
        <v>5</v>
      </c>
      <c r="D443">
        <v>365</v>
      </c>
      <c r="E443">
        <v>33.593000000000004</v>
      </c>
      <c r="F443">
        <v>364.77571000000012</v>
      </c>
      <c r="G443">
        <f t="shared" si="12"/>
        <v>-0.22428999999988264</v>
      </c>
      <c r="H443">
        <f t="shared" si="13"/>
        <v>0.22428999999988264</v>
      </c>
    </row>
    <row r="444" spans="1:8" x14ac:dyDescent="0.3">
      <c r="A444">
        <v>443</v>
      </c>
      <c r="B444" t="s">
        <v>457</v>
      </c>
      <c r="C444">
        <v>3</v>
      </c>
      <c r="D444">
        <v>313</v>
      </c>
      <c r="E444">
        <v>33.046000000000006</v>
      </c>
      <c r="F444">
        <v>312.52</v>
      </c>
      <c r="G444">
        <f t="shared" si="12"/>
        <v>-0.48000000000001819</v>
      </c>
      <c r="H444">
        <f t="shared" si="13"/>
        <v>0.48000000000001819</v>
      </c>
    </row>
    <row r="445" spans="1:8" x14ac:dyDescent="0.3">
      <c r="A445">
        <v>444</v>
      </c>
      <c r="B445" t="s">
        <v>458</v>
      </c>
      <c r="C445">
        <v>5</v>
      </c>
      <c r="D445">
        <v>312</v>
      </c>
      <c r="E445">
        <v>32.716999999999999</v>
      </c>
      <c r="F445">
        <v>312.67998999999986</v>
      </c>
      <c r="G445">
        <f t="shared" si="12"/>
        <v>0.67998999999986154</v>
      </c>
      <c r="H445">
        <f t="shared" si="13"/>
        <v>0.67998999999986154</v>
      </c>
    </row>
    <row r="446" spans="1:8" x14ac:dyDescent="0.3">
      <c r="A446">
        <v>445</v>
      </c>
      <c r="B446" t="s">
        <v>459</v>
      </c>
      <c r="C446">
        <v>3</v>
      </c>
      <c r="D446">
        <v>460</v>
      </c>
      <c r="E446">
        <v>35.396000000000001</v>
      </c>
      <c r="F446">
        <v>458.00011999999998</v>
      </c>
      <c r="G446">
        <f t="shared" si="12"/>
        <v>-1.9998800000000188</v>
      </c>
      <c r="H446">
        <f t="shared" si="13"/>
        <v>1.9998800000000188</v>
      </c>
    </row>
    <row r="447" spans="1:8" x14ac:dyDescent="0.3">
      <c r="A447">
        <v>446</v>
      </c>
      <c r="B447" t="s">
        <v>460</v>
      </c>
      <c r="C447">
        <v>5</v>
      </c>
      <c r="D447">
        <v>268</v>
      </c>
      <c r="E447">
        <v>31.864999999999998</v>
      </c>
      <c r="F447">
        <v>267.01155</v>
      </c>
      <c r="G447">
        <f t="shared" si="12"/>
        <v>-0.98845000000000027</v>
      </c>
      <c r="H447">
        <f t="shared" si="13"/>
        <v>0.98845000000000027</v>
      </c>
    </row>
    <row r="448" spans="1:8" x14ac:dyDescent="0.3">
      <c r="A448">
        <v>447</v>
      </c>
      <c r="B448" t="s">
        <v>461</v>
      </c>
      <c r="C448">
        <v>4</v>
      </c>
      <c r="D448">
        <v>232</v>
      </c>
      <c r="E448">
        <v>31.298999999999999</v>
      </c>
      <c r="F448">
        <v>228.35153000000014</v>
      </c>
      <c r="G448">
        <f t="shared" si="12"/>
        <v>-3.6484699999998611</v>
      </c>
      <c r="H448">
        <f t="shared" si="13"/>
        <v>3.6484699999998611</v>
      </c>
    </row>
    <row r="449" spans="1:8" x14ac:dyDescent="0.3">
      <c r="A449">
        <v>448</v>
      </c>
      <c r="B449" t="s">
        <v>462</v>
      </c>
      <c r="C449">
        <v>3</v>
      </c>
      <c r="D449">
        <v>214</v>
      </c>
      <c r="E449">
        <v>31.201000000000001</v>
      </c>
      <c r="F449">
        <v>209.52347</v>
      </c>
      <c r="G449">
        <f t="shared" si="12"/>
        <v>-4.4765299999999968</v>
      </c>
      <c r="H449">
        <f t="shared" si="13"/>
        <v>4.4765299999999968</v>
      </c>
    </row>
    <row r="450" spans="1:8" x14ac:dyDescent="0.3">
      <c r="A450">
        <v>449</v>
      </c>
      <c r="B450" t="s">
        <v>463</v>
      </c>
      <c r="C450">
        <v>4</v>
      </c>
      <c r="D450">
        <v>166</v>
      </c>
      <c r="E450">
        <v>30.323</v>
      </c>
      <c r="F450">
        <v>170.30881000000022</v>
      </c>
      <c r="G450">
        <f t="shared" si="12"/>
        <v>4.3088100000002214</v>
      </c>
      <c r="H450">
        <f t="shared" si="13"/>
        <v>4.3088100000002214</v>
      </c>
    </row>
    <row r="451" spans="1:8" x14ac:dyDescent="0.3">
      <c r="A451">
        <v>450</v>
      </c>
      <c r="B451" t="s">
        <v>464</v>
      </c>
      <c r="C451">
        <v>3</v>
      </c>
      <c r="D451">
        <v>361</v>
      </c>
      <c r="E451">
        <v>33.692999999999998</v>
      </c>
      <c r="F451">
        <v>359.72271000000001</v>
      </c>
      <c r="G451">
        <f t="shared" ref="G451:G501" si="14">F451-D451</f>
        <v>-1.2772899999999936</v>
      </c>
      <c r="H451">
        <f t="shared" ref="H451:H501" si="15">ABS(F451-D451)</f>
        <v>1.2772899999999936</v>
      </c>
    </row>
    <row r="452" spans="1:8" x14ac:dyDescent="0.3">
      <c r="A452">
        <v>451</v>
      </c>
      <c r="B452" t="s">
        <v>465</v>
      </c>
      <c r="C452">
        <v>1</v>
      </c>
      <c r="D452">
        <v>184</v>
      </c>
      <c r="E452">
        <v>30.562999999999999</v>
      </c>
      <c r="F452">
        <v>184.58161000000018</v>
      </c>
      <c r="G452">
        <f t="shared" si="14"/>
        <v>0.58161000000018248</v>
      </c>
      <c r="H452">
        <f t="shared" si="15"/>
        <v>0.58161000000018248</v>
      </c>
    </row>
    <row r="453" spans="1:8" x14ac:dyDescent="0.3">
      <c r="A453">
        <v>452</v>
      </c>
      <c r="B453" t="s">
        <v>466</v>
      </c>
      <c r="C453">
        <v>1</v>
      </c>
      <c r="D453">
        <v>240</v>
      </c>
      <c r="E453">
        <v>31.343</v>
      </c>
      <c r="F453">
        <v>239.96821</v>
      </c>
      <c r="G453">
        <f t="shared" si="14"/>
        <v>-3.1790000000000873E-2</v>
      </c>
      <c r="H453">
        <f t="shared" si="15"/>
        <v>3.1790000000000873E-2</v>
      </c>
    </row>
    <row r="454" spans="1:8" x14ac:dyDescent="0.3">
      <c r="A454">
        <v>453</v>
      </c>
      <c r="B454" t="s">
        <v>467</v>
      </c>
      <c r="C454">
        <v>4</v>
      </c>
      <c r="D454">
        <v>337</v>
      </c>
      <c r="E454">
        <v>33.272000000000013</v>
      </c>
      <c r="F454">
        <v>335.68583999999998</v>
      </c>
      <c r="G454">
        <f t="shared" si="14"/>
        <v>-1.3141600000000153</v>
      </c>
      <c r="H454">
        <f t="shared" si="15"/>
        <v>1.3141600000000153</v>
      </c>
    </row>
    <row r="455" spans="1:8" x14ac:dyDescent="0.3">
      <c r="A455">
        <v>454</v>
      </c>
      <c r="B455" t="s">
        <v>468</v>
      </c>
      <c r="C455">
        <v>2</v>
      </c>
      <c r="D455">
        <v>260</v>
      </c>
      <c r="E455">
        <v>31.754999999999999</v>
      </c>
      <c r="F455">
        <v>256.46985000000001</v>
      </c>
      <c r="G455">
        <f t="shared" si="14"/>
        <v>-3.5301499999999919</v>
      </c>
      <c r="H455">
        <f t="shared" si="15"/>
        <v>3.5301499999999919</v>
      </c>
    </row>
    <row r="456" spans="1:8" x14ac:dyDescent="0.3">
      <c r="A456">
        <v>455</v>
      </c>
      <c r="B456" t="s">
        <v>469</v>
      </c>
      <c r="C456">
        <v>2</v>
      </c>
      <c r="D456">
        <v>475</v>
      </c>
      <c r="E456">
        <v>35.523000000000003</v>
      </c>
      <c r="F456">
        <v>476.55281000000002</v>
      </c>
      <c r="G456">
        <f t="shared" si="14"/>
        <v>1.5528100000000222</v>
      </c>
      <c r="H456">
        <f t="shared" si="15"/>
        <v>1.5528100000000222</v>
      </c>
    </row>
    <row r="457" spans="1:8" x14ac:dyDescent="0.3">
      <c r="A457">
        <v>456</v>
      </c>
      <c r="B457" t="s">
        <v>470</v>
      </c>
      <c r="C457">
        <v>1</v>
      </c>
      <c r="D457">
        <v>281</v>
      </c>
      <c r="E457">
        <v>32.299000000000007</v>
      </c>
      <c r="F457">
        <v>283.82153</v>
      </c>
      <c r="G457">
        <f t="shared" si="14"/>
        <v>2.8215299999999957</v>
      </c>
      <c r="H457">
        <f t="shared" si="15"/>
        <v>2.8215299999999957</v>
      </c>
    </row>
    <row r="458" spans="1:8" x14ac:dyDescent="0.3">
      <c r="A458">
        <v>457</v>
      </c>
      <c r="B458" t="s">
        <v>471</v>
      </c>
      <c r="C458">
        <v>5</v>
      </c>
      <c r="D458">
        <v>235</v>
      </c>
      <c r="E458">
        <v>31.422000000000001</v>
      </c>
      <c r="F458">
        <v>235.66634000000022</v>
      </c>
      <c r="G458">
        <f t="shared" si="14"/>
        <v>0.66634000000021842</v>
      </c>
      <c r="H458">
        <f t="shared" si="15"/>
        <v>0.66634000000021842</v>
      </c>
    </row>
    <row r="459" spans="1:8" x14ac:dyDescent="0.3">
      <c r="A459">
        <v>458</v>
      </c>
      <c r="B459" t="s">
        <v>472</v>
      </c>
      <c r="C459">
        <v>5</v>
      </c>
      <c r="D459">
        <v>313</v>
      </c>
      <c r="E459">
        <v>32.872</v>
      </c>
      <c r="F459">
        <v>310.89783999999997</v>
      </c>
      <c r="G459">
        <f t="shared" si="14"/>
        <v>-2.1021600000000262</v>
      </c>
      <c r="H459">
        <f t="shared" si="15"/>
        <v>2.1021600000000262</v>
      </c>
    </row>
    <row r="460" spans="1:8" x14ac:dyDescent="0.3">
      <c r="A460">
        <v>459</v>
      </c>
      <c r="B460" t="s">
        <v>473</v>
      </c>
      <c r="C460">
        <v>5</v>
      </c>
      <c r="D460">
        <v>235</v>
      </c>
      <c r="E460">
        <v>31.498000000000001</v>
      </c>
      <c r="F460">
        <v>239.18606</v>
      </c>
      <c r="G460">
        <f t="shared" si="14"/>
        <v>4.1860599999999977</v>
      </c>
      <c r="H460">
        <f t="shared" si="15"/>
        <v>4.1860599999999977</v>
      </c>
    </row>
    <row r="461" spans="1:8" x14ac:dyDescent="0.3">
      <c r="A461">
        <v>460</v>
      </c>
      <c r="B461" t="s">
        <v>474</v>
      </c>
      <c r="C461">
        <v>5</v>
      </c>
      <c r="D461">
        <v>266</v>
      </c>
      <c r="E461">
        <v>32.119999999999997</v>
      </c>
      <c r="F461">
        <v>265.1764</v>
      </c>
      <c r="G461">
        <f t="shared" si="14"/>
        <v>-0.823599999999999</v>
      </c>
      <c r="H461">
        <f t="shared" si="15"/>
        <v>0.823599999999999</v>
      </c>
    </row>
    <row r="462" spans="1:8" x14ac:dyDescent="0.3">
      <c r="A462">
        <v>461</v>
      </c>
      <c r="B462" t="s">
        <v>475</v>
      </c>
      <c r="C462">
        <v>4</v>
      </c>
      <c r="D462">
        <v>302</v>
      </c>
      <c r="E462">
        <v>32.220999999999997</v>
      </c>
      <c r="F462">
        <v>301.89</v>
      </c>
      <c r="G462">
        <f t="shared" si="14"/>
        <v>-0.11000000000001364</v>
      </c>
      <c r="H462">
        <f t="shared" si="15"/>
        <v>0.11000000000001364</v>
      </c>
    </row>
    <row r="463" spans="1:8" x14ac:dyDescent="0.3">
      <c r="A463">
        <v>462</v>
      </c>
      <c r="B463" t="s">
        <v>476</v>
      </c>
      <c r="C463">
        <v>1</v>
      </c>
      <c r="D463">
        <v>402</v>
      </c>
      <c r="E463">
        <v>34.201000000000008</v>
      </c>
      <c r="F463">
        <v>400.9334700000004</v>
      </c>
      <c r="G463">
        <f t="shared" si="14"/>
        <v>-1.0665299999996023</v>
      </c>
      <c r="H463">
        <f t="shared" si="15"/>
        <v>1.0665299999996023</v>
      </c>
    </row>
    <row r="464" spans="1:8" x14ac:dyDescent="0.3">
      <c r="A464">
        <v>463</v>
      </c>
      <c r="B464" t="s">
        <v>477</v>
      </c>
      <c r="C464">
        <v>2</v>
      </c>
      <c r="D464">
        <v>208</v>
      </c>
      <c r="E464">
        <v>31.065000000000001</v>
      </c>
      <c r="F464">
        <v>204.43555000000001</v>
      </c>
      <c r="G464">
        <f t="shared" si="14"/>
        <v>-3.5644499999999937</v>
      </c>
      <c r="H464">
        <f t="shared" si="15"/>
        <v>3.5644499999999937</v>
      </c>
    </row>
    <row r="465" spans="1:8" x14ac:dyDescent="0.3">
      <c r="A465">
        <v>464</v>
      </c>
      <c r="B465" t="s">
        <v>478</v>
      </c>
      <c r="C465">
        <v>4</v>
      </c>
      <c r="D465">
        <v>323</v>
      </c>
      <c r="E465">
        <v>32.848999999999997</v>
      </c>
      <c r="F465">
        <v>320.53003000000012</v>
      </c>
      <c r="G465">
        <f t="shared" si="14"/>
        <v>-2.4699699999998757</v>
      </c>
      <c r="H465">
        <f t="shared" si="15"/>
        <v>2.4699699999998757</v>
      </c>
    </row>
    <row r="466" spans="1:8" x14ac:dyDescent="0.3">
      <c r="A466">
        <v>465</v>
      </c>
      <c r="B466" t="s">
        <v>479</v>
      </c>
      <c r="C466">
        <v>2</v>
      </c>
      <c r="D466">
        <v>365</v>
      </c>
      <c r="E466">
        <v>33.613999999999997</v>
      </c>
      <c r="F466">
        <v>366.02458000000024</v>
      </c>
      <c r="G466">
        <f t="shared" si="14"/>
        <v>1.0245800000002419</v>
      </c>
      <c r="H466">
        <f t="shared" si="15"/>
        <v>1.0245800000002419</v>
      </c>
    </row>
    <row r="467" spans="1:8" x14ac:dyDescent="0.3">
      <c r="A467">
        <v>466</v>
      </c>
      <c r="B467" t="s">
        <v>480</v>
      </c>
      <c r="C467">
        <v>1</v>
      </c>
      <c r="D467">
        <v>231</v>
      </c>
      <c r="E467">
        <v>31.369</v>
      </c>
      <c r="F467">
        <v>232.51443000000017</v>
      </c>
      <c r="G467">
        <f t="shared" si="14"/>
        <v>1.5144300000001749</v>
      </c>
      <c r="H467">
        <f t="shared" si="15"/>
        <v>1.5144300000001749</v>
      </c>
    </row>
    <row r="468" spans="1:8" x14ac:dyDescent="0.3">
      <c r="A468">
        <v>467</v>
      </c>
      <c r="B468" t="s">
        <v>481</v>
      </c>
      <c r="C468">
        <v>5</v>
      </c>
      <c r="D468">
        <v>291</v>
      </c>
      <c r="E468">
        <v>32.247999999999998</v>
      </c>
      <c r="F468">
        <v>289.78856000000002</v>
      </c>
      <c r="G468">
        <f t="shared" si="14"/>
        <v>-1.2114399999999819</v>
      </c>
      <c r="H468">
        <f t="shared" si="15"/>
        <v>1.2114399999999819</v>
      </c>
    </row>
    <row r="469" spans="1:8" x14ac:dyDescent="0.3">
      <c r="A469">
        <v>468</v>
      </c>
      <c r="B469" t="s">
        <v>482</v>
      </c>
      <c r="C469">
        <v>3</v>
      </c>
      <c r="D469">
        <v>238</v>
      </c>
      <c r="E469">
        <v>31.338999999999999</v>
      </c>
      <c r="F469">
        <v>237.73033000000001</v>
      </c>
      <c r="G469">
        <f t="shared" si="14"/>
        <v>-0.26966999999999075</v>
      </c>
      <c r="H469">
        <f t="shared" si="15"/>
        <v>0.26966999999999075</v>
      </c>
    </row>
    <row r="470" spans="1:8" x14ac:dyDescent="0.3">
      <c r="A470">
        <v>469</v>
      </c>
      <c r="B470" t="s">
        <v>483</v>
      </c>
      <c r="C470">
        <v>4</v>
      </c>
      <c r="D470">
        <v>382</v>
      </c>
      <c r="E470">
        <v>33.963000000000001</v>
      </c>
      <c r="F470">
        <v>384.77960999999999</v>
      </c>
      <c r="G470">
        <f t="shared" si="14"/>
        <v>2.779609999999991</v>
      </c>
      <c r="H470">
        <f t="shared" si="15"/>
        <v>2.779609999999991</v>
      </c>
    </row>
    <row r="471" spans="1:8" x14ac:dyDescent="0.3">
      <c r="A471">
        <v>470</v>
      </c>
      <c r="B471" t="s">
        <v>484</v>
      </c>
      <c r="C471">
        <v>3</v>
      </c>
      <c r="D471">
        <v>225</v>
      </c>
      <c r="E471">
        <v>31.327999999999999</v>
      </c>
      <c r="F471">
        <v>229.07615999999999</v>
      </c>
      <c r="G471">
        <f t="shared" si="14"/>
        <v>4.0761599999999873</v>
      </c>
      <c r="H471">
        <f t="shared" si="15"/>
        <v>4.0761599999999873</v>
      </c>
    </row>
    <row r="472" spans="1:8" x14ac:dyDescent="0.3">
      <c r="A472">
        <v>471</v>
      </c>
      <c r="B472" t="s">
        <v>485</v>
      </c>
      <c r="C472">
        <v>2</v>
      </c>
      <c r="D472">
        <v>305</v>
      </c>
      <c r="E472">
        <v>32.625999999999998</v>
      </c>
      <c r="F472">
        <v>307.26822000000016</v>
      </c>
      <c r="G472">
        <f t="shared" si="14"/>
        <v>2.2682200000001558</v>
      </c>
      <c r="H472">
        <f t="shared" si="15"/>
        <v>2.2682200000001558</v>
      </c>
    </row>
    <row r="473" spans="1:8" x14ac:dyDescent="0.3">
      <c r="A473">
        <v>472</v>
      </c>
      <c r="B473" t="s">
        <v>486</v>
      </c>
      <c r="C473">
        <v>2</v>
      </c>
      <c r="D473">
        <v>247</v>
      </c>
      <c r="E473">
        <v>31.966000000000001</v>
      </c>
      <c r="F473">
        <v>247.61</v>
      </c>
      <c r="G473">
        <f t="shared" si="14"/>
        <v>0.61000000000001364</v>
      </c>
      <c r="H473">
        <f t="shared" si="15"/>
        <v>0.61000000000001364</v>
      </c>
    </row>
    <row r="474" spans="1:8" x14ac:dyDescent="0.3">
      <c r="A474">
        <v>473</v>
      </c>
      <c r="B474" t="s">
        <v>487</v>
      </c>
      <c r="C474">
        <v>1</v>
      </c>
      <c r="D474">
        <v>291</v>
      </c>
      <c r="E474">
        <v>32.588999999999999</v>
      </c>
      <c r="F474">
        <v>289.06783000000001</v>
      </c>
      <c r="G474">
        <f t="shared" si="14"/>
        <v>-1.9321699999999851</v>
      </c>
      <c r="H474">
        <f t="shared" si="15"/>
        <v>1.9321699999999851</v>
      </c>
    </row>
    <row r="475" spans="1:8" x14ac:dyDescent="0.3">
      <c r="A475">
        <v>474</v>
      </c>
      <c r="B475" t="s">
        <v>488</v>
      </c>
      <c r="C475">
        <v>5</v>
      </c>
      <c r="D475">
        <v>263</v>
      </c>
      <c r="E475">
        <v>31.669</v>
      </c>
      <c r="F475">
        <v>262.51</v>
      </c>
      <c r="G475">
        <f t="shared" si="14"/>
        <v>-0.49000000000000909</v>
      </c>
      <c r="H475">
        <f t="shared" si="15"/>
        <v>0.49000000000000909</v>
      </c>
    </row>
    <row r="476" spans="1:8" x14ac:dyDescent="0.3">
      <c r="A476">
        <v>475</v>
      </c>
      <c r="B476" t="s">
        <v>489</v>
      </c>
      <c r="C476">
        <v>3</v>
      </c>
      <c r="D476">
        <v>151</v>
      </c>
      <c r="E476">
        <v>29.748000000000001</v>
      </c>
      <c r="F476">
        <v>149.51</v>
      </c>
      <c r="G476">
        <f t="shared" si="14"/>
        <v>-1.4900000000000091</v>
      </c>
      <c r="H476">
        <f t="shared" si="15"/>
        <v>1.4900000000000091</v>
      </c>
    </row>
    <row r="477" spans="1:8" x14ac:dyDescent="0.3">
      <c r="A477">
        <v>476</v>
      </c>
      <c r="B477" t="s">
        <v>490</v>
      </c>
      <c r="C477">
        <v>1</v>
      </c>
      <c r="D477">
        <v>289</v>
      </c>
      <c r="E477">
        <v>32.35</v>
      </c>
      <c r="F477">
        <v>290.85450000000014</v>
      </c>
      <c r="G477">
        <f t="shared" si="14"/>
        <v>1.8545000000001437</v>
      </c>
      <c r="H477">
        <f t="shared" si="15"/>
        <v>1.8545000000001437</v>
      </c>
    </row>
    <row r="478" spans="1:8" x14ac:dyDescent="0.3">
      <c r="A478">
        <v>477</v>
      </c>
      <c r="B478" t="s">
        <v>491</v>
      </c>
      <c r="C478">
        <v>4</v>
      </c>
      <c r="D478">
        <v>238</v>
      </c>
      <c r="E478">
        <v>31.361000000000001</v>
      </c>
      <c r="F478">
        <v>236.03867</v>
      </c>
      <c r="G478">
        <f t="shared" si="14"/>
        <v>-1.9613300000000038</v>
      </c>
      <c r="H478">
        <f t="shared" si="15"/>
        <v>1.9613300000000038</v>
      </c>
    </row>
    <row r="479" spans="1:8" x14ac:dyDescent="0.3">
      <c r="A479">
        <v>478</v>
      </c>
      <c r="B479" t="s">
        <v>492</v>
      </c>
      <c r="C479">
        <v>1</v>
      </c>
      <c r="D479">
        <v>289</v>
      </c>
      <c r="E479">
        <v>32.273000000000003</v>
      </c>
      <c r="F479">
        <v>286.27531000000022</v>
      </c>
      <c r="G479">
        <f t="shared" si="14"/>
        <v>-2.7246899999997822</v>
      </c>
      <c r="H479">
        <f t="shared" si="15"/>
        <v>2.7246899999997822</v>
      </c>
    </row>
    <row r="480" spans="1:8" x14ac:dyDescent="0.3">
      <c r="A480">
        <v>479</v>
      </c>
      <c r="B480" t="s">
        <v>493</v>
      </c>
      <c r="C480">
        <v>3</v>
      </c>
      <c r="D480">
        <v>389</v>
      </c>
      <c r="E480">
        <v>33.508000000000003</v>
      </c>
      <c r="F480">
        <v>388.52</v>
      </c>
      <c r="G480">
        <f t="shared" si="14"/>
        <v>-0.48000000000001819</v>
      </c>
      <c r="H480">
        <f t="shared" si="15"/>
        <v>0.48000000000001819</v>
      </c>
    </row>
    <row r="481" spans="1:8" x14ac:dyDescent="0.3">
      <c r="A481">
        <v>480</v>
      </c>
      <c r="B481" t="s">
        <v>494</v>
      </c>
      <c r="C481">
        <v>2</v>
      </c>
      <c r="D481">
        <v>284</v>
      </c>
      <c r="E481">
        <v>32.06</v>
      </c>
      <c r="F481">
        <v>283.14</v>
      </c>
      <c r="G481">
        <f t="shared" si="14"/>
        <v>-0.86000000000001364</v>
      </c>
      <c r="H481">
        <f t="shared" si="15"/>
        <v>0.86000000000001364</v>
      </c>
    </row>
    <row r="482" spans="1:8" x14ac:dyDescent="0.3">
      <c r="A482">
        <v>481</v>
      </c>
      <c r="B482" t="s">
        <v>495</v>
      </c>
      <c r="C482">
        <v>5</v>
      </c>
      <c r="D482">
        <v>197</v>
      </c>
      <c r="E482">
        <v>30.785</v>
      </c>
      <c r="F482">
        <v>197.78395000000023</v>
      </c>
      <c r="G482">
        <f t="shared" si="14"/>
        <v>0.78395000000023174</v>
      </c>
      <c r="H482">
        <f t="shared" si="15"/>
        <v>0.78395000000023174</v>
      </c>
    </row>
    <row r="483" spans="1:8" x14ac:dyDescent="0.3">
      <c r="A483">
        <v>482</v>
      </c>
      <c r="B483" t="s">
        <v>496</v>
      </c>
      <c r="C483">
        <v>3</v>
      </c>
      <c r="D483">
        <v>263</v>
      </c>
      <c r="E483">
        <v>32.031999999999996</v>
      </c>
      <c r="F483">
        <v>261.94304</v>
      </c>
      <c r="G483">
        <f t="shared" si="14"/>
        <v>-1.0569600000000037</v>
      </c>
      <c r="H483">
        <f t="shared" si="15"/>
        <v>1.0569600000000037</v>
      </c>
    </row>
    <row r="484" spans="1:8" x14ac:dyDescent="0.3">
      <c r="A484">
        <v>483</v>
      </c>
      <c r="B484" t="s">
        <v>497</v>
      </c>
      <c r="C484">
        <v>5</v>
      </c>
      <c r="D484">
        <v>392</v>
      </c>
      <c r="E484">
        <v>34.305000000000007</v>
      </c>
      <c r="F484">
        <v>391.52</v>
      </c>
      <c r="G484">
        <f t="shared" si="14"/>
        <v>-0.48000000000001819</v>
      </c>
      <c r="H484">
        <f t="shared" si="15"/>
        <v>0.48000000000001819</v>
      </c>
    </row>
    <row r="485" spans="1:8" x14ac:dyDescent="0.3">
      <c r="A485">
        <v>484</v>
      </c>
      <c r="B485" t="s">
        <v>498</v>
      </c>
      <c r="C485">
        <v>1</v>
      </c>
      <c r="D485">
        <v>371</v>
      </c>
      <c r="E485">
        <v>33.658000000000001</v>
      </c>
      <c r="F485">
        <v>368.6412600000001</v>
      </c>
      <c r="G485">
        <f t="shared" si="14"/>
        <v>-2.3587399999998979</v>
      </c>
      <c r="H485">
        <f t="shared" si="15"/>
        <v>2.3587399999998979</v>
      </c>
    </row>
    <row r="486" spans="1:8" x14ac:dyDescent="0.3">
      <c r="A486">
        <v>485</v>
      </c>
      <c r="B486" t="s">
        <v>499</v>
      </c>
      <c r="C486">
        <v>4</v>
      </c>
      <c r="D486">
        <v>329</v>
      </c>
      <c r="E486">
        <v>33.109000000000002</v>
      </c>
      <c r="F486">
        <v>325.99223000000001</v>
      </c>
      <c r="G486">
        <f t="shared" si="14"/>
        <v>-3.0077699999999936</v>
      </c>
      <c r="H486">
        <f t="shared" si="15"/>
        <v>3.0077699999999936</v>
      </c>
    </row>
    <row r="487" spans="1:8" x14ac:dyDescent="0.3">
      <c r="A487">
        <v>486</v>
      </c>
      <c r="B487" t="s">
        <v>500</v>
      </c>
      <c r="C487">
        <v>1</v>
      </c>
      <c r="D487">
        <v>359</v>
      </c>
      <c r="E487">
        <v>33.707000000000008</v>
      </c>
      <c r="F487">
        <v>357.55529000000001</v>
      </c>
      <c r="G487">
        <f t="shared" si="14"/>
        <v>-1.4447099999999864</v>
      </c>
      <c r="H487">
        <f t="shared" si="15"/>
        <v>1.4447099999999864</v>
      </c>
    </row>
    <row r="488" spans="1:8" x14ac:dyDescent="0.3">
      <c r="A488">
        <v>487</v>
      </c>
      <c r="B488" t="s">
        <v>501</v>
      </c>
      <c r="C488">
        <v>5</v>
      </c>
      <c r="D488">
        <v>249</v>
      </c>
      <c r="E488">
        <v>31.741</v>
      </c>
      <c r="F488">
        <v>244.63727</v>
      </c>
      <c r="G488">
        <f t="shared" si="14"/>
        <v>-4.3627299999999991</v>
      </c>
      <c r="H488">
        <f t="shared" si="15"/>
        <v>4.3627299999999991</v>
      </c>
    </row>
    <row r="489" spans="1:8" x14ac:dyDescent="0.3">
      <c r="A489">
        <v>488</v>
      </c>
      <c r="B489" t="s">
        <v>502</v>
      </c>
      <c r="C489">
        <v>3</v>
      </c>
      <c r="D489">
        <v>204</v>
      </c>
      <c r="E489">
        <v>31.056000000000001</v>
      </c>
      <c r="F489">
        <v>202.90031999999999</v>
      </c>
      <c r="G489">
        <f t="shared" si="14"/>
        <v>-1.0996800000000064</v>
      </c>
      <c r="H489">
        <f t="shared" si="15"/>
        <v>1.0996800000000064</v>
      </c>
    </row>
    <row r="490" spans="1:8" x14ac:dyDescent="0.3">
      <c r="A490">
        <v>489</v>
      </c>
      <c r="B490" t="s">
        <v>503</v>
      </c>
      <c r="C490">
        <v>5</v>
      </c>
      <c r="D490">
        <v>256</v>
      </c>
      <c r="E490">
        <v>31.49</v>
      </c>
      <c r="F490">
        <v>255.61</v>
      </c>
      <c r="G490">
        <f t="shared" si="14"/>
        <v>-0.38999999999998636</v>
      </c>
      <c r="H490">
        <f t="shared" si="15"/>
        <v>0.38999999999998636</v>
      </c>
    </row>
    <row r="491" spans="1:8" x14ac:dyDescent="0.3">
      <c r="A491">
        <v>490</v>
      </c>
      <c r="B491" t="s">
        <v>504</v>
      </c>
      <c r="C491">
        <v>2</v>
      </c>
      <c r="D491">
        <v>270</v>
      </c>
      <c r="E491">
        <v>31.864000000000001</v>
      </c>
      <c r="F491">
        <v>268.95208000000002</v>
      </c>
      <c r="G491">
        <f t="shared" si="14"/>
        <v>-1.0479199999999764</v>
      </c>
      <c r="H491">
        <f t="shared" si="15"/>
        <v>1.0479199999999764</v>
      </c>
    </row>
    <row r="492" spans="1:8" x14ac:dyDescent="0.3">
      <c r="A492">
        <v>491</v>
      </c>
      <c r="B492" t="s">
        <v>505</v>
      </c>
      <c r="C492">
        <v>1</v>
      </c>
      <c r="D492">
        <v>191</v>
      </c>
      <c r="E492">
        <v>30.673999999999999</v>
      </c>
      <c r="F492">
        <v>191.18278000000009</v>
      </c>
      <c r="G492">
        <f t="shared" si="14"/>
        <v>0.18278000000009342</v>
      </c>
      <c r="H492">
        <f t="shared" si="15"/>
        <v>0.18278000000009342</v>
      </c>
    </row>
    <row r="493" spans="1:8" x14ac:dyDescent="0.3">
      <c r="A493">
        <v>492</v>
      </c>
      <c r="B493" t="s">
        <v>506</v>
      </c>
      <c r="C493">
        <v>1</v>
      </c>
      <c r="D493">
        <v>305</v>
      </c>
      <c r="E493">
        <v>32.36</v>
      </c>
      <c r="F493">
        <v>304.56</v>
      </c>
      <c r="G493">
        <f t="shared" si="14"/>
        <v>-0.43999999999999773</v>
      </c>
      <c r="H493">
        <f t="shared" si="15"/>
        <v>0.43999999999999773</v>
      </c>
    </row>
    <row r="494" spans="1:8" x14ac:dyDescent="0.3">
      <c r="A494">
        <v>493</v>
      </c>
      <c r="B494" t="s">
        <v>507</v>
      </c>
      <c r="C494">
        <v>5</v>
      </c>
      <c r="D494">
        <v>253</v>
      </c>
      <c r="E494">
        <v>31.707000000000001</v>
      </c>
      <c r="F494">
        <v>252.61529000000019</v>
      </c>
      <c r="G494">
        <f t="shared" si="14"/>
        <v>-0.38470999999981359</v>
      </c>
      <c r="H494">
        <f t="shared" si="15"/>
        <v>0.38470999999981359</v>
      </c>
    </row>
    <row r="495" spans="1:8" x14ac:dyDescent="0.3">
      <c r="A495">
        <v>494</v>
      </c>
      <c r="B495" t="s">
        <v>508</v>
      </c>
      <c r="C495">
        <v>2</v>
      </c>
      <c r="D495">
        <v>309</v>
      </c>
      <c r="E495">
        <v>32.781999999999996</v>
      </c>
      <c r="F495">
        <v>306.54554000000002</v>
      </c>
      <c r="G495">
        <f t="shared" si="14"/>
        <v>-2.4544599999999832</v>
      </c>
      <c r="H495">
        <f t="shared" si="15"/>
        <v>2.4544599999999832</v>
      </c>
    </row>
    <row r="496" spans="1:8" x14ac:dyDescent="0.3">
      <c r="A496">
        <v>495</v>
      </c>
      <c r="B496" t="s">
        <v>509</v>
      </c>
      <c r="C496">
        <v>1</v>
      </c>
      <c r="D496">
        <v>242</v>
      </c>
      <c r="E496">
        <v>31.292000000000002</v>
      </c>
      <c r="F496">
        <v>240.52</v>
      </c>
      <c r="G496">
        <f t="shared" si="14"/>
        <v>-1.4799999999999898</v>
      </c>
      <c r="H496">
        <f t="shared" si="15"/>
        <v>1.4799999999999898</v>
      </c>
    </row>
    <row r="497" spans="1:8" x14ac:dyDescent="0.3">
      <c r="A497">
        <v>496</v>
      </c>
      <c r="B497" t="s">
        <v>510</v>
      </c>
      <c r="C497">
        <v>1</v>
      </c>
      <c r="D497">
        <v>309</v>
      </c>
      <c r="E497">
        <v>32.566000000000003</v>
      </c>
      <c r="F497">
        <v>307.70001999999999</v>
      </c>
      <c r="G497">
        <f t="shared" si="14"/>
        <v>-1.299980000000005</v>
      </c>
      <c r="H497">
        <f t="shared" si="15"/>
        <v>1.299980000000005</v>
      </c>
    </row>
    <row r="498" spans="1:8" x14ac:dyDescent="0.3">
      <c r="A498">
        <v>497</v>
      </c>
      <c r="B498" t="s">
        <v>511</v>
      </c>
      <c r="C498">
        <v>5</v>
      </c>
      <c r="D498">
        <v>197</v>
      </c>
      <c r="E498">
        <v>30.934999999999999</v>
      </c>
      <c r="F498">
        <v>196.70445000000001</v>
      </c>
      <c r="G498">
        <f t="shared" si="14"/>
        <v>-0.29554999999999154</v>
      </c>
      <c r="H498">
        <f t="shared" si="15"/>
        <v>0.29554999999999154</v>
      </c>
    </row>
    <row r="499" spans="1:8" x14ac:dyDescent="0.3">
      <c r="A499">
        <v>498</v>
      </c>
      <c r="B499" t="s">
        <v>512</v>
      </c>
      <c r="C499">
        <v>1</v>
      </c>
      <c r="D499">
        <v>293</v>
      </c>
      <c r="E499">
        <v>32.418000000000013</v>
      </c>
      <c r="F499">
        <v>294.89846000000034</v>
      </c>
      <c r="G499">
        <f t="shared" si="14"/>
        <v>1.8984600000003411</v>
      </c>
      <c r="H499">
        <f t="shared" si="15"/>
        <v>1.8984600000003411</v>
      </c>
    </row>
    <row r="500" spans="1:8" x14ac:dyDescent="0.3">
      <c r="A500">
        <v>499</v>
      </c>
      <c r="B500" t="s">
        <v>513</v>
      </c>
      <c r="C500">
        <v>4</v>
      </c>
      <c r="D500">
        <v>249</v>
      </c>
      <c r="E500">
        <v>31.782</v>
      </c>
      <c r="F500">
        <v>248.07553999999999</v>
      </c>
      <c r="G500">
        <f t="shared" si="14"/>
        <v>-0.9244600000000105</v>
      </c>
      <c r="H500">
        <f t="shared" si="15"/>
        <v>0.9244600000000105</v>
      </c>
    </row>
    <row r="501" spans="1:8" x14ac:dyDescent="0.3">
      <c r="A501">
        <v>500</v>
      </c>
      <c r="B501" t="s">
        <v>514</v>
      </c>
      <c r="C501">
        <v>5</v>
      </c>
      <c r="D501">
        <v>208</v>
      </c>
      <c r="E501">
        <v>31.178000000000001</v>
      </c>
      <c r="F501">
        <v>207.15566000000001</v>
      </c>
      <c r="G501">
        <f t="shared" si="14"/>
        <v>-0.84433999999998832</v>
      </c>
      <c r="H501">
        <f t="shared" si="15"/>
        <v>0.84433999999998832</v>
      </c>
    </row>
  </sheetData>
  <sheetProtection algorithmName="SHA-512" hashValue="ic6uTblRqJEXzl4R2oB01/QKxdUGHAZNVe8MmbXuOzQA4ulQ/Qt6G6L1wJhyASWmZB9qapCf0Mg8IhLEayeNMQ==" saltValue="4wd1cb4kSiG0kTMe/2Sjn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AHRF_Before Food</vt:lpstr>
      <vt:lpstr>AHRF_After Food</vt:lpstr>
      <vt:lpstr>Cross_Validation</vt:lpstr>
      <vt:lpstr>Independent_Validation_Prelim</vt:lpstr>
      <vt:lpstr>Clarke_Error_Grid_Analysis</vt:lpstr>
      <vt:lpstr>Five_flod_Before_Food_OOF</vt:lpstr>
      <vt:lpstr>Five_flod_After_Food_OOF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Jebasingh S J</dc:creator>
  <cp:lastModifiedBy>Jebasingh S J</cp:lastModifiedBy>
  <dcterms:created xsi:type="dcterms:W3CDTF">2025-12-10T13:27:50Z</dcterms:created>
  <dcterms:modified xsi:type="dcterms:W3CDTF">2026-10-26T06:14:59Z</dcterms:modified>
</cp:coreProperties>
</file>